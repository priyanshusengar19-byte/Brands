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-15 VF vs Premium" sheetId="1" state="visible" r:id="rId1"/>
    <sheet xmlns:r="http://schemas.openxmlformats.org/officeDocument/2006/relationships" name="EX-16 City Saturation" sheetId="2" state="visible" r:id="rId2"/>
    <sheet xmlns:r="http://schemas.openxmlformats.org/officeDocument/2006/relationships" name="EX-17 Ethnic Wear" sheetId="3" state="visible" r:id="rId3"/>
    <sheet xmlns:r="http://schemas.openxmlformats.org/officeDocument/2006/relationships" name="EX-18 Moat Pincodes" sheetId="4" state="visible" r:id="rId4"/>
    <sheet xmlns:r="http://schemas.openxmlformats.org/officeDocument/2006/relationships" name="EX-19 Store Potential" sheetId="5" state="visible" r:id="rId5"/>
    <sheet xmlns:r="http://schemas.openxmlformats.org/officeDocument/2006/relationships" name="EX-20 Brand Dashboards" sheetId="6" state="visible" r:id="rId6"/>
    <sheet xmlns:r="http://schemas.openxmlformats.org/officeDocument/2006/relationships" name="EX-21 Pop×Income Paradox" sheetId="7" state="visible" r:id="rId7"/>
    <sheet xmlns:r="http://schemas.openxmlformats.org/officeDocument/2006/relationships" name="⚙️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1"/>
  </numFmts>
  <fonts count="4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1565C0"/>
      <sz val="10"/>
    </font>
    <font>
      <name val="Calibri"/>
      <b val="1"/>
      <color rgb="00FFFFFF"/>
      <sz val="9"/>
    </font>
    <font>
      <name val="Calibri"/>
      <b val="1"/>
      <color rgb="007B1FA2"/>
      <sz val="9"/>
    </font>
    <font>
      <name val="Calibri"/>
      <color rgb="000D1B2E"/>
      <sz val="9"/>
    </font>
    <font>
      <name val="Calibri"/>
      <b val="1"/>
      <color rgb="001565C0"/>
      <sz val="9"/>
    </font>
    <font>
      <name val="Calibri"/>
      <b val="1"/>
      <color rgb="000E7490"/>
      <sz val="9"/>
    </font>
    <font>
      <name val="Calibri"/>
      <b val="1"/>
      <color rgb="0015803D"/>
      <sz val="9"/>
    </font>
    <font>
      <name val="Calibri"/>
      <b val="1"/>
      <color rgb="00C2410C"/>
      <sz val="9"/>
    </font>
    <font>
      <name val="Calibri"/>
      <color rgb="00FFFFFF"/>
      <sz val="9"/>
    </font>
    <font>
      <name val="Calibri"/>
      <b val="1"/>
      <color rgb="000E7490"/>
      <sz val="10"/>
    </font>
    <font>
      <name val="Calibri"/>
      <b val="1"/>
      <color rgb="0015803D"/>
      <sz val="10"/>
    </font>
    <font>
      <name val="Calibri"/>
      <b val="1"/>
      <color rgb="007B1FA2"/>
      <sz val="10"/>
    </font>
    <font>
      <name val="Calibri"/>
      <b val="1"/>
      <color rgb="00C2410C"/>
      <sz val="10"/>
    </font>
    <font>
      <name val="Calibri"/>
      <b val="1"/>
      <color rgb="000D1B2E"/>
      <sz val="9"/>
    </font>
    <font>
      <name val="Calibri"/>
      <color rgb="00D97706"/>
      <sz val="8"/>
    </font>
    <font>
      <name val="Calibri"/>
      <color rgb="00374151"/>
      <sz val="8"/>
    </font>
    <font>
      <name val="Calibri"/>
      <color rgb="007C3AED"/>
      <sz val="8"/>
    </font>
    <font>
      <name val="Calibri"/>
      <color rgb="00BE185D"/>
      <sz val="8"/>
    </font>
    <font>
      <name val="Calibri"/>
      <color rgb="000369A1"/>
      <sz val="8"/>
    </font>
    <font>
      <name val="Calibri"/>
      <color rgb="00B45309"/>
      <sz val="8"/>
    </font>
    <font>
      <name val="Calibri"/>
      <color rgb="00047857"/>
      <sz val="8"/>
    </font>
    <font>
      <name val="Calibri"/>
      <b val="1"/>
      <color rgb="00FFFFFF"/>
      <sz val="11"/>
    </font>
    <font>
      <name val="Calibri"/>
      <i val="1"/>
      <color rgb="00374151"/>
      <sz val="9"/>
    </font>
    <font>
      <name val="Calibri"/>
      <b val="1"/>
      <color rgb="00D97706"/>
      <sz val="9"/>
    </font>
    <font>
      <name val="Calibri"/>
      <b val="1"/>
      <color rgb="007C3AED"/>
      <sz val="9"/>
    </font>
    <font>
      <name val="Calibri"/>
      <b val="1"/>
      <color rgb="00B91C1C"/>
      <sz val="9"/>
    </font>
    <font>
      <name val="Calibri"/>
      <b val="1"/>
      <color rgb="000369A1"/>
      <sz val="9"/>
    </font>
    <font>
      <name val="Calibri"/>
      <b val="1"/>
      <color rgb="00047857"/>
      <sz val="9"/>
    </font>
    <font>
      <name val="Calibri"/>
      <b val="1"/>
      <color rgb="00BE185D"/>
      <sz val="9"/>
    </font>
    <font>
      <name val="Calibri"/>
      <b val="1"/>
      <color rgb="00B45309"/>
      <sz val="9"/>
    </font>
    <font>
      <name val="Calibri"/>
      <b val="1"/>
      <color rgb="006D28D9"/>
      <sz val="9"/>
    </font>
    <font>
      <name val="Calibri"/>
      <b val="1"/>
      <color rgb="00374151"/>
      <sz val="9"/>
    </font>
    <font>
      <name val="Calibri"/>
      <b val="1"/>
      <color rgb="0078350F"/>
      <sz val="9"/>
    </font>
    <font>
      <name val="Calibri"/>
      <b val="1"/>
      <color rgb="00B45309"/>
      <sz val="10"/>
    </font>
    <font>
      <name val="Calibri"/>
      <color rgb="006D28D9"/>
      <sz val="8"/>
    </font>
    <font>
      <name val="Calibri"/>
      <b val="1"/>
      <color rgb="000E7490"/>
      <sz val="11"/>
    </font>
    <font>
      <name val="Calibri"/>
      <i val="1"/>
      <color rgb="00546E7A"/>
      <sz val="8"/>
    </font>
    <font>
      <name val="Calibri"/>
      <b val="1"/>
      <color rgb="0015803D"/>
      <sz val="11"/>
    </font>
    <font>
      <name val="Calibri"/>
      <b val="1"/>
      <color rgb="007B1FA2"/>
      <sz val="11"/>
    </font>
    <font>
      <name val="Calibri"/>
      <b val="1"/>
      <color rgb="00C2410C"/>
      <sz val="11"/>
    </font>
    <font>
      <name val="Calibri"/>
      <color rgb="00374151"/>
      <sz val="9"/>
    </font>
  </fonts>
  <fills count="2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0D1B2E"/>
      </patternFill>
    </fill>
    <fill>
      <patternFill patternType="solid">
        <fgColor rgb="00F3E5F5"/>
      </patternFill>
    </fill>
    <fill>
      <patternFill patternType="solid">
        <fgColor rgb="00FFFFFF"/>
      </patternFill>
    </fill>
    <fill>
      <patternFill patternType="solid">
        <fgColor rgb="00F8FAFF"/>
      </patternFill>
    </fill>
    <fill>
      <patternFill patternType="solid">
        <fgColor rgb="00CFFAFE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0E7490"/>
      </patternFill>
    </fill>
    <fill>
      <patternFill patternType="solid">
        <fgColor rgb="0015803D"/>
      </patternFill>
    </fill>
    <fill>
      <patternFill patternType="solid">
        <fgColor rgb="007B1FA2"/>
      </patternFill>
    </fill>
    <fill>
      <patternFill patternType="solid">
        <fgColor rgb="00C2410C"/>
      </patternFill>
    </fill>
    <fill>
      <patternFill patternType="solid">
        <fgColor rgb="0092400E"/>
      </patternFill>
    </fill>
    <fill>
      <patternFill patternType="solid">
        <fgColor rgb="00EFF6FF"/>
      </patternFill>
    </fill>
    <fill>
      <patternFill patternType="solid">
        <fgColor rgb="00FDE68A"/>
      </patternFill>
    </fill>
    <fill>
      <patternFill patternType="solid">
        <fgColor rgb="00FEE2E2"/>
      </patternFill>
    </fill>
    <fill>
      <patternFill patternType="solid">
        <fgColor rgb="00FEF9C3"/>
      </patternFill>
    </fill>
    <fill>
      <patternFill patternType="solid">
        <fgColor rgb="001565C0"/>
      </patternFill>
    </fill>
    <fill>
      <patternFill patternType="solid">
        <fgColor rgb="00F9FAFB"/>
      </patternFill>
    </fill>
    <fill>
      <patternFill patternType="solid">
        <fgColor rgb="0078350F"/>
      </patternFill>
    </fill>
    <fill>
      <patternFill patternType="solid">
        <fgColor rgb="00FFFBEB"/>
      </patternFill>
    </fill>
    <fill>
      <patternFill patternType="solid">
        <fgColor rgb="0014532D"/>
      </patternFill>
    </fill>
    <fill>
      <patternFill patternType="solid">
        <fgColor rgb="001E3A5F"/>
      </patternFill>
    </fill>
    <fill>
      <patternFill patternType="solid">
        <fgColor rgb="000C4A6E"/>
      </patternFill>
    </fill>
    <fill>
      <patternFill patternType="solid">
        <fgColor rgb="00F1F5F9"/>
      </patternFill>
    </fill>
  </fills>
  <borders count="7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/>
      <top style="thin">
        <color rgb="00D0D7DE"/>
      </top>
      <bottom style="thin">
        <color rgb="00D0D7DE"/>
      </bottom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1">
    <xf numFmtId="0" fontId="0" fillId="0" borderId="0"/>
  </cellStyleXfs>
  <cellXfs count="148">
    <xf numFmtId="0" fontId="0" fillId="0" borderId="0" pivotButton="0" quotePrefix="0" xfId="0"/>
    <xf numFmtId="0" fontId="23" fillId="15" borderId="0" applyAlignment="1" pivotButton="0" quotePrefix="0" xfId="0">
      <alignment horizontal="left" vertical="center"/>
    </xf>
    <xf numFmtId="0" fontId="24" fillId="16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25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/>
    </xf>
    <xf numFmtId="0" fontId="5" fillId="17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24" fillId="7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26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27" fillId="18" borderId="2" applyAlignment="1" pivotButton="0" quotePrefix="0" xfId="0">
      <alignment horizontal="center" vertical="center"/>
    </xf>
    <xf numFmtId="0" fontId="24" fillId="6" borderId="2" applyAlignment="1" pivotButton="0" quotePrefix="0" xfId="0">
      <alignment horizontal="left" vertical="center" wrapText="1"/>
    </xf>
    <xf numFmtId="0" fontId="28" fillId="7" borderId="2" applyAlignment="1" pivotButton="0" quotePrefix="0" xfId="0">
      <alignment horizontal="left" vertical="center"/>
    </xf>
    <xf numFmtId="0" fontId="29" fillId="6" borderId="2" applyAlignment="1" pivotButton="0" quotePrefix="0" xfId="0">
      <alignment horizontal="left" vertical="center"/>
    </xf>
    <xf numFmtId="0" fontId="30" fillId="7" borderId="2" applyAlignment="1" pivotButton="0" quotePrefix="0" xfId="0">
      <alignment horizontal="left" vertical="center"/>
    </xf>
    <xf numFmtId="0" fontId="31" fillId="6" borderId="2" applyAlignment="1" pivotButton="0" quotePrefix="0" xfId="0">
      <alignment horizontal="left" vertical="center"/>
    </xf>
    <xf numFmtId="0" fontId="5" fillId="18" borderId="2" applyAlignment="1" pivotButton="0" quotePrefix="0" xfId="0">
      <alignment horizontal="center" vertical="center"/>
    </xf>
    <xf numFmtId="0" fontId="32" fillId="7" borderId="2" applyAlignment="1" pivotButton="0" quotePrefix="0" xfId="0">
      <alignment horizontal="left" vertical="center"/>
    </xf>
    <xf numFmtId="0" fontId="33" fillId="6" borderId="2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 wrapText="1"/>
    </xf>
    <xf numFmtId="164" fontId="5" fillId="7" borderId="2" applyAlignment="1" pivotButton="0" quotePrefix="0" xfId="0">
      <alignment horizontal="center" vertical="center"/>
    </xf>
    <xf numFmtId="164" fontId="5" fillId="9" borderId="2" applyAlignment="1" pivotButton="0" quotePrefix="0" xfId="0">
      <alignment horizontal="center" vertical="center"/>
    </xf>
    <xf numFmtId="164" fontId="5" fillId="6" borderId="2" applyAlignment="1" pivotButton="0" quotePrefix="0" xfId="0">
      <alignment horizontal="center" vertical="center"/>
    </xf>
    <xf numFmtId="0" fontId="11" fillId="8" borderId="0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 wrapText="1"/>
    </xf>
    <xf numFmtId="0" fontId="5" fillId="19" borderId="2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  <xf numFmtId="0" fontId="13" fillId="5" borderId="0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3" fontId="5" fillId="7" borderId="2" applyAlignment="1" pivotButton="0" quotePrefix="0" xfId="0">
      <alignment horizontal="center" vertical="center"/>
    </xf>
    <xf numFmtId="2" fontId="5" fillId="18" borderId="2" applyAlignment="1" pivotButton="0" quotePrefix="0" xfId="0">
      <alignment horizontal="center" vertical="center"/>
    </xf>
    <xf numFmtId="166" fontId="5" fillId="7" borderId="2" applyAlignment="1" pivotButton="0" quotePrefix="0" xfId="0">
      <alignment horizontal="center" vertical="center"/>
    </xf>
    <xf numFmtId="0" fontId="15" fillId="18" borderId="2" applyAlignment="1" pivotButton="0" quotePrefix="0" xfId="0">
      <alignment horizontal="center" vertical="center"/>
    </xf>
    <xf numFmtId="3" fontId="5" fillId="6" borderId="2" applyAlignment="1" pivotButton="0" quotePrefix="0" xfId="0">
      <alignment horizontal="center" vertical="center"/>
    </xf>
    <xf numFmtId="166" fontId="5" fillId="6" borderId="2" applyAlignment="1" pivotButton="0" quotePrefix="0" xfId="0">
      <alignment horizontal="center" vertical="center"/>
    </xf>
    <xf numFmtId="0" fontId="15" fillId="10" borderId="2" applyAlignment="1" pivotButton="0" quotePrefix="0" xfId="0">
      <alignment horizontal="center" vertical="center"/>
    </xf>
    <xf numFmtId="2" fontId="5" fillId="10" borderId="2" applyAlignment="1" pivotButton="0" quotePrefix="0" xfId="0">
      <alignment horizontal="center" vertical="center"/>
    </xf>
    <xf numFmtId="2" fontId="5" fillId="9" borderId="2" applyAlignment="1" pivotButton="0" quotePrefix="0" xfId="0">
      <alignment horizontal="center" vertical="center"/>
    </xf>
    <xf numFmtId="0" fontId="15" fillId="9" borderId="2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 wrapText="1"/>
    </xf>
    <xf numFmtId="0" fontId="15" fillId="3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15" fillId="21" borderId="2" applyAlignment="1" pivotButton="0" quotePrefix="0" xfId="0">
      <alignment horizontal="center" vertical="center"/>
    </xf>
    <xf numFmtId="0" fontId="23" fillId="22" borderId="0" applyAlignment="1" pivotButton="0" quotePrefix="0" xfId="0">
      <alignment horizontal="left" vertical="center"/>
    </xf>
    <xf numFmtId="0" fontId="3" fillId="22" borderId="1" applyAlignment="1" pivotButton="0" quotePrefix="0" xfId="0">
      <alignment horizontal="center" vertical="center" wrapText="1"/>
    </xf>
    <xf numFmtId="0" fontId="34" fillId="6" borderId="2" applyAlignment="1" pivotButton="0" quotePrefix="0" xfId="0">
      <alignment horizontal="left" vertical="center"/>
    </xf>
    <xf numFmtId="3" fontId="5" fillId="17" borderId="2" applyAlignment="1" pivotButton="0" quotePrefix="0" xfId="0">
      <alignment horizontal="center" vertical="center"/>
    </xf>
    <xf numFmtId="2" fontId="5" fillId="6" borderId="2" applyAlignment="1" pivotButton="0" quotePrefix="0" xfId="0">
      <alignment horizontal="center" vertical="center"/>
    </xf>
    <xf numFmtId="0" fontId="34" fillId="7" borderId="2" applyAlignment="1" pivotButton="0" quotePrefix="0" xfId="0">
      <alignment horizontal="left" vertical="center"/>
    </xf>
    <xf numFmtId="2" fontId="5" fillId="7" borderId="2" applyAlignment="1" pivotButton="0" quotePrefix="0" xfId="0">
      <alignment horizontal="center" vertical="center"/>
    </xf>
    <xf numFmtId="0" fontId="10" fillId="22" borderId="2" applyAlignment="1" pivotButton="0" quotePrefix="0" xfId="0">
      <alignment horizontal="center" vertical="center"/>
    </xf>
    <xf numFmtId="0" fontId="3" fillId="22" borderId="2" applyAlignment="1" pivotButton="0" quotePrefix="0" xfId="0">
      <alignment horizontal="left" vertical="center"/>
    </xf>
    <xf numFmtId="3" fontId="3" fillId="22" borderId="2" applyAlignment="1" pivotButton="0" quotePrefix="0" xfId="0">
      <alignment horizontal="center" vertical="center"/>
    </xf>
    <xf numFmtId="0" fontId="3" fillId="22" borderId="2" applyAlignment="1" pivotButton="0" quotePrefix="0" xfId="0">
      <alignment horizontal="center" vertical="center"/>
    </xf>
    <xf numFmtId="0" fontId="35" fillId="23" borderId="0" applyAlignment="1" pivotButton="0" quotePrefix="0" xfId="0">
      <alignment horizontal="left" vertical="center"/>
    </xf>
    <xf numFmtId="0" fontId="34" fillId="23" borderId="2" applyAlignment="1" pivotButton="0" quotePrefix="0" xfId="0">
      <alignment horizontal="center" vertical="center"/>
    </xf>
    <xf numFmtId="0" fontId="23" fillId="24" borderId="0" applyAlignment="1" pivotButton="0" quotePrefix="0" xfId="0">
      <alignment horizontal="left" vertical="center"/>
    </xf>
    <xf numFmtId="0" fontId="15" fillId="9" borderId="2" applyAlignment="1" pivotButton="0" quotePrefix="0" xfId="0">
      <alignment horizontal="left" vertical="center"/>
    </xf>
    <xf numFmtId="3" fontId="15" fillId="9" borderId="2" applyAlignment="1" pivotButton="0" quotePrefix="0" xfId="0">
      <alignment horizontal="center" vertical="center"/>
    </xf>
    <xf numFmtId="3" fontId="5" fillId="9" borderId="2" applyAlignment="1" pivotButton="0" quotePrefix="0" xfId="0">
      <alignment horizontal="center" vertical="center"/>
    </xf>
    <xf numFmtId="0" fontId="24" fillId="9" borderId="2" applyAlignment="1" pivotButton="0" quotePrefix="0" xfId="0">
      <alignment horizontal="left" vertical="center" wrapText="1"/>
    </xf>
    <xf numFmtId="0" fontId="15" fillId="21" borderId="2" applyAlignment="1" pivotButton="0" quotePrefix="0" xfId="0">
      <alignment horizontal="left" vertical="center"/>
    </xf>
    <xf numFmtId="3" fontId="15" fillId="21" borderId="2" applyAlignment="1" pivotButton="0" quotePrefix="0" xfId="0">
      <alignment horizontal="center" vertical="center"/>
    </xf>
    <xf numFmtId="3" fontId="5" fillId="21" borderId="2" applyAlignment="1" pivotButton="0" quotePrefix="0" xfId="0">
      <alignment horizontal="center" vertical="center"/>
    </xf>
    <xf numFmtId="0" fontId="24" fillId="21" borderId="2" applyAlignment="1" pivotButton="0" quotePrefix="0" xfId="0">
      <alignment horizontal="left" vertical="center" wrapText="1"/>
    </xf>
    <xf numFmtId="0" fontId="15" fillId="18" borderId="2" applyAlignment="1" pivotButton="0" quotePrefix="0" xfId="0">
      <alignment horizontal="left" vertical="center"/>
    </xf>
    <xf numFmtId="3" fontId="15" fillId="18" borderId="2" applyAlignment="1" pivotButton="0" quotePrefix="0" xfId="0">
      <alignment horizontal="center" vertical="center"/>
    </xf>
    <xf numFmtId="3" fontId="5" fillId="18" borderId="2" applyAlignment="1" pivotButton="0" quotePrefix="0" xfId="0">
      <alignment horizontal="center" vertical="center"/>
    </xf>
    <xf numFmtId="0" fontId="24" fillId="18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left" vertical="center"/>
    </xf>
    <xf numFmtId="0" fontId="16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left" vertical="center"/>
    </xf>
    <xf numFmtId="0" fontId="19" fillId="7" borderId="2" applyAlignment="1" pivotButton="0" quotePrefix="0" xfId="0">
      <alignment horizontal="center" vertical="center"/>
    </xf>
    <xf numFmtId="0" fontId="17" fillId="6" borderId="2" applyAlignment="1" pivotButton="0" quotePrefix="0" xfId="0">
      <alignment horizontal="center" vertical="center"/>
    </xf>
    <xf numFmtId="0" fontId="22" fillId="7" borderId="2" applyAlignment="1" pivotButton="0" quotePrefix="0" xfId="0">
      <alignment horizontal="center" vertical="center"/>
    </xf>
    <xf numFmtId="0" fontId="36" fillId="6" borderId="2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6" fillId="7" borderId="2" applyAlignment="1" pivotButton="0" quotePrefix="0" xfId="0">
      <alignment horizontal="center" vertical="center"/>
    </xf>
    <xf numFmtId="0" fontId="20" fillId="7" borderId="2" applyAlignment="1" pivotButton="0" quotePrefix="0" xfId="0">
      <alignment horizontal="center" vertical="center"/>
    </xf>
    <xf numFmtId="0" fontId="22" fillId="6" borderId="2" applyAlignment="1" pivotButton="0" quotePrefix="0" xfId="0">
      <alignment horizontal="center" vertical="center"/>
    </xf>
    <xf numFmtId="0" fontId="21" fillId="7" borderId="2" applyAlignment="1" pivotButton="0" quotePrefix="0" xfId="0">
      <alignment horizontal="center" vertical="center"/>
    </xf>
    <xf numFmtId="0" fontId="21" fillId="6" borderId="2" applyAlignment="1" pivotButton="0" quotePrefix="0" xfId="0">
      <alignment horizontal="center" vertical="center"/>
    </xf>
    <xf numFmtId="0" fontId="23" fillId="25" borderId="0" applyAlignment="1" pivotButton="0" quotePrefix="0" xfId="0">
      <alignment horizontal="left" vertical="center"/>
    </xf>
    <xf numFmtId="0" fontId="6" fillId="3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23" fillId="26" borderId="0" applyAlignment="1" pivotButton="0" quotePrefix="0" xfId="0">
      <alignment horizontal="left" vertical="center"/>
    </xf>
    <xf numFmtId="0" fontId="37" fillId="8" borderId="0" pivotButton="0" quotePrefix="0" xfId="0"/>
    <xf numFmtId="0" fontId="38" fillId="2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0" fontId="39" fillId="9" borderId="0" pivotButton="0" quotePrefix="0" xfId="0"/>
    <xf numFmtId="0" fontId="8" fillId="9" borderId="2" applyAlignment="1" pivotButton="0" quotePrefix="0" xfId="0">
      <alignment horizontal="center" vertical="center" wrapText="1"/>
    </xf>
    <xf numFmtId="0" fontId="40" fillId="5" borderId="0" pivotButton="0" quotePrefix="0" xfId="0"/>
    <xf numFmtId="0" fontId="4" fillId="5" borderId="2" applyAlignment="1" pivotButton="0" quotePrefix="0" xfId="0">
      <alignment horizontal="center" vertical="center" wrapText="1"/>
    </xf>
    <xf numFmtId="0" fontId="41" fillId="10" borderId="0" pivotButton="0" quotePrefix="0" xfId="0"/>
    <xf numFmtId="0" fontId="9" fillId="10" borderId="2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left" vertical="center"/>
    </xf>
    <xf numFmtId="0" fontId="15" fillId="7" borderId="2" applyAlignment="1" pivotButton="0" quotePrefix="0" xfId="0">
      <alignment horizontal="left" vertical="center"/>
    </xf>
    <xf numFmtId="0" fontId="8" fillId="7" borderId="2" applyAlignment="1" pivotButton="0" quotePrefix="0" xfId="0">
      <alignment horizontal="center" vertical="center"/>
    </xf>
    <xf numFmtId="0" fontId="27" fillId="7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 wrapText="1"/>
    </xf>
    <xf numFmtId="0" fontId="42" fillId="7" borderId="2" applyAlignment="1" pivotButton="0" quotePrefix="0" xfId="0">
      <alignment horizontal="left" vertical="top" wrapText="1"/>
    </xf>
    <xf numFmtId="0" fontId="42" fillId="6" borderId="2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4" fillId="5" borderId="2" applyAlignment="1" pivotButton="0" quotePrefix="0" xfId="0">
      <alignment horizontal="left" vertical="center"/>
    </xf>
    <xf numFmtId="165" fontId="5" fillId="6" borderId="2" applyAlignment="1" pivotButton="0" quotePrefix="0" xfId="0">
      <alignment horizontal="center" vertical="center"/>
    </xf>
    <xf numFmtId="165" fontId="5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/>
    </xf>
    <xf numFmtId="0" fontId="8" fillId="9" borderId="2" applyAlignment="1" pivotButton="0" quotePrefix="0" xfId="0">
      <alignment horizontal="left" vertical="center"/>
    </xf>
    <xf numFmtId="0" fontId="9" fillId="10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10" fillId="4" borderId="2" applyAlignment="1" pivotButton="0" quotePrefix="0" xfId="0">
      <alignment horizontal="center" vertical="center"/>
    </xf>
    <xf numFmtId="3" fontId="3" fillId="4" borderId="2" applyAlignment="1" pivotButton="0" quotePrefix="0" xfId="0">
      <alignment horizontal="center" vertical="center"/>
    </xf>
    <xf numFmtId="164" fontId="3" fillId="4" borderId="2" applyAlignment="1" pivotButton="0" quotePrefix="0" xfId="0">
      <alignment horizontal="center" vertical="center"/>
    </xf>
    <xf numFmtId="2" fontId="10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11" fillId="8" borderId="0" pivotButton="0" quotePrefix="0" xfId="0"/>
    <xf numFmtId="3" fontId="4" fillId="5" borderId="2" applyAlignment="1" pivotButton="0" quotePrefix="0" xfId="0">
      <alignment horizontal="center" vertical="center"/>
    </xf>
    <xf numFmtId="3" fontId="6" fillId="3" borderId="2" applyAlignment="1" pivotButton="0" quotePrefix="0" xfId="0">
      <alignment horizontal="center" vertical="center"/>
    </xf>
    <xf numFmtId="3" fontId="7" fillId="8" borderId="2" applyAlignment="1" pivotButton="0" quotePrefix="0" xfId="0">
      <alignment horizontal="center" vertical="center"/>
    </xf>
    <xf numFmtId="3" fontId="8" fillId="9" borderId="2" applyAlignment="1" pivotButton="0" quotePrefix="0" xfId="0">
      <alignment horizontal="center" vertical="center"/>
    </xf>
    <xf numFmtId="3" fontId="9" fillId="10" borderId="2" applyAlignment="1" pivotButton="0" quotePrefix="0" xfId="0">
      <alignment horizontal="center" vertical="center"/>
    </xf>
    <xf numFmtId="0" fontId="12" fillId="9" borderId="0" pivotButton="0" quotePrefix="0" xfId="0"/>
    <xf numFmtId="164" fontId="4" fillId="5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center" vertical="center"/>
    </xf>
    <xf numFmtId="164" fontId="7" fillId="8" borderId="2" applyAlignment="1" pivotButton="0" quotePrefix="0" xfId="0">
      <alignment horizontal="center" vertical="center"/>
    </xf>
    <xf numFmtId="164" fontId="8" fillId="9" borderId="2" applyAlignment="1" pivotButton="0" quotePrefix="0" xfId="0">
      <alignment horizontal="center" vertical="center"/>
    </xf>
    <xf numFmtId="164" fontId="9" fillId="10" borderId="2" applyAlignment="1" pivotButton="0" quotePrefix="0" xfId="0">
      <alignment horizontal="center" vertical="center"/>
    </xf>
    <xf numFmtId="0" fontId="13" fillId="5" borderId="0" pivotButton="0" quotePrefix="0" xfId="0"/>
    <xf numFmtId="165" fontId="0" fillId="7" borderId="2" applyAlignment="1" pivotButton="0" quotePrefix="0" xfId="0">
      <alignment horizontal="center" vertical="center"/>
    </xf>
    <xf numFmtId="165" fontId="0" fillId="6" borderId="2" applyAlignment="1" pivotButton="0" quotePrefix="0" xfId="0">
      <alignment horizontal="center" vertical="center"/>
    </xf>
    <xf numFmtId="0" fontId="14" fillId="10" borderId="0" pivotButton="0" quotePrefix="0" xfId="0"/>
    <xf numFmtId="0" fontId="3" fillId="14" borderId="1" applyAlignment="1" pivotButton="0" quotePrefix="0" xfId="0">
      <alignment horizontal="center" vertical="center" wrapText="1"/>
    </xf>
    <xf numFmtId="0" fontId="15" fillId="6" borderId="2" applyAlignment="1" pivotButton="0" quotePrefix="0" xfId="0">
      <alignment horizontal="left" vertical="center"/>
    </xf>
    <xf numFmtId="0" fontId="17" fillId="7" borderId="2" applyAlignment="1" pivotButton="0" quotePrefix="0" xfId="0">
      <alignment horizontal="center" vertical="center"/>
    </xf>
    <xf numFmtId="0" fontId="18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97706"/>
    <outlinePr summaryBelow="1" summaryRight="1"/>
    <pageSetUpPr/>
  </sheetPr>
  <dimension ref="A1:M3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2" customWidth="1" min="9" max="9"/>
    <col width="12" customWidth="1" min="10" max="10"/>
    <col width="36" customWidth="1" min="11" max="11"/>
  </cols>
  <sheetData>
    <row r="1" ht="30" customHeight="1">
      <c r="A1" s="1" t="inlineStr">
        <is>
          <t>EX-15  VF vs PREMIUM vs MID — The Tier Divergence Chart</t>
        </is>
      </c>
    </row>
    <row r="2" ht="18" customHeight="1">
      <c r="A2" s="2" t="inlineStr">
        <is>
          <t>VF rises +7.5pp Metro→T3. Premium falls -15.9pp. Revenue tells the same story in ₹ Cr. This IS the investment thesis.</t>
        </is>
      </c>
    </row>
    <row r="4" ht="20" customHeight="1">
      <c r="A4" s="3" t="inlineStr">
        <is>
          <t>A · STORE % WITHIN TIER (formulas from ⚙️ DATA Block D)</t>
        </is>
      </c>
    </row>
    <row r="5" ht="24" customHeight="1">
      <c r="A5" s="4" t="inlineStr">
        <is>
          <t>Segment</t>
        </is>
      </c>
      <c r="B5" s="4" t="inlineStr">
        <is>
          <t>Metro%</t>
        </is>
      </c>
      <c r="C5" s="4" t="inlineStr">
        <is>
          <t>T1%</t>
        </is>
      </c>
      <c r="D5" s="4" t="inlineStr">
        <is>
          <t>T2%</t>
        </is>
      </c>
      <c r="E5" s="4" t="inlineStr">
        <is>
          <t>T3%</t>
        </is>
      </c>
      <c r="F5" s="4" t="inlineStr">
        <is>
          <t>T4%</t>
        </is>
      </c>
      <c r="G5" s="4" t="inlineStr">
        <is>
          <t>Metro+T1</t>
        </is>
      </c>
      <c r="H5" s="4" t="inlineStr">
        <is>
          <t>T2+T3+T4</t>
        </is>
      </c>
      <c r="I5" s="4" t="inlineStr">
        <is>
          <t>Δ Metro→T3</t>
        </is>
      </c>
      <c r="J5" s="4" t="inlineStr">
        <is>
          <t>Signal</t>
        </is>
      </c>
    </row>
    <row r="6" ht="20" customHeight="1">
      <c r="A6" s="5" t="inlineStr">
        <is>
          <t>Value Fashion</t>
        </is>
      </c>
      <c r="B6" s="6" t="inlineStr">
        <is>
          <t>17.9%</t>
        </is>
      </c>
      <c r="C6" s="6" t="inlineStr">
        <is>
          <t>20.3%</t>
        </is>
      </c>
      <c r="D6" s="7" t="inlineStr">
        <is>
          <t>32.9%</t>
        </is>
      </c>
      <c r="E6" s="7" t="inlineStr">
        <is>
          <t>25.4%</t>
        </is>
      </c>
      <c r="F6" s="6" t="inlineStr">
        <is>
          <t>3.6%</t>
        </is>
      </c>
      <c r="G6" s="6" t="inlineStr">
        <is>
          <t>38.2%</t>
        </is>
      </c>
      <c r="H6" s="8" t="inlineStr">
        <is>
          <t>61.9%</t>
        </is>
      </c>
      <c r="I6" s="9" t="inlineStr">
        <is>
          <t>+7.5pp</t>
        </is>
      </c>
      <c r="J6" s="10" t="inlineStr">
        <is>
          <t>🟢 RISES — tier-agnostic entry brand</t>
        </is>
      </c>
      <c r="K6" s="11" t="n"/>
      <c r="L6" s="11" t="n"/>
      <c r="M6" s="12" t="n"/>
    </row>
    <row r="7" ht="20" customHeight="1">
      <c r="A7" s="13" t="inlineStr">
        <is>
          <t>Premium Menswear</t>
        </is>
      </c>
      <c r="B7" s="7" t="inlineStr">
        <is>
          <t>28.8%</t>
        </is>
      </c>
      <c r="C7" s="7" t="inlineStr">
        <is>
          <t>25.8%</t>
        </is>
      </c>
      <c r="D7" s="7" t="inlineStr">
        <is>
          <t>30.1%</t>
        </is>
      </c>
      <c r="E7" s="14" t="inlineStr">
        <is>
          <t>12.9%</t>
        </is>
      </c>
      <c r="F7" s="14" t="inlineStr">
        <is>
          <t>2.4%</t>
        </is>
      </c>
      <c r="G7" s="14" t="inlineStr">
        <is>
          <t>54.6%</t>
        </is>
      </c>
      <c r="H7" s="14" t="inlineStr">
        <is>
          <t>45.4%</t>
        </is>
      </c>
      <c r="I7" s="15" t="inlineStr">
        <is>
          <t>-15.9pp</t>
        </is>
      </c>
      <c r="J7" s="16" t="inlineStr">
        <is>
          <t>🔴 FALLS — Metro luxury, T3 near-zero</t>
        </is>
      </c>
      <c r="K7" s="11" t="n"/>
      <c r="L7" s="11" t="n"/>
      <c r="M7" s="12" t="n"/>
    </row>
    <row r="8" ht="20" customHeight="1">
      <c r="A8" s="17" t="inlineStr">
        <is>
          <t>Mid Menswear</t>
        </is>
      </c>
      <c r="B8" s="6" t="inlineStr">
        <is>
          <t>19.9%</t>
        </is>
      </c>
      <c r="C8" s="6" t="inlineStr">
        <is>
          <t>20.7%</t>
        </is>
      </c>
      <c r="D8" s="7" t="inlineStr">
        <is>
          <t>31.8%</t>
        </is>
      </c>
      <c r="E8" s="6" t="inlineStr">
        <is>
          <t>23.4%</t>
        </is>
      </c>
      <c r="F8" s="6" t="inlineStr">
        <is>
          <t>4.2%</t>
        </is>
      </c>
      <c r="G8" s="6" t="inlineStr">
        <is>
          <t>40.6%</t>
        </is>
      </c>
      <c r="H8" s="8" t="inlineStr">
        <is>
          <t>59.4%</t>
        </is>
      </c>
      <c r="I8" s="9" t="inlineStr">
        <is>
          <t>+3.5pp</t>
        </is>
      </c>
      <c r="J8" s="10" t="inlineStr">
        <is>
          <t>🟡 RISES — work-casual crossover</t>
        </is>
      </c>
      <c r="K8" s="11" t="n"/>
      <c r="L8" s="11" t="n"/>
      <c r="M8" s="12" t="n"/>
    </row>
    <row r="9" ht="20" customHeight="1">
      <c r="A9" s="18" t="inlineStr">
        <is>
          <t>Footwear</t>
        </is>
      </c>
      <c r="B9" s="7" t="inlineStr">
        <is>
          <t>26.6%</t>
        </is>
      </c>
      <c r="C9" s="14" t="inlineStr">
        <is>
          <t>22.3%</t>
        </is>
      </c>
      <c r="D9" s="7" t="inlineStr">
        <is>
          <t>29.7%</t>
        </is>
      </c>
      <c r="E9" s="14" t="inlineStr">
        <is>
          <t>18.0%</t>
        </is>
      </c>
      <c r="F9" s="14" t="inlineStr">
        <is>
          <t>3.4%</t>
        </is>
      </c>
      <c r="G9" s="14" t="inlineStr">
        <is>
          <t>48.9%</t>
        </is>
      </c>
      <c r="H9" s="8" t="inlineStr">
        <is>
          <t>51.1%</t>
        </is>
      </c>
      <c r="I9" s="15" t="inlineStr">
        <is>
          <t>-8.6pp</t>
        </is>
      </c>
      <c r="J9" s="16" t="inlineStr">
        <is>
          <t>⚪ STABLE — most balanced category</t>
        </is>
      </c>
      <c r="K9" s="11" t="n"/>
      <c r="L9" s="11" t="n"/>
      <c r="M9" s="12" t="n"/>
    </row>
    <row r="10" ht="20" customHeight="1">
      <c r="A10" s="19" t="inlineStr">
        <is>
          <t>Activewear</t>
        </is>
      </c>
      <c r="B10" s="7" t="inlineStr">
        <is>
          <t>28.2%</t>
        </is>
      </c>
      <c r="C10" s="7" t="inlineStr">
        <is>
          <t>26.0%</t>
        </is>
      </c>
      <c r="D10" s="7" t="inlineStr">
        <is>
          <t>29.0%</t>
        </is>
      </c>
      <c r="E10" s="6" t="inlineStr">
        <is>
          <t>14.2%</t>
        </is>
      </c>
      <c r="F10" s="6" t="inlineStr">
        <is>
          <t>2.7%</t>
        </is>
      </c>
      <c r="G10" s="6" t="inlineStr">
        <is>
          <t>54.2%</t>
        </is>
      </c>
      <c r="H10" s="6" t="inlineStr">
        <is>
          <t>45.9%</t>
        </is>
      </c>
      <c r="I10" s="15" t="inlineStr">
        <is>
          <t>-14.0pp</t>
        </is>
      </c>
      <c r="J10" s="10" t="inlineStr">
        <is>
          <t>🔴 FALLS — urban aspirational skew</t>
        </is>
      </c>
      <c r="K10" s="11" t="n"/>
      <c r="L10" s="11" t="n"/>
      <c r="M10" s="12" t="n"/>
    </row>
    <row r="11" ht="20" customHeight="1">
      <c r="A11" s="20" t="inlineStr">
        <is>
          <t>Women's Ethnic</t>
        </is>
      </c>
      <c r="B11" s="7" t="inlineStr">
        <is>
          <t>35.1%</t>
        </is>
      </c>
      <c r="C11" s="7" t="inlineStr">
        <is>
          <t>26.9%</t>
        </is>
      </c>
      <c r="D11" s="7" t="inlineStr">
        <is>
          <t>26.2%</t>
        </is>
      </c>
      <c r="E11" s="14" t="inlineStr">
        <is>
          <t>9.4%</t>
        </is>
      </c>
      <c r="F11" s="14" t="inlineStr">
        <is>
          <t>2.5%</t>
        </is>
      </c>
      <c r="G11" s="21" t="inlineStr">
        <is>
          <t>62.0%</t>
        </is>
      </c>
      <c r="H11" s="14" t="inlineStr">
        <is>
          <t>38.1%</t>
        </is>
      </c>
      <c r="I11" s="15" t="inlineStr">
        <is>
          <t>-25.7pp</t>
        </is>
      </c>
      <c r="J11" s="16" t="inlineStr">
        <is>
          <t>🔴 FALLS — Metro captive, T3 whitespace</t>
        </is>
      </c>
      <c r="K11" s="11" t="n"/>
      <c r="L11" s="11" t="n"/>
      <c r="M11" s="12" t="n"/>
    </row>
    <row r="12" ht="20" customHeight="1">
      <c r="A12" s="22" t="inlineStr">
        <is>
          <t>Women's Western</t>
        </is>
      </c>
      <c r="B12" s="7" t="inlineStr">
        <is>
          <t>35.2%</t>
        </is>
      </c>
      <c r="C12" s="7" t="inlineStr">
        <is>
          <t>28.5%</t>
        </is>
      </c>
      <c r="D12" s="6" t="inlineStr">
        <is>
          <t>24.8%</t>
        </is>
      </c>
      <c r="E12" s="6" t="inlineStr">
        <is>
          <t>9.3%</t>
        </is>
      </c>
      <c r="F12" s="6" t="inlineStr">
        <is>
          <t>2.3%</t>
        </is>
      </c>
      <c r="G12" s="21" t="inlineStr">
        <is>
          <t>63.7%</t>
        </is>
      </c>
      <c r="H12" s="6" t="inlineStr">
        <is>
          <t>36.4%</t>
        </is>
      </c>
      <c r="I12" s="15" t="inlineStr">
        <is>
          <t>-25.9pp</t>
        </is>
      </c>
      <c r="J12" s="10" t="inlineStr">
        <is>
          <t>🔴 FALLS — largest absolute whitespace</t>
        </is>
      </c>
      <c r="K12" s="11" t="n"/>
      <c r="L12" s="11" t="n"/>
      <c r="M12" s="12" t="n"/>
    </row>
    <row r="13" ht="20" customHeight="1">
      <c r="A13" s="23" t="inlineStr">
        <is>
          <t>Multi/Lifestyle</t>
        </is>
      </c>
      <c r="B13" s="14" t="inlineStr">
        <is>
          <t>23.6%</t>
        </is>
      </c>
      <c r="C13" s="14" t="inlineStr">
        <is>
          <t>18.7%</t>
        </is>
      </c>
      <c r="D13" s="7" t="inlineStr">
        <is>
          <t>25.2%</t>
        </is>
      </c>
      <c r="E13" s="7" t="inlineStr">
        <is>
          <t>29.9%</t>
        </is>
      </c>
      <c r="F13" s="14" t="inlineStr">
        <is>
          <t>2.5%</t>
        </is>
      </c>
      <c r="G13" s="14" t="inlineStr">
        <is>
          <t>42.3%</t>
        </is>
      </c>
      <c r="H13" s="8" t="inlineStr">
        <is>
          <t>57.6%</t>
        </is>
      </c>
      <c r="I13" s="9" t="inlineStr">
        <is>
          <t>+6.3pp</t>
        </is>
      </c>
      <c r="J13" s="16" t="inlineStr">
        <is>
          <t>⚪ STABLE — mall-format dependent</t>
        </is>
      </c>
      <c r="K13" s="11" t="n"/>
      <c r="L13" s="11" t="n"/>
      <c r="M13" s="12" t="n"/>
    </row>
    <row r="16" ht="20" customHeight="1">
      <c r="A16" s="24" t="inlineStr">
        <is>
          <t>B · REVENUE ₹Cr — Stores→Revenue Same Direction (formula-driven from ⚙️ DATA Block C)</t>
        </is>
      </c>
    </row>
    <row r="17" ht="24" customHeight="1">
      <c r="A17" s="25" t="inlineStr">
        <is>
          <t>Segment</t>
        </is>
      </c>
      <c r="B17" s="25" t="inlineStr">
        <is>
          <t>Metro</t>
        </is>
      </c>
      <c r="C17" s="25" t="inlineStr">
        <is>
          <t>T1</t>
        </is>
      </c>
      <c r="D17" s="25" t="inlineStr">
        <is>
          <t>T2</t>
        </is>
      </c>
      <c r="E17" s="25" t="inlineStr">
        <is>
          <t>T3</t>
        </is>
      </c>
      <c r="F17" s="25" t="inlineStr">
        <is>
          <t>T4</t>
        </is>
      </c>
      <c r="G17" s="25" t="inlineStr">
        <is>
          <t>TOTAL</t>
        </is>
      </c>
      <c r="H17" s="25" t="inlineStr">
        <is>
          <t>Metro Rev</t>
        </is>
      </c>
      <c r="I17" s="25" t="inlineStr">
        <is>
          <t>T3 Rev</t>
        </is>
      </c>
      <c r="J17" s="25" t="inlineStr">
        <is>
          <t>T3/Metro</t>
        </is>
      </c>
    </row>
    <row r="18" ht="18" customHeight="1">
      <c r="A18" s="5" t="inlineStr">
        <is>
          <t>Value Fashion</t>
        </is>
      </c>
      <c r="B18" s="26" t="n">
        <v>6379.8</v>
      </c>
      <c r="C18" s="26" t="n">
        <v>7930.6</v>
      </c>
      <c r="D18" s="26" t="n">
        <v>14804.8</v>
      </c>
      <c r="E18" s="26" t="n">
        <v>11833.9</v>
      </c>
      <c r="F18" s="26" t="n">
        <v>1596.2</v>
      </c>
      <c r="G18" s="26" t="n">
        <v>42545.3</v>
      </c>
      <c r="H18" s="26" t="n">
        <v>6379.8</v>
      </c>
      <c r="I18" s="27" t="n">
        <v>11833.9</v>
      </c>
      <c r="J18" s="8" t="inlineStr">
        <is>
          <t>1.85x</t>
        </is>
      </c>
    </row>
    <row r="19" ht="18" customHeight="1">
      <c r="A19" s="13" t="inlineStr">
        <is>
          <t>Premium Menswear</t>
        </is>
      </c>
      <c r="B19" s="28" t="n">
        <v>2324</v>
      </c>
      <c r="C19" s="28" t="n">
        <v>1873.3</v>
      </c>
      <c r="D19" s="28" t="n">
        <v>1949</v>
      </c>
      <c r="E19" s="28" t="n">
        <v>691.2</v>
      </c>
      <c r="F19" s="28" t="n">
        <v>161.5</v>
      </c>
      <c r="G19" s="28" t="n">
        <v>6999</v>
      </c>
      <c r="H19" s="28" t="n">
        <v>2324</v>
      </c>
      <c r="I19" s="28" t="n">
        <v>691.2</v>
      </c>
      <c r="J19" s="14" t="inlineStr">
        <is>
          <t>0.30x</t>
        </is>
      </c>
    </row>
    <row r="20" ht="18" customHeight="1">
      <c r="A20" s="17" t="inlineStr">
        <is>
          <t>Mid Menswear</t>
        </is>
      </c>
      <c r="B20" s="26" t="n">
        <v>598.4</v>
      </c>
      <c r="C20" s="26" t="n">
        <v>756.1</v>
      </c>
      <c r="D20" s="26" t="n">
        <v>1185.1</v>
      </c>
      <c r="E20" s="26" t="n">
        <v>1155.1</v>
      </c>
      <c r="F20" s="26" t="n">
        <v>290.9</v>
      </c>
      <c r="G20" s="26" t="n">
        <v>3985.6</v>
      </c>
      <c r="H20" s="26" t="n">
        <v>598.4</v>
      </c>
      <c r="I20" s="27" t="n">
        <v>1155.1</v>
      </c>
      <c r="J20" s="8" t="inlineStr">
        <is>
          <t>1.93x</t>
        </is>
      </c>
    </row>
    <row r="21" ht="18" customHeight="1">
      <c r="A21" s="18" t="inlineStr">
        <is>
          <t>Footwear</t>
        </is>
      </c>
      <c r="B21" s="28" t="n">
        <v>2446.3</v>
      </c>
      <c r="C21" s="28" t="n">
        <v>1985</v>
      </c>
      <c r="D21" s="28" t="n">
        <v>2706.9</v>
      </c>
      <c r="E21" s="28" t="n">
        <v>1439.1</v>
      </c>
      <c r="F21" s="28" t="n">
        <v>310.3</v>
      </c>
      <c r="G21" s="28" t="n">
        <v>8887.6</v>
      </c>
      <c r="H21" s="28" t="n">
        <v>2446.3</v>
      </c>
      <c r="I21" s="27" t="n">
        <v>1439.1</v>
      </c>
      <c r="J21" s="8" t="inlineStr">
        <is>
          <t>0.59x</t>
        </is>
      </c>
    </row>
    <row r="22" ht="18" customHeight="1">
      <c r="A22" s="19" t="inlineStr">
        <is>
          <t>Activewear</t>
        </is>
      </c>
      <c r="B22" s="26" t="n">
        <v>1605.5</v>
      </c>
      <c r="C22" s="26" t="n">
        <v>1074.6</v>
      </c>
      <c r="D22" s="26" t="n">
        <v>961.1</v>
      </c>
      <c r="E22" s="26" t="n">
        <v>304.6</v>
      </c>
      <c r="F22" s="26" t="n">
        <v>92.59999999999999</v>
      </c>
      <c r="G22" s="26" t="n">
        <v>4038.4</v>
      </c>
      <c r="H22" s="26" t="n">
        <v>1605.5</v>
      </c>
      <c r="I22" s="26" t="n">
        <v>304.6</v>
      </c>
      <c r="J22" s="21" t="inlineStr">
        <is>
          <t>0.19x</t>
        </is>
      </c>
    </row>
    <row r="23" ht="18" customHeight="1">
      <c r="A23" s="20" t="inlineStr">
        <is>
          <t>Women's Ethnic</t>
        </is>
      </c>
      <c r="B23" s="28" t="n">
        <v>759.5</v>
      </c>
      <c r="C23" s="28" t="n">
        <v>606.9</v>
      </c>
      <c r="D23" s="28" t="n">
        <v>692.4</v>
      </c>
      <c r="E23" s="28" t="n">
        <v>340.3</v>
      </c>
      <c r="F23" s="28" t="n">
        <v>114.8</v>
      </c>
      <c r="G23" s="28" t="n">
        <v>2513.9</v>
      </c>
      <c r="H23" s="28" t="n">
        <v>759.5</v>
      </c>
      <c r="I23" s="28" t="n">
        <v>340.3</v>
      </c>
      <c r="J23" s="14" t="inlineStr">
        <is>
          <t>0.45x</t>
        </is>
      </c>
    </row>
    <row r="24" ht="18" customHeight="1">
      <c r="A24" s="22" t="inlineStr">
        <is>
          <t>Women's Western</t>
        </is>
      </c>
      <c r="B24" s="26" t="n">
        <v>467</v>
      </c>
      <c r="C24" s="26" t="n">
        <v>362.7</v>
      </c>
      <c r="D24" s="26" t="n">
        <v>307.1</v>
      </c>
      <c r="E24" s="26" t="n">
        <v>114.1</v>
      </c>
      <c r="F24" s="26" t="n">
        <v>32.9</v>
      </c>
      <c r="G24" s="26" t="n">
        <v>1283.8</v>
      </c>
      <c r="H24" s="26" t="n">
        <v>467</v>
      </c>
      <c r="I24" s="26" t="n">
        <v>114.1</v>
      </c>
      <c r="J24" s="6" t="inlineStr">
        <is>
          <t>0.24x</t>
        </is>
      </c>
    </row>
    <row r="25" ht="18" customHeight="1">
      <c r="A25" s="23" t="inlineStr">
        <is>
          <t>Multi/Lifestyle</t>
        </is>
      </c>
      <c r="B25" s="28" t="n">
        <v>6730</v>
      </c>
      <c r="C25" s="28" t="n">
        <v>4450</v>
      </c>
      <c r="D25" s="28" t="n">
        <v>5178.9</v>
      </c>
      <c r="E25" s="28" t="n">
        <v>3410.8</v>
      </c>
      <c r="F25" s="28" t="n">
        <v>523.1</v>
      </c>
      <c r="G25" s="28" t="n">
        <v>20292.8</v>
      </c>
      <c r="H25" s="28" t="n">
        <v>6730</v>
      </c>
      <c r="I25" s="27" t="n">
        <v>3410.8</v>
      </c>
      <c r="J25" s="8" t="inlineStr">
        <is>
          <t>0.51x</t>
        </is>
      </c>
    </row>
    <row r="28" ht="20" customHeight="1">
      <c r="A28" s="29" t="inlineStr">
        <is>
          <t>C · SEGMENT MOAT % — Only 1 Brand in Segment per Pincode</t>
        </is>
      </c>
    </row>
    <row r="29" ht="24" customHeight="1">
      <c r="A29" s="30" t="inlineStr">
        <is>
          <t>Segment</t>
        </is>
      </c>
      <c r="B29" s="30" t="inlineStr">
        <is>
          <t>Metro</t>
        </is>
      </c>
      <c r="C29" s="30" t="inlineStr">
        <is>
          <t>T1</t>
        </is>
      </c>
      <c r="D29" s="30" t="inlineStr">
        <is>
          <t>T2</t>
        </is>
      </c>
      <c r="E29" s="30" t="inlineStr">
        <is>
          <t>T3</t>
        </is>
      </c>
      <c r="F29" s="30" t="inlineStr">
        <is>
          <t>T4</t>
        </is>
      </c>
      <c r="G29" s="30" t="inlineStr">
        <is>
          <t>Insight</t>
        </is>
      </c>
    </row>
    <row r="30" ht="18" customHeight="1">
      <c r="A30" s="5" t="inlineStr">
        <is>
          <t>Value Fashion</t>
        </is>
      </c>
      <c r="B30" s="6" t="inlineStr">
        <is>
          <t>41.4%</t>
        </is>
      </c>
      <c r="C30" s="6" t="inlineStr">
        <is>
          <t>44.3%</t>
        </is>
      </c>
      <c r="D30" s="31" t="inlineStr">
        <is>
          <t>59.0%</t>
        </is>
      </c>
      <c r="E30" s="31" t="inlineStr">
        <is>
          <t>55.5%</t>
        </is>
      </c>
      <c r="F30" s="6" t="inlineStr">
        <is>
          <t>48.6%</t>
        </is>
      </c>
      <c r="G30" s="10" t="inlineStr">
        <is>
          <t>High T2 moat (59%) — Trends/Zudio isolation zones</t>
        </is>
      </c>
      <c r="H30" s="11" t="n"/>
      <c r="I30" s="11" t="n"/>
      <c r="J30" s="11" t="n"/>
      <c r="K30" s="11" t="n"/>
      <c r="L30" s="12" t="n"/>
    </row>
    <row r="31" ht="18" customHeight="1">
      <c r="A31" s="13" t="inlineStr">
        <is>
          <t>Premium Menswear</t>
        </is>
      </c>
      <c r="B31" s="14" t="inlineStr">
        <is>
          <t>36.0%</t>
        </is>
      </c>
      <c r="C31" s="14" t="inlineStr">
        <is>
          <t>42.1%</t>
        </is>
      </c>
      <c r="D31" s="14" t="inlineStr">
        <is>
          <t>43.3%</t>
        </is>
      </c>
      <c r="E31" s="31" t="inlineStr">
        <is>
          <t>52.2%</t>
        </is>
      </c>
      <c r="F31" s="14" t="inlineStr">
        <is>
          <t>34.1%</t>
        </is>
      </c>
      <c r="G31" s="16" t="inlineStr">
        <is>
          <t>T3 moat 52% but total pins low — sat. is Metro story</t>
        </is>
      </c>
      <c r="H31" s="11" t="n"/>
      <c r="I31" s="11" t="n"/>
      <c r="J31" s="11" t="n"/>
      <c r="K31" s="11" t="n"/>
      <c r="L31" s="12" t="n"/>
    </row>
    <row r="32" ht="18" customHeight="1">
      <c r="A32" s="17" t="inlineStr">
        <is>
          <t>Mid Menswear</t>
        </is>
      </c>
      <c r="B32" s="6" t="inlineStr">
        <is>
          <t>46.5%</t>
        </is>
      </c>
      <c r="C32" s="6" t="inlineStr">
        <is>
          <t>46.2%</t>
        </is>
      </c>
      <c r="D32" s="6" t="inlineStr">
        <is>
          <t>49.3%</t>
        </is>
      </c>
      <c r="E32" s="31" t="inlineStr">
        <is>
          <t>50.9%</t>
        </is>
      </c>
      <c r="F32" s="6" t="inlineStr">
        <is>
          <t>45.2%</t>
        </is>
      </c>
      <c r="G32" s="10" t="inlineStr">
        <is>
          <t>—</t>
        </is>
      </c>
      <c r="H32" s="11" t="n"/>
      <c r="I32" s="11" t="n"/>
      <c r="J32" s="11" t="n"/>
      <c r="K32" s="11" t="n"/>
      <c r="L32" s="12" t="n"/>
    </row>
    <row r="33" ht="18" customHeight="1">
      <c r="A33" s="18" t="inlineStr">
        <is>
          <t>Footwear</t>
        </is>
      </c>
      <c r="B33" s="14" t="inlineStr">
        <is>
          <t>36.3%</t>
        </is>
      </c>
      <c r="C33" s="14" t="inlineStr">
        <is>
          <t>46.7%</t>
        </is>
      </c>
      <c r="D33" s="31" t="inlineStr">
        <is>
          <t>55.2%</t>
        </is>
      </c>
      <c r="E33" s="31" t="inlineStr">
        <is>
          <t>55.6%</t>
        </is>
      </c>
      <c r="F33" s="31" t="inlineStr">
        <is>
          <t>57.7%</t>
        </is>
      </c>
      <c r="G33" s="16" t="inlineStr">
        <is>
          <t>—</t>
        </is>
      </c>
      <c r="H33" s="11" t="n"/>
      <c r="I33" s="11" t="n"/>
      <c r="J33" s="11" t="n"/>
      <c r="K33" s="11" t="n"/>
      <c r="L33" s="12" t="n"/>
    </row>
    <row r="34" ht="18" customHeight="1">
      <c r="A34" s="19" t="inlineStr">
        <is>
          <t>Activewear</t>
        </is>
      </c>
      <c r="B34" s="6" t="inlineStr">
        <is>
          <t>46.4%</t>
        </is>
      </c>
      <c r="C34" s="31" t="inlineStr">
        <is>
          <t>56.5%</t>
        </is>
      </c>
      <c r="D34" s="31" t="inlineStr">
        <is>
          <t>65.3%</t>
        </is>
      </c>
      <c r="E34" s="7" t="inlineStr">
        <is>
          <t>78.6%</t>
        </is>
      </c>
      <c r="F34" s="31" t="inlineStr">
        <is>
          <t>59.1%</t>
        </is>
      </c>
      <c r="G34" s="10" t="inlineStr">
        <is>
          <t>T3 moat 79% — Jockey isolation is near total in T3</t>
        </is>
      </c>
      <c r="H34" s="11" t="n"/>
      <c r="I34" s="11" t="n"/>
      <c r="J34" s="11" t="n"/>
      <c r="K34" s="11" t="n"/>
      <c r="L34" s="12" t="n"/>
    </row>
    <row r="35" ht="18" customHeight="1">
      <c r="A35" s="20" t="inlineStr">
        <is>
          <t>Women's Ethnic</t>
        </is>
      </c>
      <c r="B35" s="14" t="inlineStr">
        <is>
          <t>35.6%</t>
        </is>
      </c>
      <c r="C35" s="14" t="inlineStr">
        <is>
          <t>39.9%</t>
        </is>
      </c>
      <c r="D35" s="31" t="inlineStr">
        <is>
          <t>50.2%</t>
        </is>
      </c>
      <c r="E35" s="31" t="inlineStr">
        <is>
          <t>60.4%</t>
        </is>
      </c>
      <c r="F35" s="31" t="inlineStr">
        <is>
          <t>54.2%</t>
        </is>
      </c>
      <c r="G35" s="16" t="inlineStr">
        <is>
          <t>—</t>
        </is>
      </c>
      <c r="H35" s="11" t="n"/>
      <c r="I35" s="11" t="n"/>
      <c r="J35" s="11" t="n"/>
      <c r="K35" s="11" t="n"/>
      <c r="L35" s="12" t="n"/>
    </row>
    <row r="36" ht="18" customHeight="1">
      <c r="A36" s="22" t="inlineStr">
        <is>
          <t>Women's Western</t>
        </is>
      </c>
      <c r="B36" s="31" t="inlineStr">
        <is>
          <t>71.6%</t>
        </is>
      </c>
      <c r="C36" s="7" t="inlineStr">
        <is>
          <t>80.3%</t>
        </is>
      </c>
      <c r="D36" s="7" t="inlineStr">
        <is>
          <t>77.8%</t>
        </is>
      </c>
      <c r="E36" s="7" t="inlineStr">
        <is>
          <t>86.3%</t>
        </is>
      </c>
      <c r="F36" s="6" t="inlineStr">
        <is>
          <t>38.5%</t>
        </is>
      </c>
      <c r="G36" s="10" t="inlineStr">
        <is>
          <t>T3 moat 86% — almost every T3 WW pin has only 1 brand</t>
        </is>
      </c>
      <c r="H36" s="11" t="n"/>
      <c r="I36" s="11" t="n"/>
      <c r="J36" s="11" t="n"/>
      <c r="K36" s="11" t="n"/>
      <c r="L36" s="12" t="n"/>
    </row>
    <row r="37" ht="18" customHeight="1">
      <c r="A37" s="23" t="inlineStr">
        <is>
          <t>Multi/Lifestyle</t>
        </is>
      </c>
      <c r="B37" s="31" t="inlineStr">
        <is>
          <t>59.0%</t>
        </is>
      </c>
      <c r="C37" s="31" t="inlineStr">
        <is>
          <t>68.2%</t>
        </is>
      </c>
      <c r="D37" s="7" t="inlineStr">
        <is>
          <t>82.1%</t>
        </is>
      </c>
      <c r="E37" s="7" t="inlineStr">
        <is>
          <t>90.6%</t>
        </is>
      </c>
      <c r="F37" s="31" t="inlineStr">
        <is>
          <t>70.3%</t>
        </is>
      </c>
      <c r="G37" s="16" t="inlineStr">
        <is>
          <t>—</t>
        </is>
      </c>
      <c r="H37" s="11" t="n"/>
      <c r="I37" s="11" t="n"/>
      <c r="J37" s="11" t="n"/>
      <c r="K37" s="11" t="n"/>
      <c r="L37" s="12" t="n"/>
    </row>
  </sheetData>
  <mergeCells count="21">
    <mergeCell ref="G37:L37"/>
    <mergeCell ref="J12:M12"/>
    <mergeCell ref="A4:J4"/>
    <mergeCell ref="G34:L34"/>
    <mergeCell ref="A28:J28"/>
    <mergeCell ref="G30:L30"/>
    <mergeCell ref="G33:L33"/>
    <mergeCell ref="J8:M8"/>
    <mergeCell ref="G35:L35"/>
    <mergeCell ref="J10:M10"/>
    <mergeCell ref="A1:J1"/>
    <mergeCell ref="J13:M13"/>
    <mergeCell ref="G32:L32"/>
    <mergeCell ref="J9:M9"/>
    <mergeCell ref="G31:L31"/>
    <mergeCell ref="J6:M6"/>
    <mergeCell ref="A16:J16"/>
    <mergeCell ref="G36:L36"/>
    <mergeCell ref="J11:M11"/>
    <mergeCell ref="A2:J2"/>
    <mergeCell ref="J7:M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B1FA2"/>
    <outlinePr summaryBelow="1" summaryRight="1"/>
    <pageSetUpPr/>
  </sheetPr>
  <dimension ref="A1:J4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2" customWidth="1" min="9" max="9"/>
  </cols>
  <sheetData>
    <row r="1" ht="30" customHeight="1">
      <c r="A1" s="32" t="inlineStr">
        <is>
          <t>EX-16  METRO + T1 CITY SATURATION — Which Cities Are Most Crowded?</t>
        </is>
      </c>
    </row>
    <row r="2" ht="18" customHeight="1">
      <c r="A2" s="2" t="inlineStr">
        <is>
          <t>Noida=21.3 SPP. Indore=20.7. Delhi=19.1. Lucknow=18.7. These are saturated. Patna=5.1 — still wide open.</t>
        </is>
      </c>
    </row>
    <row r="4" ht="20" customHeight="1">
      <c r="A4" s="33" t="inlineStr">
        <is>
          <t>METRO CITIES</t>
        </is>
      </c>
    </row>
    <row r="5" ht="24" customHeight="1">
      <c r="A5" s="34" t="inlineStr">
        <is>
          <t>City</t>
        </is>
      </c>
      <c r="B5" s="34" t="inlineStr">
        <is>
          <t>Tier</t>
        </is>
      </c>
      <c r="C5" s="34" t="inlineStr">
        <is>
          <t>Stores</t>
        </is>
      </c>
      <c r="D5" s="34" t="inlineStr">
        <is>
          <t>Active Pins</t>
        </is>
      </c>
      <c r="E5" s="34" t="inlineStr">
        <is>
          <t>Brands</t>
        </is>
      </c>
      <c r="F5" s="34" t="inlineStr">
        <is>
          <t>SPP</t>
        </is>
      </c>
      <c r="G5" s="34" t="inlineStr">
        <is>
          <t>Revenue (₹Cr)</t>
        </is>
      </c>
      <c r="H5" s="34" t="inlineStr">
        <is>
          <t>Rev/Pin</t>
        </is>
      </c>
      <c r="I5" s="34" t="inlineStr">
        <is>
          <t>Status</t>
        </is>
      </c>
    </row>
    <row r="6" ht="15" customHeight="1">
      <c r="A6" s="35" t="inlineStr">
        <is>
          <t>Noida</t>
        </is>
      </c>
      <c r="B6" s="36" t="inlineStr">
        <is>
          <t>Metro</t>
        </is>
      </c>
      <c r="C6" s="37" t="n">
        <v>359</v>
      </c>
      <c r="D6" s="37" t="n">
        <v>17</v>
      </c>
      <c r="E6" s="37" t="n">
        <v>86</v>
      </c>
      <c r="F6" s="38" t="n">
        <v>21.12</v>
      </c>
      <c r="G6" s="26" t="n">
        <v>1042.2</v>
      </c>
      <c r="H6" s="39" t="n">
        <v>61.3</v>
      </c>
      <c r="I6" s="40" t="inlineStr">
        <is>
          <t>⛔ SAT</t>
        </is>
      </c>
    </row>
    <row r="7" ht="15" customHeight="1">
      <c r="A7" s="35" t="inlineStr">
        <is>
          <t>Delhi</t>
        </is>
      </c>
      <c r="B7" s="36" t="inlineStr">
        <is>
          <t>Metro</t>
        </is>
      </c>
      <c r="C7" s="41" t="n">
        <v>1365</v>
      </c>
      <c r="D7" s="41" t="n">
        <v>72</v>
      </c>
      <c r="E7" s="41" t="n">
        <v>91</v>
      </c>
      <c r="F7" s="38" t="n">
        <v>18.96</v>
      </c>
      <c r="G7" s="28" t="n">
        <v>2977.2</v>
      </c>
      <c r="H7" s="42" t="n">
        <v>41.4</v>
      </c>
      <c r="I7" s="40" t="inlineStr">
        <is>
          <t>⛔ SAT</t>
        </is>
      </c>
    </row>
    <row r="8" ht="15" customHeight="1">
      <c r="A8" s="35" t="inlineStr">
        <is>
          <t>Gurgaon</t>
        </is>
      </c>
      <c r="B8" s="36" t="inlineStr">
        <is>
          <t>Metro</t>
        </is>
      </c>
      <c r="C8" s="37" t="n">
        <v>436</v>
      </c>
      <c r="D8" s="37" t="n">
        <v>24</v>
      </c>
      <c r="E8" s="37" t="n">
        <v>90</v>
      </c>
      <c r="F8" s="38" t="n">
        <v>18.17</v>
      </c>
      <c r="G8" s="26" t="n">
        <v>1351.2</v>
      </c>
      <c r="H8" s="39" t="n">
        <v>56.3</v>
      </c>
      <c r="I8" s="40" t="inlineStr">
        <is>
          <t>⛔ SAT</t>
        </is>
      </c>
    </row>
    <row r="9" ht="15" customHeight="1">
      <c r="A9" s="35" t="inlineStr">
        <is>
          <t>Faridabad</t>
        </is>
      </c>
      <c r="B9" s="36" t="inlineStr">
        <is>
          <t>Metro</t>
        </is>
      </c>
      <c r="C9" s="41" t="n">
        <v>132</v>
      </c>
      <c r="D9" s="41" t="n">
        <v>8</v>
      </c>
      <c r="E9" s="41" t="n">
        <v>62</v>
      </c>
      <c r="F9" s="38" t="n">
        <v>16.5</v>
      </c>
      <c r="G9" s="28" t="n">
        <v>342</v>
      </c>
      <c r="H9" s="42" t="n">
        <v>42.7</v>
      </c>
      <c r="I9" s="43" t="inlineStr">
        <is>
          <t>🔴 HIGH</t>
        </is>
      </c>
    </row>
    <row r="10" ht="15" customHeight="1">
      <c r="A10" s="35" t="inlineStr">
        <is>
          <t>Thane</t>
        </is>
      </c>
      <c r="B10" s="36" t="inlineStr">
        <is>
          <t>Metro</t>
        </is>
      </c>
      <c r="C10" s="37" t="n">
        <v>525</v>
      </c>
      <c r="D10" s="37" t="n">
        <v>32</v>
      </c>
      <c r="E10" s="37" t="n">
        <v>81</v>
      </c>
      <c r="F10" s="38" t="n">
        <v>16.41</v>
      </c>
      <c r="G10" s="26" t="n">
        <v>1275.7</v>
      </c>
      <c r="H10" s="39" t="n">
        <v>39.9</v>
      </c>
      <c r="I10" s="43" t="inlineStr">
        <is>
          <t>🔴 HIGH</t>
        </is>
      </c>
    </row>
    <row r="11" ht="15" customHeight="1">
      <c r="A11" s="35" t="inlineStr">
        <is>
          <t>Bengaluru</t>
        </is>
      </c>
      <c r="B11" s="36" t="inlineStr">
        <is>
          <t>Metro</t>
        </is>
      </c>
      <c r="C11" s="41" t="n">
        <v>1735</v>
      </c>
      <c r="D11" s="41" t="n">
        <v>110</v>
      </c>
      <c r="E11" s="41" t="n">
        <v>94</v>
      </c>
      <c r="F11" s="38" t="n">
        <v>15.77</v>
      </c>
      <c r="G11" s="28" t="n">
        <v>4951.1</v>
      </c>
      <c r="H11" s="42" t="n">
        <v>45</v>
      </c>
      <c r="I11" s="43" t="inlineStr">
        <is>
          <t>🔴 HIGH</t>
        </is>
      </c>
    </row>
    <row r="12" ht="15" customHeight="1">
      <c r="A12" s="35" t="inlineStr">
        <is>
          <t>Ghaziabad</t>
        </is>
      </c>
      <c r="B12" s="36" t="inlineStr">
        <is>
          <t>Metro</t>
        </is>
      </c>
      <c r="C12" s="37" t="n">
        <v>288</v>
      </c>
      <c r="D12" s="37" t="n">
        <v>21</v>
      </c>
      <c r="E12" s="37" t="n">
        <v>66</v>
      </c>
      <c r="F12" s="44" t="n">
        <v>13.71</v>
      </c>
      <c r="G12" s="26" t="n">
        <v>688</v>
      </c>
      <c r="H12" s="39" t="n">
        <v>32.8</v>
      </c>
      <c r="I12" s="43" t="inlineStr">
        <is>
          <t>🔴 HIGH</t>
        </is>
      </c>
    </row>
    <row r="13" ht="15" customHeight="1">
      <c r="A13" s="35" t="inlineStr">
        <is>
          <t>Mumbai</t>
        </is>
      </c>
      <c r="B13" s="36" t="inlineStr">
        <is>
          <t>Metro</t>
        </is>
      </c>
      <c r="C13" s="41" t="n">
        <v>831</v>
      </c>
      <c r="D13" s="41" t="n">
        <v>62</v>
      </c>
      <c r="E13" s="41" t="n">
        <v>86</v>
      </c>
      <c r="F13" s="44" t="n">
        <v>13.4</v>
      </c>
      <c r="G13" s="28" t="n">
        <v>2248</v>
      </c>
      <c r="H13" s="42" t="n">
        <v>36.3</v>
      </c>
      <c r="I13" s="43" t="inlineStr">
        <is>
          <t>🔴 HIGH</t>
        </is>
      </c>
    </row>
    <row r="14" ht="15" customHeight="1">
      <c r="A14" s="35" t="inlineStr">
        <is>
          <t>Pune</t>
        </is>
      </c>
      <c r="B14" s="36" t="inlineStr">
        <is>
          <t>Metro</t>
        </is>
      </c>
      <c r="C14" s="37" t="n">
        <v>775</v>
      </c>
      <c r="D14" s="37" t="n">
        <v>63</v>
      </c>
      <c r="E14" s="37" t="n">
        <v>95</v>
      </c>
      <c r="F14" s="44" t="n">
        <v>12.3</v>
      </c>
      <c r="G14" s="26" t="n">
        <v>1967.9</v>
      </c>
      <c r="H14" s="39" t="n">
        <v>31.2</v>
      </c>
      <c r="I14" s="43" t="inlineStr">
        <is>
          <t>🔴 HIGH</t>
        </is>
      </c>
    </row>
    <row r="15" ht="15" customHeight="1">
      <c r="A15" s="35" t="inlineStr">
        <is>
          <t>Ahmedabad</t>
        </is>
      </c>
      <c r="B15" s="36" t="inlineStr">
        <is>
          <t>Metro</t>
        </is>
      </c>
      <c r="C15" s="41" t="n">
        <v>581</v>
      </c>
      <c r="D15" s="41" t="n">
        <v>48</v>
      </c>
      <c r="E15" s="41" t="n">
        <v>90</v>
      </c>
      <c r="F15" s="44" t="n">
        <v>12.1</v>
      </c>
      <c r="G15" s="28" t="n">
        <v>1437.1</v>
      </c>
      <c r="H15" s="42" t="n">
        <v>29.9</v>
      </c>
      <c r="I15" s="43" t="inlineStr">
        <is>
          <t>🔴 HIGH</t>
        </is>
      </c>
    </row>
    <row r="16" ht="15" customHeight="1">
      <c r="A16" s="35" t="inlineStr">
        <is>
          <t>Kolkata</t>
        </is>
      </c>
      <c r="B16" s="36" t="inlineStr">
        <is>
          <t>Metro</t>
        </is>
      </c>
      <c r="C16" s="37" t="n">
        <v>975</v>
      </c>
      <c r="D16" s="37" t="n">
        <v>154</v>
      </c>
      <c r="E16" s="37" t="n">
        <v>83</v>
      </c>
      <c r="F16" s="45" t="n">
        <v>6.33</v>
      </c>
      <c r="G16" s="26" t="n">
        <v>3030.3</v>
      </c>
      <c r="H16" s="39" t="n">
        <v>19.7</v>
      </c>
      <c r="I16" s="46" t="inlineStr">
        <is>
          <t>🟢 OPEN</t>
        </is>
      </c>
    </row>
    <row r="18" ht="20" customHeight="1">
      <c r="A18" s="3" t="inlineStr">
        <is>
          <t>T1 CITIES</t>
        </is>
      </c>
    </row>
    <row r="19" ht="24" customHeight="1">
      <c r="A19" s="47" t="inlineStr">
        <is>
          <t>City</t>
        </is>
      </c>
      <c r="B19" s="47" t="inlineStr">
        <is>
          <t>Tier</t>
        </is>
      </c>
      <c r="C19" s="47" t="inlineStr">
        <is>
          <t>Stores</t>
        </is>
      </c>
      <c r="D19" s="47" t="inlineStr">
        <is>
          <t>Active Pins</t>
        </is>
      </c>
      <c r="E19" s="47" t="inlineStr">
        <is>
          <t>Brands</t>
        </is>
      </c>
      <c r="F19" s="47" t="inlineStr">
        <is>
          <t>SPP</t>
        </is>
      </c>
      <c r="G19" s="47" t="inlineStr">
        <is>
          <t>Revenue (₹Cr)</t>
        </is>
      </c>
      <c r="H19" s="47" t="inlineStr">
        <is>
          <t>Rev/Pin</t>
        </is>
      </c>
      <c r="I19" s="47" t="inlineStr">
        <is>
          <t>Status</t>
        </is>
      </c>
    </row>
    <row r="20" ht="15" customHeight="1">
      <c r="A20" s="48" t="inlineStr">
        <is>
          <t>Indore</t>
        </is>
      </c>
      <c r="B20" s="49" t="inlineStr">
        <is>
          <t>T1</t>
        </is>
      </c>
      <c r="C20" s="37" t="n">
        <v>307</v>
      </c>
      <c r="D20" s="37" t="n">
        <v>15</v>
      </c>
      <c r="E20" s="37" t="n">
        <v>86</v>
      </c>
      <c r="F20" s="38" t="n">
        <v>20.47</v>
      </c>
      <c r="G20" s="26" t="n">
        <v>683.4</v>
      </c>
      <c r="H20" s="39" t="n">
        <v>45.6</v>
      </c>
      <c r="I20" s="40" t="inlineStr">
        <is>
          <t>⛔ SAT</t>
        </is>
      </c>
    </row>
    <row r="21" ht="15" customHeight="1">
      <c r="A21" s="48" t="inlineStr">
        <is>
          <t>Lucknow</t>
        </is>
      </c>
      <c r="B21" s="49" t="inlineStr">
        <is>
          <t>T1</t>
        </is>
      </c>
      <c r="C21" s="41" t="n">
        <v>632</v>
      </c>
      <c r="D21" s="41" t="n">
        <v>34</v>
      </c>
      <c r="E21" s="41" t="n">
        <v>94</v>
      </c>
      <c r="F21" s="38" t="n">
        <v>18.59</v>
      </c>
      <c r="G21" s="28" t="n">
        <v>1575.2</v>
      </c>
      <c r="H21" s="42" t="n">
        <v>46.3</v>
      </c>
      <c r="I21" s="40" t="inlineStr">
        <is>
          <t>⛔ SAT</t>
        </is>
      </c>
    </row>
    <row r="22" ht="15" customHeight="1">
      <c r="A22" s="48" t="inlineStr">
        <is>
          <t>Kota</t>
        </is>
      </c>
      <c r="B22" s="49" t="inlineStr">
        <is>
          <t>T1</t>
        </is>
      </c>
      <c r="C22" s="37" t="n">
        <v>98</v>
      </c>
      <c r="D22" s="37" t="n">
        <v>7</v>
      </c>
      <c r="E22" s="37" t="n">
        <v>54</v>
      </c>
      <c r="F22" s="44" t="n">
        <v>14</v>
      </c>
      <c r="G22" s="26" t="n">
        <v>185.6</v>
      </c>
      <c r="H22" s="39" t="n">
        <v>26.5</v>
      </c>
      <c r="I22" s="43" t="inlineStr">
        <is>
          <t>🔴 HIGH</t>
        </is>
      </c>
    </row>
    <row r="23" ht="15" customHeight="1">
      <c r="A23" s="48" t="inlineStr">
        <is>
          <t>Puducherry</t>
        </is>
      </c>
      <c r="B23" s="49" t="inlineStr">
        <is>
          <t>T1</t>
        </is>
      </c>
      <c r="C23" s="41" t="n">
        <v>84</v>
      </c>
      <c r="D23" s="41" t="n">
        <v>6</v>
      </c>
      <c r="E23" s="41" t="n">
        <v>37</v>
      </c>
      <c r="F23" s="44" t="n">
        <v>14</v>
      </c>
      <c r="G23" s="28" t="n">
        <v>159.9</v>
      </c>
      <c r="H23" s="42" t="n">
        <v>26.7</v>
      </c>
      <c r="I23" s="43" t="inlineStr">
        <is>
          <t>🔴 HIGH</t>
        </is>
      </c>
    </row>
    <row r="24" ht="15" customHeight="1">
      <c r="A24" s="48" t="inlineStr">
        <is>
          <t>Agra</t>
        </is>
      </c>
      <c r="B24" s="49" t="inlineStr">
        <is>
          <t>T1</t>
        </is>
      </c>
      <c r="C24" s="37" t="n">
        <v>94</v>
      </c>
      <c r="D24" s="37" t="n">
        <v>7</v>
      </c>
      <c r="E24" s="37" t="n">
        <v>47</v>
      </c>
      <c r="F24" s="44" t="n">
        <v>13.43</v>
      </c>
      <c r="G24" s="26" t="n">
        <v>211.6</v>
      </c>
      <c r="H24" s="39" t="n">
        <v>30.2</v>
      </c>
      <c r="I24" s="43" t="inlineStr">
        <is>
          <t>🔴 HIGH</t>
        </is>
      </c>
    </row>
    <row r="25" ht="15" customHeight="1">
      <c r="A25" s="48" t="inlineStr">
        <is>
          <t>Surat</t>
        </is>
      </c>
      <c r="B25" s="49" t="inlineStr">
        <is>
          <t>T1</t>
        </is>
      </c>
      <c r="C25" s="41" t="n">
        <v>273</v>
      </c>
      <c r="D25" s="41" t="n">
        <v>21</v>
      </c>
      <c r="E25" s="41" t="n">
        <v>79</v>
      </c>
      <c r="F25" s="44" t="n">
        <v>13</v>
      </c>
      <c r="G25" s="28" t="n">
        <v>675.8</v>
      </c>
      <c r="H25" s="42" t="n">
        <v>32.2</v>
      </c>
      <c r="I25" s="43" t="inlineStr">
        <is>
          <t>🔴 HIGH</t>
        </is>
      </c>
    </row>
    <row r="26" ht="15" customHeight="1">
      <c r="A26" s="48" t="inlineStr">
        <is>
          <t>Jaipur</t>
        </is>
      </c>
      <c r="B26" s="49" t="inlineStr">
        <is>
          <t>T1</t>
        </is>
      </c>
      <c r="C26" s="37" t="n">
        <v>493</v>
      </c>
      <c r="D26" s="37" t="n">
        <v>38</v>
      </c>
      <c r="E26" s="37" t="n">
        <v>82</v>
      </c>
      <c r="F26" s="44" t="n">
        <v>12.97</v>
      </c>
      <c r="G26" s="26" t="n">
        <v>1173.2</v>
      </c>
      <c r="H26" s="39" t="n">
        <v>30.9</v>
      </c>
      <c r="I26" s="43" t="inlineStr">
        <is>
          <t>🔴 HIGH</t>
        </is>
      </c>
    </row>
    <row r="27" ht="15" customHeight="1">
      <c r="A27" s="48" t="inlineStr">
        <is>
          <t>Chandigarh</t>
        </is>
      </c>
      <c r="B27" s="49" t="inlineStr">
        <is>
          <t>T1</t>
        </is>
      </c>
      <c r="C27" s="41" t="n">
        <v>450</v>
      </c>
      <c r="D27" s="41" t="n">
        <v>35</v>
      </c>
      <c r="E27" s="41" t="n">
        <v>79</v>
      </c>
      <c r="F27" s="44" t="n">
        <v>12.86</v>
      </c>
      <c r="G27" s="28" t="n">
        <v>1050.1</v>
      </c>
      <c r="H27" s="42" t="n">
        <v>30</v>
      </c>
      <c r="I27" s="43" t="inlineStr">
        <is>
          <t>🔴 HIGH</t>
        </is>
      </c>
    </row>
    <row r="28" ht="15" customHeight="1">
      <c r="A28" s="48" t="inlineStr">
        <is>
          <t>Dehra Dun</t>
        </is>
      </c>
      <c r="B28" s="49" t="inlineStr">
        <is>
          <t>T1</t>
        </is>
      </c>
      <c r="C28" s="37" t="n">
        <v>305</v>
      </c>
      <c r="D28" s="37" t="n">
        <v>24</v>
      </c>
      <c r="E28" s="37" t="n">
        <v>85</v>
      </c>
      <c r="F28" s="44" t="n">
        <v>12.71</v>
      </c>
      <c r="G28" s="26" t="n">
        <v>747.1</v>
      </c>
      <c r="H28" s="39" t="n">
        <v>31.1</v>
      </c>
      <c r="I28" s="43" t="inlineStr">
        <is>
          <t>🔴 HIGH</t>
        </is>
      </c>
    </row>
    <row r="29" ht="15" customHeight="1">
      <c r="A29" s="48" t="inlineStr">
        <is>
          <t>Hyderabad</t>
        </is>
      </c>
      <c r="B29" s="49" t="inlineStr">
        <is>
          <t>T1</t>
        </is>
      </c>
      <c r="C29" s="41" t="n">
        <v>1246</v>
      </c>
      <c r="D29" s="41" t="n">
        <v>100</v>
      </c>
      <c r="E29" s="41" t="n">
        <v>92</v>
      </c>
      <c r="F29" s="44" t="n">
        <v>12.46</v>
      </c>
      <c r="G29" s="28" t="n">
        <v>3437.5</v>
      </c>
      <c r="H29" s="42" t="n">
        <v>34.4</v>
      </c>
      <c r="I29" s="43" t="inlineStr">
        <is>
          <t>🔴 HIGH</t>
        </is>
      </c>
    </row>
    <row r="30" ht="15" customHeight="1">
      <c r="A30" s="48" t="inlineStr">
        <is>
          <t>Patna</t>
        </is>
      </c>
      <c r="B30" s="49" t="inlineStr">
        <is>
          <t>T1</t>
        </is>
      </c>
      <c r="C30" s="37" t="n">
        <v>468</v>
      </c>
      <c r="D30" s="37" t="n">
        <v>40</v>
      </c>
      <c r="E30" s="37" t="n">
        <v>77</v>
      </c>
      <c r="F30" s="44" t="n">
        <v>11.7</v>
      </c>
      <c r="G30" s="26" t="n">
        <v>1241.8</v>
      </c>
      <c r="H30" s="39" t="n">
        <v>31</v>
      </c>
      <c r="I30" s="50" t="inlineStr">
        <is>
          <t>🟡 MID</t>
        </is>
      </c>
    </row>
    <row r="31" ht="15" customHeight="1">
      <c r="A31" s="48" t="inlineStr">
        <is>
          <t>Varanasi</t>
        </is>
      </c>
      <c r="B31" s="49" t="inlineStr">
        <is>
          <t>T1</t>
        </is>
      </c>
      <c r="C31" s="41" t="n">
        <v>198</v>
      </c>
      <c r="D31" s="41" t="n">
        <v>18</v>
      </c>
      <c r="E31" s="41" t="n">
        <v>62</v>
      </c>
      <c r="F31" s="44" t="n">
        <v>11</v>
      </c>
      <c r="G31" s="28" t="n">
        <v>494.3</v>
      </c>
      <c r="H31" s="42" t="n">
        <v>27.5</v>
      </c>
      <c r="I31" s="50" t="inlineStr">
        <is>
          <t>🟡 MID</t>
        </is>
      </c>
    </row>
    <row r="32" ht="15" customHeight="1">
      <c r="A32" s="48" t="inlineStr">
        <is>
          <t>Kanpur</t>
        </is>
      </c>
      <c r="B32" s="49" t="inlineStr">
        <is>
          <t>T1</t>
        </is>
      </c>
      <c r="C32" s="37" t="n">
        <v>166</v>
      </c>
      <c r="D32" s="37" t="n">
        <v>16</v>
      </c>
      <c r="E32" s="37" t="n">
        <v>72</v>
      </c>
      <c r="F32" s="44" t="n">
        <v>10.38</v>
      </c>
      <c r="G32" s="26" t="n">
        <v>391.5</v>
      </c>
      <c r="H32" s="39" t="n">
        <v>24.5</v>
      </c>
      <c r="I32" s="50" t="inlineStr">
        <is>
          <t>🟡 MID</t>
        </is>
      </c>
    </row>
    <row r="33" ht="15" customHeight="1">
      <c r="A33" s="48" t="inlineStr">
        <is>
          <t>Warangal</t>
        </is>
      </c>
      <c r="B33" s="49" t="inlineStr">
        <is>
          <t>T1</t>
        </is>
      </c>
      <c r="C33" s="41" t="n">
        <v>68</v>
      </c>
      <c r="D33" s="41" t="n">
        <v>7</v>
      </c>
      <c r="E33" s="41" t="n">
        <v>35</v>
      </c>
      <c r="F33" s="45" t="n">
        <v>9.710000000000001</v>
      </c>
      <c r="G33" s="28" t="n">
        <v>233.4</v>
      </c>
      <c r="H33" s="42" t="n">
        <v>33.3</v>
      </c>
      <c r="I33" s="50" t="inlineStr">
        <is>
          <t>🟡 MID</t>
        </is>
      </c>
    </row>
    <row r="34" ht="15" customHeight="1">
      <c r="A34" s="48" t="inlineStr">
        <is>
          <t>Chennai</t>
        </is>
      </c>
      <c r="B34" s="49" t="inlineStr">
        <is>
          <t>T1</t>
        </is>
      </c>
      <c r="C34" s="37" t="n">
        <v>878</v>
      </c>
      <c r="D34" s="37" t="n">
        <v>94</v>
      </c>
      <c r="E34" s="37" t="n">
        <v>78</v>
      </c>
      <c r="F34" s="45" t="n">
        <v>9.34</v>
      </c>
      <c r="G34" s="26" t="n">
        <v>2421.8</v>
      </c>
      <c r="H34" s="39" t="n">
        <v>25.8</v>
      </c>
      <c r="I34" s="50" t="inlineStr">
        <is>
          <t>🟡 MID</t>
        </is>
      </c>
    </row>
    <row r="35" ht="15" customHeight="1">
      <c r="A35" s="48" t="inlineStr">
        <is>
          <t>Gwalior</t>
        </is>
      </c>
      <c r="B35" s="49" t="inlineStr">
        <is>
          <t>T1</t>
        </is>
      </c>
      <c r="C35" s="41" t="n">
        <v>133</v>
      </c>
      <c r="D35" s="41" t="n">
        <v>15</v>
      </c>
      <c r="E35" s="41" t="n">
        <v>55</v>
      </c>
      <c r="F35" s="45" t="n">
        <v>8.869999999999999</v>
      </c>
      <c r="G35" s="28" t="n">
        <v>354.7</v>
      </c>
      <c r="H35" s="42" t="n">
        <v>23.6</v>
      </c>
      <c r="I35" s="50" t="inlineStr">
        <is>
          <t>🟡 MID</t>
        </is>
      </c>
    </row>
    <row r="36" ht="15" customHeight="1">
      <c r="A36" s="48" t="inlineStr">
        <is>
          <t>Vadodara</t>
        </is>
      </c>
      <c r="B36" s="49" t="inlineStr">
        <is>
          <t>T1</t>
        </is>
      </c>
      <c r="C36" s="37" t="n">
        <v>234</v>
      </c>
      <c r="D36" s="37" t="n">
        <v>27</v>
      </c>
      <c r="E36" s="37" t="n">
        <v>77</v>
      </c>
      <c r="F36" s="45" t="n">
        <v>8.67</v>
      </c>
      <c r="G36" s="26" t="n">
        <v>533.4</v>
      </c>
      <c r="H36" s="39" t="n">
        <v>19.8</v>
      </c>
      <c r="I36" s="50" t="inlineStr">
        <is>
          <t>🟡 MID</t>
        </is>
      </c>
    </row>
    <row r="37" ht="15" customHeight="1">
      <c r="A37" s="48" t="inlineStr">
        <is>
          <t>Bhubaneshwar</t>
        </is>
      </c>
      <c r="B37" s="49" t="inlineStr">
        <is>
          <t>T1</t>
        </is>
      </c>
      <c r="C37" s="41" t="n">
        <v>248</v>
      </c>
      <c r="D37" s="41" t="n">
        <v>29</v>
      </c>
      <c r="E37" s="41" t="n">
        <v>67</v>
      </c>
      <c r="F37" s="45" t="n">
        <v>8.550000000000001</v>
      </c>
      <c r="G37" s="28" t="n">
        <v>710.5</v>
      </c>
      <c r="H37" s="42" t="n">
        <v>24.5</v>
      </c>
      <c r="I37" s="50" t="inlineStr">
        <is>
          <t>🟡 MID</t>
        </is>
      </c>
    </row>
    <row r="38" ht="15" customHeight="1">
      <c r="A38" s="48" t="inlineStr">
        <is>
          <t>Bhopal</t>
        </is>
      </c>
      <c r="B38" s="49" t="inlineStr">
        <is>
          <t>T1</t>
        </is>
      </c>
      <c r="C38" s="37" t="n">
        <v>179</v>
      </c>
      <c r="D38" s="37" t="n">
        <v>24</v>
      </c>
      <c r="E38" s="37" t="n">
        <v>63</v>
      </c>
      <c r="F38" s="45" t="n">
        <v>7.46</v>
      </c>
      <c r="G38" s="26" t="n">
        <v>457.4</v>
      </c>
      <c r="H38" s="39" t="n">
        <v>19.1</v>
      </c>
      <c r="I38" s="50" t="inlineStr">
        <is>
          <t>🟡 MID</t>
        </is>
      </c>
    </row>
    <row r="39" ht="15" customHeight="1">
      <c r="A39" s="48" t="inlineStr">
        <is>
          <t>Aurangabad</t>
        </is>
      </c>
      <c r="B39" s="49" t="inlineStr">
        <is>
          <t>T1</t>
        </is>
      </c>
      <c r="C39" s="41" t="n">
        <v>140</v>
      </c>
      <c r="D39" s="41" t="n">
        <v>19</v>
      </c>
      <c r="E39" s="41" t="n">
        <v>65</v>
      </c>
      <c r="F39" s="45" t="n">
        <v>7.37</v>
      </c>
      <c r="G39" s="28" t="n">
        <v>334</v>
      </c>
      <c r="H39" s="42" t="n">
        <v>17.6</v>
      </c>
      <c r="I39" s="50" t="inlineStr">
        <is>
          <t>🟡 MID</t>
        </is>
      </c>
    </row>
    <row r="40" ht="15" customHeight="1">
      <c r="A40" s="48" t="inlineStr">
        <is>
          <t>Guwahati</t>
        </is>
      </c>
      <c r="B40" s="49" t="inlineStr">
        <is>
          <t>T1</t>
        </is>
      </c>
      <c r="C40" s="37" t="n">
        <v>247</v>
      </c>
      <c r="D40" s="37" t="n">
        <v>37</v>
      </c>
      <c r="E40" s="37" t="n">
        <v>71</v>
      </c>
      <c r="F40" s="45" t="n">
        <v>6.68</v>
      </c>
      <c r="G40" s="26" t="n">
        <v>695.2</v>
      </c>
      <c r="H40" s="39" t="n">
        <v>18.8</v>
      </c>
      <c r="I40" s="46" t="inlineStr">
        <is>
          <t>🟢 OPEN</t>
        </is>
      </c>
    </row>
    <row r="41" ht="15" customHeight="1">
      <c r="A41" s="48" t="inlineStr">
        <is>
          <t>Nagpur</t>
        </is>
      </c>
      <c r="B41" s="49" t="inlineStr">
        <is>
          <t>T1</t>
        </is>
      </c>
      <c r="C41" s="41" t="n">
        <v>169</v>
      </c>
      <c r="D41" s="41" t="n">
        <v>27</v>
      </c>
      <c r="E41" s="41" t="n">
        <v>56</v>
      </c>
      <c r="F41" s="45" t="n">
        <v>6.26</v>
      </c>
      <c r="G41" s="28" t="n">
        <v>442</v>
      </c>
      <c r="H41" s="42" t="n">
        <v>16.4</v>
      </c>
      <c r="I41" s="46" t="inlineStr">
        <is>
          <t>🟢 OPEN</t>
        </is>
      </c>
    </row>
    <row r="42" ht="15" customHeight="1">
      <c r="A42" s="48" t="inlineStr">
        <is>
          <t>Mysore</t>
        </is>
      </c>
      <c r="B42" s="49" t="inlineStr">
        <is>
          <t>T1</t>
        </is>
      </c>
      <c r="C42" s="37" t="n">
        <v>230</v>
      </c>
      <c r="D42" s="37" t="n">
        <v>39</v>
      </c>
      <c r="E42" s="37" t="n">
        <v>60</v>
      </c>
      <c r="F42" s="45" t="n">
        <v>5.9</v>
      </c>
      <c r="G42" s="26" t="n">
        <v>829.5</v>
      </c>
      <c r="H42" s="39" t="n">
        <v>21.3</v>
      </c>
      <c r="I42" s="46" t="inlineStr">
        <is>
          <t>🟢 OPEN</t>
        </is>
      </c>
    </row>
  </sheetData>
  <mergeCells count="4">
    <mergeCell ref="A1:J1"/>
    <mergeCell ref="A4:J4"/>
    <mergeCell ref="A18:J18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45309"/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2" customWidth="1" min="9" max="9"/>
    <col width="12" customWidth="1" min="10" max="10"/>
    <col width="10" customWidth="1" min="11" max="11"/>
    <col width="20" customWidth="1" min="12" max="12"/>
  </cols>
  <sheetData>
    <row r="1" ht="30" customHeight="1">
      <c r="A1" s="51" t="inlineStr">
        <is>
          <t>EX-17  WOMEN'S ETHNIC WEAR — 11 Brands, 2,087 Stores, Metro Fortress</t>
        </is>
      </c>
    </row>
    <row r="2" ht="18" customHeight="1">
      <c r="A2" s="2" t="inlineStr">
        <is>
          <t>74.3% of ethnic stores are in Metro+T1. T3 has 196 stores for 700Mn people. Organised ethnic barely exists below T1.</t>
        </is>
      </c>
    </row>
    <row r="4" ht="24" customHeight="1">
      <c r="A4" s="52" t="inlineStr">
        <is>
          <t>Rank</t>
        </is>
      </c>
      <c r="B4" s="52" t="inlineStr">
        <is>
          <t>Brand</t>
        </is>
      </c>
      <c r="C4" s="52" t="inlineStr">
        <is>
          <t>Metro</t>
        </is>
      </c>
      <c r="D4" s="52" t="inlineStr">
        <is>
          <t>T1</t>
        </is>
      </c>
      <c r="E4" s="52" t="inlineStr">
        <is>
          <t>T2</t>
        </is>
      </c>
      <c r="F4" s="52" t="inlineStr">
        <is>
          <t>T3</t>
        </is>
      </c>
      <c r="G4" s="52" t="inlineStr">
        <is>
          <t>T4</t>
        </is>
      </c>
      <c r="H4" s="52" t="inlineStr">
        <is>
          <t>Total</t>
        </is>
      </c>
      <c r="I4" s="52" t="inlineStr">
        <is>
          <t>Metro+T1%</t>
        </is>
      </c>
      <c r="J4" s="52" t="inlineStr">
        <is>
          <t>Rev FY26</t>
        </is>
      </c>
      <c r="K4" s="52" t="inlineStr">
        <is>
          <t>Rev/Store</t>
        </is>
      </c>
      <c r="L4" s="52" t="inlineStr">
        <is>
          <t>Signal</t>
        </is>
      </c>
    </row>
    <row r="5" ht="18" customHeight="1">
      <c r="A5" s="14" t="n">
        <v>1</v>
      </c>
      <c r="B5" s="53" t="inlineStr">
        <is>
          <t>Biba</t>
        </is>
      </c>
      <c r="C5" s="41" t="n">
        <v>123</v>
      </c>
      <c r="D5" s="54" t="n">
        <v>111</v>
      </c>
      <c r="E5" s="54" t="n">
        <v>104</v>
      </c>
      <c r="F5" s="41" t="n">
        <v>29</v>
      </c>
      <c r="G5" s="41" t="n">
        <v>3</v>
      </c>
      <c r="H5" s="41" t="n">
        <v>370</v>
      </c>
      <c r="I5" s="14" t="inlineStr">
        <is>
          <t>63.2%</t>
        </is>
      </c>
      <c r="J5" s="41" t="n">
        <v>381</v>
      </c>
      <c r="K5" s="55" t="n">
        <v>1.03</v>
      </c>
      <c r="L5" s="31" t="inlineStr">
        <is>
          <t>⚪ T2 Trans.</t>
        </is>
      </c>
    </row>
    <row r="6" ht="18" customHeight="1">
      <c r="A6" s="6" t="n">
        <v>2</v>
      </c>
      <c r="B6" s="56" t="inlineStr">
        <is>
          <t>FabIndia</t>
        </is>
      </c>
      <c r="C6" s="54" t="n">
        <v>147</v>
      </c>
      <c r="D6" s="37" t="n">
        <v>85</v>
      </c>
      <c r="E6" s="37" t="n">
        <v>82</v>
      </c>
      <c r="F6" s="37" t="n">
        <v>25</v>
      </c>
      <c r="G6" s="37" t="n">
        <v>11</v>
      </c>
      <c r="H6" s="37" t="n">
        <v>350</v>
      </c>
      <c r="I6" s="6" t="inlineStr">
        <is>
          <t>66.3%</t>
        </is>
      </c>
      <c r="J6" s="37" t="n">
        <v>1060</v>
      </c>
      <c r="K6" s="57" t="n">
        <v>3.03</v>
      </c>
      <c r="L6" s="6" t="inlineStr">
        <is>
          <t>🟡 Mostly Metro</t>
        </is>
      </c>
    </row>
    <row r="7" ht="18" customHeight="1">
      <c r="A7" s="14" t="n">
        <v>3</v>
      </c>
      <c r="B7" s="53" t="inlineStr">
        <is>
          <t>Manyawar</t>
        </is>
      </c>
      <c r="C7" s="41" t="n">
        <v>84</v>
      </c>
      <c r="D7" s="41" t="n">
        <v>69</v>
      </c>
      <c r="E7" s="41" t="n">
        <v>87</v>
      </c>
      <c r="F7" s="54" t="n">
        <v>47</v>
      </c>
      <c r="G7" s="54" t="n">
        <v>17</v>
      </c>
      <c r="H7" s="41" t="n">
        <v>304</v>
      </c>
      <c r="I7" s="14" t="inlineStr">
        <is>
          <t>50.3%</t>
        </is>
      </c>
      <c r="J7" s="41" t="n">
        <v>1667</v>
      </c>
      <c r="K7" s="55" t="n">
        <v>5.48</v>
      </c>
      <c r="L7" s="31" t="inlineStr">
        <is>
          <t>⚪ T2 Trans.</t>
        </is>
      </c>
    </row>
    <row r="8" ht="18" customHeight="1">
      <c r="A8" s="6" t="n">
        <v>4</v>
      </c>
      <c r="B8" s="56" t="inlineStr">
        <is>
          <t>W for Woman</t>
        </is>
      </c>
      <c r="C8" s="37" t="n">
        <v>78</v>
      </c>
      <c r="D8" s="37" t="n">
        <v>73</v>
      </c>
      <c r="E8" s="37" t="n">
        <v>87</v>
      </c>
      <c r="F8" s="37" t="n">
        <v>36</v>
      </c>
      <c r="G8" s="37" t="n">
        <v>7</v>
      </c>
      <c r="H8" s="37" t="n">
        <v>281</v>
      </c>
      <c r="I8" s="6" t="inlineStr">
        <is>
          <t>53.7%</t>
        </is>
      </c>
      <c r="J8" s="37" t="n">
        <v>331</v>
      </c>
      <c r="K8" s="57" t="n">
        <v>1.18</v>
      </c>
      <c r="L8" s="31" t="inlineStr">
        <is>
          <t>⚪ T2 Trans.</t>
        </is>
      </c>
    </row>
    <row r="9" ht="18" customHeight="1">
      <c r="A9" s="14" t="n">
        <v>5</v>
      </c>
      <c r="B9" s="53" t="inlineStr">
        <is>
          <t>Aurelia</t>
        </is>
      </c>
      <c r="C9" s="41" t="n">
        <v>66</v>
      </c>
      <c r="D9" s="41" t="n">
        <v>60</v>
      </c>
      <c r="E9" s="41" t="n">
        <v>72</v>
      </c>
      <c r="F9" s="41" t="n">
        <v>32</v>
      </c>
      <c r="G9" s="41" t="n">
        <v>9</v>
      </c>
      <c r="H9" s="41" t="n">
        <v>239</v>
      </c>
      <c r="I9" s="14" t="inlineStr">
        <is>
          <t>52.7%</t>
        </is>
      </c>
      <c r="J9" s="41" t="n">
        <v>246</v>
      </c>
      <c r="K9" s="55" t="n">
        <v>1.03</v>
      </c>
      <c r="L9" s="31" t="inlineStr">
        <is>
          <t>⚪ T2 Trans.</t>
        </is>
      </c>
    </row>
    <row r="10" ht="18" customHeight="1">
      <c r="A10" s="6" t="n">
        <v>6</v>
      </c>
      <c r="B10" s="56" t="inlineStr">
        <is>
          <t>Mohey</t>
        </is>
      </c>
      <c r="C10" s="37" t="n">
        <v>56</v>
      </c>
      <c r="D10" s="37" t="n">
        <v>53</v>
      </c>
      <c r="E10" s="37" t="n">
        <v>38</v>
      </c>
      <c r="F10" s="37" t="n">
        <v>21</v>
      </c>
      <c r="G10" s="37" t="n">
        <v>2</v>
      </c>
      <c r="H10" s="37" t="n">
        <v>170</v>
      </c>
      <c r="I10" s="6" t="inlineStr">
        <is>
          <t>64.1%</t>
        </is>
      </c>
      <c r="J10" s="37" t="n">
        <v>221</v>
      </c>
      <c r="K10" s="57" t="n">
        <v>1.3</v>
      </c>
      <c r="L10" s="31" t="inlineStr">
        <is>
          <t>⚪ T2 Trans.</t>
        </is>
      </c>
    </row>
    <row r="11" ht="18" customHeight="1">
      <c r="A11" s="14" t="n">
        <v>7</v>
      </c>
      <c r="B11" s="53" t="inlineStr">
        <is>
          <t>Soch</t>
        </is>
      </c>
      <c r="C11" s="41" t="n">
        <v>58</v>
      </c>
      <c r="D11" s="41" t="n">
        <v>52</v>
      </c>
      <c r="E11" s="41" t="n">
        <v>50</v>
      </c>
      <c r="F11" s="41" t="n">
        <v>3</v>
      </c>
      <c r="G11" s="41" t="n">
        <v>2</v>
      </c>
      <c r="H11" s="41" t="n">
        <v>165</v>
      </c>
      <c r="I11" s="14" t="inlineStr">
        <is>
          <t>66.7%</t>
        </is>
      </c>
      <c r="J11" s="41" t="n">
        <v>220</v>
      </c>
      <c r="K11" s="55" t="n">
        <v>1.33</v>
      </c>
      <c r="L11" s="14" t="inlineStr">
        <is>
          <t>🟡 Mostly Metro</t>
        </is>
      </c>
    </row>
    <row r="12" ht="18" customHeight="1">
      <c r="A12" s="6" t="n">
        <v>8</v>
      </c>
      <c r="B12" s="56" t="inlineStr">
        <is>
          <t>Tasva</t>
        </is>
      </c>
      <c r="C12" s="37" t="n">
        <v>47</v>
      </c>
      <c r="D12" s="37" t="n">
        <v>30</v>
      </c>
      <c r="E12" s="37" t="n">
        <v>10</v>
      </c>
      <c r="F12" s="37" t="n">
        <v>1</v>
      </c>
      <c r="G12" s="37" t="n">
        <v>0</v>
      </c>
      <c r="H12" s="37" t="n">
        <v>88</v>
      </c>
      <c r="I12" s="21" t="inlineStr">
        <is>
          <t>87.5%</t>
        </is>
      </c>
      <c r="J12" s="37" t="n">
        <v>100</v>
      </c>
      <c r="K12" s="57" t="n">
        <v>0</v>
      </c>
      <c r="L12" s="21" t="inlineStr">
        <is>
          <t>🔴 Metro Captive</t>
        </is>
      </c>
    </row>
    <row r="13" ht="18" customHeight="1">
      <c r="A13" s="14" t="n">
        <v>9</v>
      </c>
      <c r="B13" s="53" t="inlineStr">
        <is>
          <t>Libas</t>
        </is>
      </c>
      <c r="C13" s="41" t="n">
        <v>35</v>
      </c>
      <c r="D13" s="41" t="n">
        <v>7</v>
      </c>
      <c r="E13" s="41" t="n">
        <v>6</v>
      </c>
      <c r="F13" s="41" t="n">
        <v>0</v>
      </c>
      <c r="G13" s="41" t="n">
        <v>0</v>
      </c>
      <c r="H13" s="41" t="n">
        <v>48</v>
      </c>
      <c r="I13" s="21" t="inlineStr">
        <is>
          <t>87.5%</t>
        </is>
      </c>
      <c r="J13" s="41" t="n">
        <v>162</v>
      </c>
      <c r="K13" s="55" t="n">
        <v>3.38</v>
      </c>
      <c r="L13" s="21" t="inlineStr">
        <is>
          <t>🔴 Metro Captive</t>
        </is>
      </c>
    </row>
    <row r="14" ht="18" customHeight="1">
      <c r="A14" s="6" t="n">
        <v>10</v>
      </c>
      <c r="B14" s="56" t="inlineStr">
        <is>
          <t>Ritu Kumar</t>
        </is>
      </c>
      <c r="C14" s="37" t="n">
        <v>21</v>
      </c>
      <c r="D14" s="37" t="n">
        <v>16</v>
      </c>
      <c r="E14" s="37" t="n">
        <v>8</v>
      </c>
      <c r="F14" s="37" t="n">
        <v>1</v>
      </c>
      <c r="G14" s="37" t="n">
        <v>1</v>
      </c>
      <c r="H14" s="37" t="n">
        <v>47</v>
      </c>
      <c r="I14" s="6" t="inlineStr">
        <is>
          <t>78.7%</t>
        </is>
      </c>
      <c r="J14" s="37" t="n">
        <v>191</v>
      </c>
      <c r="K14" s="57" t="n">
        <v>4.06</v>
      </c>
      <c r="L14" s="6" t="inlineStr">
        <is>
          <t>🟡 Mostly Metro</t>
        </is>
      </c>
    </row>
    <row r="15" ht="18" customHeight="1">
      <c r="A15" s="14" t="n">
        <v>11</v>
      </c>
      <c r="B15" s="53" t="inlineStr">
        <is>
          <t>Global Desi</t>
        </is>
      </c>
      <c r="C15" s="41" t="n">
        <v>17</v>
      </c>
      <c r="D15" s="41" t="n">
        <v>5</v>
      </c>
      <c r="E15" s="41" t="n">
        <v>2</v>
      </c>
      <c r="F15" s="41" t="n">
        <v>1</v>
      </c>
      <c r="G15" s="41" t="n">
        <v>0</v>
      </c>
      <c r="H15" s="41" t="n">
        <v>25</v>
      </c>
      <c r="I15" s="21" t="inlineStr">
        <is>
          <t>88.0%</t>
        </is>
      </c>
      <c r="J15" s="41" t="n">
        <v>79</v>
      </c>
      <c r="K15" s="55" t="n">
        <v>3.16</v>
      </c>
      <c r="L15" s="21" t="inlineStr">
        <is>
          <t>🔴 Metro Captive</t>
        </is>
      </c>
    </row>
    <row r="16">
      <c r="A16" s="58" t="inlineStr">
        <is>
          <t>—</t>
        </is>
      </c>
      <c r="B16" s="59" t="inlineStr">
        <is>
          <t>TOTAL</t>
        </is>
      </c>
      <c r="C16" s="60" t="n">
        <v>732</v>
      </c>
      <c r="D16" s="60" t="n">
        <v>561</v>
      </c>
      <c r="E16" s="60" t="n">
        <v>546</v>
      </c>
      <c r="F16" s="60" t="n">
        <v>196</v>
      </c>
      <c r="G16" s="60" t="n">
        <v>52</v>
      </c>
      <c r="H16" s="60" t="n">
        <v>2087</v>
      </c>
      <c r="I16" s="61" t="inlineStr">
        <is>
          <t>62.0%</t>
        </is>
      </c>
    </row>
    <row r="18" ht="20" customHeight="1">
      <c r="A18" s="62" t="inlineStr">
        <is>
          <t>ETHNIC WEAR WHITESPACE — THE INVESTOR SIGNAL</t>
        </is>
      </c>
    </row>
    <row r="19" ht="24" customHeight="1">
      <c r="A19" s="52" t="inlineStr">
        <is>
          <t>Metric</t>
        </is>
      </c>
      <c r="B19" s="52" t="inlineStr">
        <is>
          <t>Value</t>
        </is>
      </c>
      <c r="C19" s="52" t="inlineStr">
        <is>
          <t>Context</t>
        </is>
      </c>
    </row>
    <row r="20" ht="20" customHeight="1">
      <c r="A20" s="56" t="inlineStr">
        <is>
          <t>Organised ethnic stores in T3</t>
        </is>
      </c>
      <c r="B20" s="63" t="inlineStr">
        <is>
          <t>196 stores</t>
        </is>
      </c>
      <c r="C20" s="10" t="inlineStr">
        <is>
          <t>322 districts — avg 0.6 stores/district</t>
        </is>
      </c>
      <c r="D20" s="11" t="n"/>
      <c r="E20" s="11" t="n"/>
      <c r="F20" s="11" t="n"/>
      <c r="G20" s="11" t="n"/>
      <c r="H20" s="11" t="n"/>
      <c r="I20" s="11" t="n"/>
      <c r="J20" s="11" t="n"/>
      <c r="K20" s="12" t="n"/>
    </row>
    <row r="21" ht="20" customHeight="1">
      <c r="A21" s="53" t="inlineStr">
        <is>
          <t>T3 organised ethnic revenue</t>
        </is>
      </c>
      <c r="B21" s="63" t="inlineStr">
        <is>
          <t>₹340 Cr</t>
        </is>
      </c>
      <c r="C21" s="16" t="inlineStr">
        <is>
          <t>Metro = ₹759 Cr — 2.2× higher despite far fewer districts</t>
        </is>
      </c>
      <c r="D21" s="11" t="n"/>
      <c r="E21" s="11" t="n"/>
      <c r="F21" s="11" t="n"/>
      <c r="G21" s="11" t="n"/>
      <c r="H21" s="11" t="n"/>
      <c r="I21" s="11" t="n"/>
      <c r="J21" s="11" t="n"/>
      <c r="K21" s="12" t="n"/>
    </row>
    <row r="22" ht="20" customHeight="1">
      <c r="A22" s="56" t="inlineStr">
        <is>
          <t>Top T3 ethnic brands</t>
        </is>
      </c>
      <c r="B22" s="63" t="inlineStr">
        <is>
          <t>FabIndia, Biba, Manyawar</t>
        </is>
      </c>
      <c r="C22" s="10" t="inlineStr">
        <is>
          <t>Combined T3 stores = 105 across 322 districts</t>
        </is>
      </c>
      <c r="D22" s="11" t="n"/>
      <c r="E22" s="11" t="n"/>
      <c r="F22" s="11" t="n"/>
      <c r="G22" s="11" t="n"/>
      <c r="H22" s="11" t="n"/>
      <c r="I22" s="11" t="n"/>
      <c r="J22" s="11" t="n"/>
      <c r="K22" s="12" t="n"/>
    </row>
    <row r="23" ht="20" customHeight="1">
      <c r="A23" s="53" t="inlineStr">
        <is>
          <t>T3 organised ethnic share of wallet</t>
        </is>
      </c>
      <c r="B23" s="63" t="inlineStr">
        <is>
          <t>&lt;0.5%</t>
        </is>
      </c>
      <c r="C23" s="16" t="inlineStr">
        <is>
          <t>₹65,000 Cr+ T3 women's ethnic spend is unorganised</t>
        </is>
      </c>
      <c r="D23" s="11" t="n"/>
      <c r="E23" s="11" t="n"/>
      <c r="F23" s="11" t="n"/>
      <c r="G23" s="11" t="n"/>
      <c r="H23" s="11" t="n"/>
      <c r="I23" s="11" t="n"/>
      <c r="J23" s="11" t="n"/>
      <c r="K23" s="12" t="n"/>
    </row>
    <row r="24" ht="20" customHeight="1">
      <c r="A24" s="56" t="inlineStr">
        <is>
          <t>Implied T3 opportunity (T2 parity)</t>
        </is>
      </c>
      <c r="B24" s="63" t="inlineStr">
        <is>
          <t>1,500+ ethnic stores</t>
        </is>
      </c>
      <c r="C24" s="10" t="inlineStr">
        <is>
          <t>T2 has 546 across 246 districts — T3 should have ~800</t>
        </is>
      </c>
      <c r="D24" s="11" t="n"/>
      <c r="E24" s="11" t="n"/>
      <c r="F24" s="11" t="n"/>
      <c r="G24" s="11" t="n"/>
      <c r="H24" s="11" t="n"/>
      <c r="I24" s="11" t="n"/>
      <c r="J24" s="11" t="n"/>
      <c r="K24" s="12" t="n"/>
    </row>
  </sheetData>
  <mergeCells count="8">
    <mergeCell ref="C21:K21"/>
    <mergeCell ref="C24:K24"/>
    <mergeCell ref="A1:J1"/>
    <mergeCell ref="A18:J18"/>
    <mergeCell ref="C22:K22"/>
    <mergeCell ref="C23:K23"/>
    <mergeCell ref="A2:J2"/>
    <mergeCell ref="C20:K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5803D"/>
    <outlinePr summaryBelow="1" summaryRight="1"/>
    <pageSetUpPr/>
  </sheetPr>
  <dimension ref="A1:M4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12" customWidth="1" min="4" max="4"/>
    <col width="12" customWidth="1" min="5" max="5"/>
    <col width="10" customWidth="1" min="6" max="6"/>
    <col width="50" customWidth="1" min="7" max="7"/>
  </cols>
  <sheetData>
    <row r="1" ht="30" customHeight="1">
      <c r="A1" s="64" t="inlineStr">
        <is>
          <t>EX-18  MOAT PINCODE ANALYSIS — Single-Brand Segment Dominance  |  1,356 Moat Pincodes</t>
        </is>
      </c>
    </row>
    <row r="2" ht="18" customHeight="1">
      <c r="A2" s="2" t="inlineStr">
        <is>
          <t>Reliance Trends=792 VF moat pins. Jockey=706 Activewear. Zudio=182 VF moat (23.5% Zudio-only). Revenue moats are structural.</t>
        </is>
      </c>
    </row>
    <row r="4" ht="20" customHeight="1">
      <c r="A4" s="24" t="inlineStr">
        <is>
          <t>PINCODE COMPETITION LANDSCAPE — All 3,922 Active Pincodes</t>
        </is>
      </c>
    </row>
    <row r="5" ht="24" customHeight="1">
      <c r="A5" s="25" t="inlineStr">
        <is>
          <t>Category</t>
        </is>
      </c>
      <c r="B5" s="25" t="inlineStr">
        <is>
          <t>Total Pincodes</t>
        </is>
      </c>
      <c r="C5" s="25" t="inlineStr">
        <is>
          <t>Revenue (₹Cr)</t>
        </is>
      </c>
      <c r="D5" s="25" t="inlineStr">
        <is>
          <t>Metro</t>
        </is>
      </c>
      <c r="E5" s="25" t="inlineStr">
        <is>
          <t>T1</t>
        </is>
      </c>
      <c r="F5" s="25" t="inlineStr">
        <is>
          <t>T2</t>
        </is>
      </c>
      <c r="G5" s="25" t="inlineStr">
        <is>
          <t>T3</t>
        </is>
      </c>
      <c r="H5" s="25" t="inlineStr">
        <is>
          <t>T4</t>
        </is>
      </c>
      <c r="I5" s="25" t="inlineStr">
        <is>
          <t>Signal</t>
        </is>
      </c>
    </row>
    <row r="6" ht="22" customHeight="1">
      <c r="A6" s="65" t="inlineStr">
        <is>
          <t>Moat (1 brand)</t>
        </is>
      </c>
      <c r="B6" s="66" t="n">
        <v>1363</v>
      </c>
      <c r="C6" s="67" t="n">
        <v>7885</v>
      </c>
      <c r="D6" s="67" t="n">
        <v>132</v>
      </c>
      <c r="E6" s="67" t="n">
        <v>190</v>
      </c>
      <c r="F6" s="67" t="n">
        <v>563</v>
      </c>
      <c r="G6" s="67" t="n">
        <v>429</v>
      </c>
      <c r="H6" s="67" t="n">
        <v>49</v>
      </c>
      <c r="I6" s="68" t="inlineStr">
        <is>
          <t>Single-brand dominance — structural margin protection</t>
        </is>
      </c>
      <c r="J6" s="11" t="n"/>
      <c r="K6" s="11" t="n"/>
      <c r="L6" s="11" t="n"/>
      <c r="M6" s="12" t="n"/>
    </row>
    <row r="7" ht="22" customHeight="1">
      <c r="A7" s="69" t="inlineStr">
        <is>
          <t>Lightly (2-4)</t>
        </is>
      </c>
      <c r="B7" s="70" t="n">
        <v>1174</v>
      </c>
      <c r="C7" s="71" t="n">
        <v>13464</v>
      </c>
      <c r="D7" s="71" t="n">
        <v>162</v>
      </c>
      <c r="E7" s="71" t="n">
        <v>196</v>
      </c>
      <c r="F7" s="71" t="n">
        <v>444</v>
      </c>
      <c r="G7" s="71" t="n">
        <v>329</v>
      </c>
      <c r="H7" s="71" t="n">
        <v>43</v>
      </c>
      <c r="I7" s="72" t="inlineStr">
        <is>
          <t>Nascent — first 2 brands win outsized share</t>
        </is>
      </c>
      <c r="J7" s="11" t="n"/>
      <c r="K7" s="11" t="n"/>
      <c r="L7" s="11" t="n"/>
      <c r="M7" s="12" t="n"/>
    </row>
    <row r="8" ht="22" customHeight="1">
      <c r="A8" s="69" t="inlineStr">
        <is>
          <t>Competitive (5-9)</t>
        </is>
      </c>
      <c r="B8" s="70" t="n">
        <v>611</v>
      </c>
      <c r="C8" s="71" t="n">
        <v>13631</v>
      </c>
      <c r="D8" s="71" t="n">
        <v>118</v>
      </c>
      <c r="E8" s="71" t="n">
        <v>128</v>
      </c>
      <c r="F8" s="71" t="n">
        <v>199</v>
      </c>
      <c r="G8" s="71" t="n">
        <v>144</v>
      </c>
      <c r="H8" s="71" t="n">
        <v>22</v>
      </c>
      <c r="I8" s="72" t="inlineStr">
        <is>
          <t>Healthy — full format mix arriving</t>
        </is>
      </c>
      <c r="J8" s="11" t="n"/>
      <c r="K8" s="11" t="n"/>
      <c r="L8" s="11" t="n"/>
      <c r="M8" s="12" t="n"/>
    </row>
    <row r="9" ht="22" customHeight="1">
      <c r="A9" s="73" t="inlineStr">
        <is>
          <t>Crowded (10-19)</t>
        </is>
      </c>
      <c r="B9" s="74" t="n">
        <v>440</v>
      </c>
      <c r="C9" s="75" t="n">
        <v>18282</v>
      </c>
      <c r="D9" s="75" t="n">
        <v>99</v>
      </c>
      <c r="E9" s="75" t="n">
        <v>74</v>
      </c>
      <c r="F9" s="75" t="n">
        <v>126</v>
      </c>
      <c r="G9" s="75" t="n">
        <v>129</v>
      </c>
      <c r="H9" s="75" t="n">
        <v>12</v>
      </c>
      <c r="I9" s="76" t="inlineStr">
        <is>
          <t>Margin pressure — share gains are zero-sum</t>
        </is>
      </c>
      <c r="J9" s="11" t="n"/>
      <c r="K9" s="11" t="n"/>
      <c r="L9" s="11" t="n"/>
      <c r="M9" s="12" t="n"/>
    </row>
    <row r="10" ht="22" customHeight="1">
      <c r="A10" s="73" t="inlineStr">
        <is>
          <t>Saturated (20+)</t>
        </is>
      </c>
      <c r="B10" s="74" t="n">
        <v>342</v>
      </c>
      <c r="C10" s="75" t="n">
        <v>37284</v>
      </c>
      <c r="D10" s="75" t="n">
        <v>100</v>
      </c>
      <c r="E10" s="75" t="n">
        <v>90</v>
      </c>
      <c r="F10" s="75" t="n">
        <v>97</v>
      </c>
      <c r="G10" s="75" t="n">
        <v>41</v>
      </c>
      <c r="H10" s="75" t="n">
        <v>14</v>
      </c>
      <c r="I10" s="76" t="inlineStr">
        <is>
          <t>Value destruction zone — avoid for greenfield</t>
        </is>
      </c>
      <c r="J10" s="11" t="n"/>
      <c r="K10" s="11" t="n"/>
      <c r="L10" s="11" t="n"/>
      <c r="M10" s="12" t="n"/>
    </row>
    <row r="13" ht="20" customHeight="1">
      <c r="A13" s="24" t="inlineStr">
        <is>
          <t>TOP BRAND MOAT PINCODES — Segment-Level Dominance + Revenue</t>
        </is>
      </c>
    </row>
    <row r="14" ht="24" customHeight="1">
      <c r="A14" s="25" t="inlineStr">
        <is>
          <t>Rank</t>
        </is>
      </c>
      <c r="B14" s="25" t="inlineStr">
        <is>
          <t>Brand</t>
        </is>
      </c>
      <c r="C14" s="25" t="inlineStr">
        <is>
          <t>Segment</t>
        </is>
      </c>
      <c r="D14" s="25" t="inlineStr">
        <is>
          <t>Moat Pins</t>
        </is>
      </c>
      <c r="E14" s="25" t="inlineStr">
        <is>
          <t>Rev FY26</t>
        </is>
      </c>
      <c r="F14" s="25" t="inlineStr">
        <is>
          <t>Rev/Store</t>
        </is>
      </c>
      <c r="G14" s="25" t="inlineStr">
        <is>
          <t>Revenue Signal</t>
        </is>
      </c>
    </row>
    <row r="15" ht="22" customHeight="1">
      <c r="A15" s="14" t="n">
        <v>1</v>
      </c>
      <c r="B15" s="77" t="inlineStr">
        <is>
          <t>Reliance Trends</t>
        </is>
      </c>
      <c r="C15" s="78" t="inlineStr">
        <is>
          <t>Value Fashion</t>
        </is>
      </c>
      <c r="D15" s="67" t="n">
        <v>792</v>
      </c>
      <c r="E15" s="41" t="n">
        <v>21200</v>
      </c>
      <c r="F15" s="55" t="n">
        <v>10</v>
      </c>
      <c r="G15" s="16" t="inlineStr">
        <is>
          <t>792 VF moat — widest organised apparel moat</t>
        </is>
      </c>
      <c r="H15" s="11" t="n"/>
      <c r="I15" s="11" t="n"/>
      <c r="J15" s="11" t="n"/>
      <c r="K15" s="11" t="n"/>
      <c r="L15" s="12" t="n"/>
    </row>
    <row r="16" ht="22" customHeight="1">
      <c r="A16" s="6" t="n">
        <v>2</v>
      </c>
      <c r="B16" s="79" t="inlineStr">
        <is>
          <t>Jockey</t>
        </is>
      </c>
      <c r="C16" s="80" t="inlineStr">
        <is>
          <t>Activewear</t>
        </is>
      </c>
      <c r="D16" s="67" t="n">
        <v>706</v>
      </c>
      <c r="E16" s="37" t="n">
        <v>1022</v>
      </c>
      <c r="F16" s="57" t="n">
        <v>0.65</v>
      </c>
      <c r="G16" s="10" t="inlineStr">
        <is>
          <t>706 Activewear — monopoly on T3 athleisure</t>
        </is>
      </c>
      <c r="H16" s="11" t="n"/>
      <c r="I16" s="11" t="n"/>
      <c r="J16" s="11" t="n"/>
      <c r="K16" s="11" t="n"/>
      <c r="L16" s="12" t="n"/>
    </row>
    <row r="17" ht="22" customHeight="1">
      <c r="A17" s="14" t="n">
        <v>3</v>
      </c>
      <c r="B17" s="77" t="inlineStr">
        <is>
          <t>Reliance Smart Bazaar</t>
        </is>
      </c>
      <c r="C17" s="81" t="inlineStr">
        <is>
          <t>Multi/Lifestyle</t>
        </is>
      </c>
      <c r="D17" s="67" t="n">
        <v>658</v>
      </c>
      <c r="E17" s="41" t="n">
        <v>11143</v>
      </c>
      <c r="F17" s="55" t="n">
        <v>11</v>
      </c>
      <c r="G17" s="16" t="inlineStr">
        <is>
          <t>658 Multi/Lifestyle — RSB dominates format wherever it opens</t>
        </is>
      </c>
      <c r="H17" s="11" t="n"/>
      <c r="I17" s="11" t="n"/>
      <c r="J17" s="11" t="n"/>
      <c r="K17" s="11" t="n"/>
      <c r="L17" s="12" t="n"/>
    </row>
    <row r="18" ht="22" customHeight="1">
      <c r="A18" s="6" t="n">
        <v>4</v>
      </c>
      <c r="B18" s="79" t="inlineStr">
        <is>
          <t xml:space="preserve">Bata </t>
        </is>
      </c>
      <c r="C18" s="82" t="inlineStr">
        <is>
          <t>Footwear</t>
        </is>
      </c>
      <c r="D18" s="67" t="n">
        <v>552</v>
      </c>
      <c r="E18" s="37" t="n">
        <v>1551</v>
      </c>
      <c r="F18" s="57" t="n">
        <v>0.85</v>
      </c>
      <c r="G18" s="10" t="inlineStr">
        <is>
          <t>552 Footwear — Bata is the only organised shoe in 552 pincodes</t>
        </is>
      </c>
      <c r="H18" s="11" t="n"/>
      <c r="I18" s="11" t="n"/>
      <c r="J18" s="11" t="n"/>
      <c r="K18" s="11" t="n"/>
      <c r="L18" s="12" t="n"/>
    </row>
    <row r="19" ht="22" customHeight="1">
      <c r="A19" s="14" t="n">
        <v>5</v>
      </c>
      <c r="B19" s="77" t="inlineStr">
        <is>
          <t>Go Colors</t>
        </is>
      </c>
      <c r="C19" s="83" t="inlineStr">
        <is>
          <t>Women's Western</t>
        </is>
      </c>
      <c r="D19" s="67" t="n">
        <v>473</v>
      </c>
      <c r="E19" s="41" t="n">
        <v>609</v>
      </c>
      <c r="F19" s="55" t="n">
        <v>0.76</v>
      </c>
      <c r="G19" s="16" t="inlineStr">
        <is>
          <t>473 Women's Western — Go Colors unchallenged in T2/T3 WW</t>
        </is>
      </c>
      <c r="H19" s="11" t="n"/>
      <c r="I19" s="11" t="n"/>
      <c r="J19" s="11" t="n"/>
      <c r="K19" s="11" t="n"/>
      <c r="L19" s="12" t="n"/>
    </row>
    <row r="20" ht="22" customHeight="1">
      <c r="A20" s="6" t="n">
        <v>6</v>
      </c>
      <c r="B20" s="79" t="inlineStr">
        <is>
          <t>Raymond</t>
        </is>
      </c>
      <c r="C20" s="84" t="inlineStr">
        <is>
          <t>Premium Menswear</t>
        </is>
      </c>
      <c r="D20" s="67" t="n">
        <v>337</v>
      </c>
      <c r="E20" s="37" t="n">
        <v>1284</v>
      </c>
      <c r="F20" s="57" t="n">
        <v>0.95</v>
      </c>
      <c r="G20" s="10" t="inlineStr">
        <is>
          <t>337 Premium — sole premium brand in 337 pincodes</t>
        </is>
      </c>
      <c r="H20" s="11" t="n"/>
      <c r="I20" s="11" t="n"/>
      <c r="J20" s="11" t="n"/>
      <c r="K20" s="11" t="n"/>
      <c r="L20" s="12" t="n"/>
    </row>
    <row r="21" ht="22" customHeight="1">
      <c r="A21" s="14" t="n">
        <v>7</v>
      </c>
      <c r="B21" s="77" t="inlineStr">
        <is>
          <t xml:space="preserve">Peter England </t>
        </is>
      </c>
      <c r="C21" s="85" t="inlineStr">
        <is>
          <t>Mid Menswear</t>
        </is>
      </c>
      <c r="D21" s="41" t="n">
        <v>206</v>
      </c>
      <c r="E21" s="41" t="n">
        <v>0</v>
      </c>
      <c r="F21" s="55" t="n">
        <v>0</v>
      </c>
      <c r="G21" s="16" t="inlineStr">
        <is>
          <t>206 pincodes where Peter_England_ is only Mid Menswear brand</t>
        </is>
      </c>
      <c r="H21" s="11" t="n"/>
      <c r="I21" s="11" t="n"/>
      <c r="J21" s="11" t="n"/>
      <c r="K21" s="11" t="n"/>
      <c r="L21" s="12" t="n"/>
    </row>
    <row r="22" ht="22" customHeight="1">
      <c r="A22" s="6" t="n">
        <v>8</v>
      </c>
      <c r="B22" s="79" t="inlineStr">
        <is>
          <t>Zudio</t>
        </is>
      </c>
      <c r="C22" s="86" t="inlineStr">
        <is>
          <t>Value Fashion</t>
        </is>
      </c>
      <c r="D22" s="37" t="n">
        <v>182</v>
      </c>
      <c r="E22" s="37" t="n">
        <v>8148</v>
      </c>
      <c r="F22" s="57" t="n">
        <v>8.460000000000001</v>
      </c>
      <c r="G22" s="10" t="inlineStr">
        <is>
          <t>182 VF moat — 23.5% of Zudio pins have zero VF competition</t>
        </is>
      </c>
      <c r="H22" s="11" t="n"/>
      <c r="I22" s="11" t="n"/>
      <c r="J22" s="11" t="n"/>
      <c r="K22" s="11" t="n"/>
      <c r="L22" s="12" t="n"/>
    </row>
    <row r="23" ht="22" customHeight="1">
      <c r="A23" s="14" t="n">
        <v>9</v>
      </c>
      <c r="B23" s="77" t="inlineStr">
        <is>
          <t>Vishal Mega Mart</t>
        </is>
      </c>
      <c r="C23" s="78" t="inlineStr">
        <is>
          <t>Value Fashion</t>
        </is>
      </c>
      <c r="D23" s="41" t="n">
        <v>179</v>
      </c>
      <c r="E23" s="41" t="n">
        <v>5419</v>
      </c>
      <c r="F23" s="55" t="n">
        <v>6.82</v>
      </c>
      <c r="G23" s="16" t="inlineStr">
        <is>
          <t>179 pincodes where Vishal_Mega_Mart is only Value Fashion brand</t>
        </is>
      </c>
      <c r="H23" s="11" t="n"/>
      <c r="I23" s="11" t="n"/>
      <c r="J23" s="11" t="n"/>
      <c r="K23" s="11" t="n"/>
      <c r="L23" s="12" t="n"/>
    </row>
    <row r="24" ht="22" customHeight="1">
      <c r="A24" s="6" t="n">
        <v>10</v>
      </c>
      <c r="B24" s="79" t="inlineStr">
        <is>
          <t>Killerjeans</t>
        </is>
      </c>
      <c r="C24" s="87" t="inlineStr">
        <is>
          <t>Mid Menswear</t>
        </is>
      </c>
      <c r="D24" s="37" t="n">
        <v>131</v>
      </c>
      <c r="E24" s="37" t="n">
        <v>0</v>
      </c>
      <c r="F24" s="57" t="n">
        <v>0</v>
      </c>
      <c r="G24" s="10" t="inlineStr">
        <is>
          <t>131 pincodes where Killerjeans is only Mid Menswear brand</t>
        </is>
      </c>
      <c r="H24" s="11" t="n"/>
      <c r="I24" s="11" t="n"/>
      <c r="J24" s="11" t="n"/>
      <c r="K24" s="11" t="n"/>
      <c r="L24" s="12" t="n"/>
    </row>
    <row r="25" ht="22" customHeight="1">
      <c r="A25" s="14" t="n">
        <v>11</v>
      </c>
      <c r="B25" s="77" t="inlineStr">
        <is>
          <t>Pantaloons</t>
        </is>
      </c>
      <c r="C25" s="81" t="inlineStr">
        <is>
          <t>Multi/Lifestyle</t>
        </is>
      </c>
      <c r="D25" s="41" t="n">
        <v>122</v>
      </c>
      <c r="E25" s="41" t="n">
        <v>4247</v>
      </c>
      <c r="F25" s="55" t="n">
        <v>10.64</v>
      </c>
      <c r="G25" s="16" t="inlineStr">
        <is>
          <t>122 pincodes where Pantaloons is only Multi/Lifestyle brand</t>
        </is>
      </c>
      <c r="H25" s="11" t="n"/>
      <c r="I25" s="11" t="n"/>
      <c r="J25" s="11" t="n"/>
      <c r="K25" s="11" t="n"/>
      <c r="L25" s="12" t="n"/>
    </row>
    <row r="26" ht="22" customHeight="1">
      <c r="A26" s="6" t="n">
        <v>12</v>
      </c>
      <c r="B26" s="79" t="inlineStr">
        <is>
          <t>Cantabil</t>
        </is>
      </c>
      <c r="C26" s="87" t="inlineStr">
        <is>
          <t>Mid Menswear</t>
        </is>
      </c>
      <c r="D26" s="37" t="n">
        <v>102</v>
      </c>
      <c r="E26" s="37" t="n">
        <v>801</v>
      </c>
      <c r="F26" s="57" t="n">
        <v>1.23</v>
      </c>
      <c r="G26" s="10" t="inlineStr">
        <is>
          <t>102 pincodes where Cantabil is only Mid Menswear brand</t>
        </is>
      </c>
      <c r="H26" s="11" t="n"/>
      <c r="I26" s="11" t="n"/>
      <c r="J26" s="11" t="n"/>
      <c r="K26" s="11" t="n"/>
      <c r="L26" s="12" t="n"/>
    </row>
    <row r="27" ht="22" customHeight="1">
      <c r="A27" s="14" t="n">
        <v>13</v>
      </c>
      <c r="B27" s="77" t="inlineStr">
        <is>
          <t>RedTape</t>
        </is>
      </c>
      <c r="C27" s="88" t="inlineStr">
        <is>
          <t>Footwear</t>
        </is>
      </c>
      <c r="D27" s="41" t="n">
        <v>95</v>
      </c>
      <c r="E27" s="41" t="n">
        <v>1518</v>
      </c>
      <c r="F27" s="55" t="n">
        <v>2.91</v>
      </c>
      <c r="G27" s="16" t="inlineStr">
        <is>
          <t>95 pincodes where RedTape is only Footwear brand</t>
        </is>
      </c>
      <c r="H27" s="11" t="n"/>
      <c r="I27" s="11" t="n"/>
      <c r="J27" s="11" t="n"/>
      <c r="K27" s="11" t="n"/>
      <c r="L27" s="12" t="n"/>
    </row>
    <row r="28" ht="22" customHeight="1">
      <c r="A28" s="6" t="n">
        <v>14</v>
      </c>
      <c r="B28" s="79" t="inlineStr">
        <is>
          <t>FabIndia</t>
        </is>
      </c>
      <c r="C28" s="89" t="inlineStr">
        <is>
          <t>Women's Ethnic</t>
        </is>
      </c>
      <c r="D28" s="37" t="n">
        <v>92</v>
      </c>
      <c r="E28" s="37" t="n">
        <v>1060</v>
      </c>
      <c r="F28" s="57" t="n">
        <v>3.03</v>
      </c>
      <c r="G28" s="10" t="inlineStr">
        <is>
          <t>92 pincodes where FabIndia is only Women's Ethnic brand</t>
        </is>
      </c>
      <c r="H28" s="11" t="n"/>
      <c r="I28" s="11" t="n"/>
      <c r="J28" s="11" t="n"/>
      <c r="K28" s="11" t="n"/>
      <c r="L28" s="12" t="n"/>
    </row>
    <row r="29" ht="22" customHeight="1">
      <c r="A29" s="14" t="n">
        <v>15</v>
      </c>
      <c r="B29" s="77" t="inlineStr">
        <is>
          <t>Manyawar</t>
        </is>
      </c>
      <c r="C29" s="90" t="inlineStr">
        <is>
          <t>Women's Ethnic</t>
        </is>
      </c>
      <c r="D29" s="41" t="n">
        <v>89</v>
      </c>
      <c r="E29" s="41" t="n">
        <v>1667</v>
      </c>
      <c r="F29" s="55" t="n">
        <v>5.48</v>
      </c>
      <c r="G29" s="16" t="inlineStr">
        <is>
          <t>89 pincodes where Manyawar is only Women's Ethnic brand</t>
        </is>
      </c>
      <c r="H29" s="11" t="n"/>
      <c r="I29" s="11" t="n"/>
      <c r="J29" s="11" t="n"/>
      <c r="K29" s="11" t="n"/>
      <c r="L29" s="12" t="n"/>
    </row>
    <row r="30" ht="22" customHeight="1">
      <c r="A30" s="6" t="n">
        <v>16</v>
      </c>
      <c r="B30" s="79" t="inlineStr">
        <is>
          <t>V Mart</t>
        </is>
      </c>
      <c r="C30" s="86" t="inlineStr">
        <is>
          <t>Value Fashion</t>
        </is>
      </c>
      <c r="D30" s="37" t="n">
        <v>71</v>
      </c>
      <c r="E30" s="37" t="n">
        <v>2532</v>
      </c>
      <c r="F30" s="57" t="n">
        <v>5.3</v>
      </c>
      <c r="G30" s="10" t="inlineStr">
        <is>
          <t>71 pincodes where V_Mart is only Value Fashion brand</t>
        </is>
      </c>
      <c r="H30" s="11" t="n"/>
      <c r="I30" s="11" t="n"/>
      <c r="J30" s="11" t="n"/>
      <c r="K30" s="11" t="n"/>
      <c r="L30" s="12" t="n"/>
    </row>
    <row r="31" ht="22" customHeight="1">
      <c r="A31" s="14" t="n">
        <v>17</v>
      </c>
      <c r="B31" s="77" t="inlineStr">
        <is>
          <t>Westside</t>
        </is>
      </c>
      <c r="C31" s="81" t="inlineStr">
        <is>
          <t>Multi/Lifestyle</t>
        </is>
      </c>
      <c r="D31" s="41" t="n">
        <v>63</v>
      </c>
      <c r="E31" s="41" t="n">
        <v>8376</v>
      </c>
      <c r="F31" s="55" t="n">
        <v>27.92</v>
      </c>
      <c r="G31" s="16" t="inlineStr">
        <is>
          <t>63 pincodes where Westside is only Multi/Lifestyle brand</t>
        </is>
      </c>
      <c r="H31" s="11" t="n"/>
      <c r="I31" s="11" t="n"/>
      <c r="J31" s="11" t="n"/>
      <c r="K31" s="11" t="n"/>
      <c r="L31" s="12" t="n"/>
    </row>
    <row r="32" ht="22" customHeight="1">
      <c r="A32" s="6" t="n">
        <v>18</v>
      </c>
      <c r="B32" s="79" t="inlineStr">
        <is>
          <t>Biba</t>
        </is>
      </c>
      <c r="C32" s="89" t="inlineStr">
        <is>
          <t>Women's Ethnic</t>
        </is>
      </c>
      <c r="D32" s="37" t="n">
        <v>60</v>
      </c>
      <c r="E32" s="37" t="n">
        <v>381</v>
      </c>
      <c r="F32" s="57" t="n">
        <v>1.03</v>
      </c>
      <c r="G32" s="10" t="inlineStr">
        <is>
          <t>60 pincodes where Biba is only Women's Ethnic brand</t>
        </is>
      </c>
      <c r="H32" s="11" t="n"/>
      <c r="I32" s="11" t="n"/>
      <c r="J32" s="11" t="n"/>
      <c r="K32" s="11" t="n"/>
      <c r="L32" s="12" t="n"/>
    </row>
    <row r="33" ht="22" customHeight="1">
      <c r="A33" s="14" t="n">
        <v>19</v>
      </c>
      <c r="B33" s="77" t="inlineStr">
        <is>
          <t>MBazaar</t>
        </is>
      </c>
      <c r="C33" s="78" t="inlineStr">
        <is>
          <t>Value Fashion</t>
        </is>
      </c>
      <c r="D33" s="41" t="n">
        <v>59</v>
      </c>
      <c r="E33" s="41" t="n">
        <v>1119</v>
      </c>
      <c r="F33" s="55" t="n">
        <v>5.28</v>
      </c>
      <c r="G33" s="16" t="inlineStr">
        <is>
          <t>59 pincodes where MBazaar is only Value Fashion brand</t>
        </is>
      </c>
      <c r="H33" s="11" t="n"/>
      <c r="I33" s="11" t="n"/>
      <c r="J33" s="11" t="n"/>
      <c r="K33" s="11" t="n"/>
      <c r="L33" s="12" t="n"/>
    </row>
    <row r="34" ht="22" customHeight="1">
      <c r="A34" s="6" t="n">
        <v>20</v>
      </c>
      <c r="B34" s="79" t="inlineStr">
        <is>
          <t>Siyarams</t>
        </is>
      </c>
      <c r="C34" s="87" t="inlineStr">
        <is>
          <t>Mid Menswear</t>
        </is>
      </c>
      <c r="D34" s="37" t="n">
        <v>51</v>
      </c>
      <c r="E34" s="37" t="n">
        <v>2158</v>
      </c>
      <c r="F34" s="57" t="n">
        <v>9.34</v>
      </c>
      <c r="G34" s="10" t="inlineStr">
        <is>
          <t>51 pincodes where Siyarams is only Mid Menswear brand</t>
        </is>
      </c>
      <c r="H34" s="11" t="n"/>
      <c r="I34" s="11" t="n"/>
      <c r="J34" s="11" t="n"/>
      <c r="K34" s="11" t="n"/>
      <c r="L34" s="12" t="n"/>
    </row>
    <row r="36" ht="20" customHeight="1">
      <c r="A36" s="24" t="inlineStr">
        <is>
          <t>ZUDIO COMPETITIVE ISOLATION — The Revenue Moat Metric</t>
        </is>
      </c>
    </row>
    <row r="37" ht="24" customHeight="1">
      <c r="A37" s="25" t="inlineStr">
        <is>
          <t>Metric</t>
        </is>
      </c>
      <c r="B37" s="25" t="inlineStr">
        <is>
          <t>Value</t>
        </is>
      </c>
      <c r="C37" s="25" t="inlineStr">
        <is>
          <t>Investor Read</t>
        </is>
      </c>
    </row>
    <row r="38" ht="22" customHeight="1">
      <c r="A38" s="79" t="inlineStr">
        <is>
          <t>Zudio total VF pincodes</t>
        </is>
      </c>
      <c r="B38" s="9" t="inlineStr">
        <is>
          <t>776</t>
        </is>
      </c>
      <c r="C38" s="10" t="inlineStr">
        <is>
          <t>217 Metro | 181 T1 | 225 T2 | 263 T3 | 21 T4</t>
        </is>
      </c>
      <c r="D38" s="11" t="n"/>
      <c r="E38" s="11" t="n"/>
      <c r="F38" s="11" t="n"/>
      <c r="G38" s="11" t="n"/>
      <c r="H38" s="11" t="n"/>
      <c r="I38" s="11" t="n"/>
      <c r="J38" s="12" t="n"/>
    </row>
    <row r="39" ht="22" customHeight="1">
      <c r="A39" s="77" t="inlineStr">
        <is>
          <t>Zudio-only (no other VF brand)</t>
        </is>
      </c>
      <c r="B39" s="9" t="inlineStr">
        <is>
          <t>182 pincodes (23.5%)</t>
        </is>
      </c>
      <c r="C39" s="16" t="inlineStr">
        <is>
          <t>In these 182, Zudio faces ZERO organised VF competition</t>
        </is>
      </c>
      <c r="D39" s="11" t="n"/>
      <c r="E39" s="11" t="n"/>
      <c r="F39" s="11" t="n"/>
      <c r="G39" s="11" t="n"/>
      <c r="H39" s="11" t="n"/>
      <c r="I39" s="11" t="n"/>
      <c r="J39" s="12" t="n"/>
    </row>
    <row r="40" ht="22" customHeight="1">
      <c r="A40" s="79" t="inlineStr">
        <is>
          <t>Metro: Zudio-only</t>
        </is>
      </c>
      <c r="B40" s="9" t="inlineStr">
        <is>
          <t>64 pins (29.5% of Zudio Metro)</t>
        </is>
      </c>
      <c r="C40" s="10" t="inlineStr">
        <is>
          <t>High isolation even in metros — premium micro-markets</t>
        </is>
      </c>
      <c r="D40" s="11" t="n"/>
      <c r="E40" s="11" t="n"/>
      <c r="F40" s="11" t="n"/>
      <c r="G40" s="11" t="n"/>
      <c r="H40" s="11" t="n"/>
      <c r="I40" s="11" t="n"/>
      <c r="J40" s="12" t="n"/>
    </row>
    <row r="41" ht="22" customHeight="1">
      <c r="A41" s="77" t="inlineStr">
        <is>
          <t>T2: Zudio-only</t>
        </is>
      </c>
      <c r="B41" s="9" t="inlineStr">
        <is>
          <t>56 pins (24.9% of Zudio T2)</t>
        </is>
      </c>
      <c r="C41" s="16" t="inlineStr">
        <is>
          <t>Highest TAM moat — T2 wallet is largest in absolute ₹</t>
        </is>
      </c>
      <c r="D41" s="11" t="n"/>
      <c r="E41" s="11" t="n"/>
      <c r="F41" s="11" t="n"/>
      <c r="G41" s="11" t="n"/>
      <c r="H41" s="11" t="n"/>
      <c r="I41" s="11" t="n"/>
      <c r="J41" s="12" t="n"/>
    </row>
    <row r="42" ht="22" customHeight="1">
      <c r="A42" s="79" t="inlineStr">
        <is>
          <t>T3: Zudio-only</t>
        </is>
      </c>
      <c r="B42" s="9" t="inlineStr">
        <is>
          <t>35 pins (13.3% of Zudio T3)</t>
        </is>
      </c>
      <c r="C42" s="10" t="inlineStr">
        <is>
          <t>T3 VF market is relatively contested — Trends, V-Mart too</t>
        </is>
      </c>
      <c r="D42" s="11" t="n"/>
      <c r="E42" s="11" t="n"/>
      <c r="F42" s="11" t="n"/>
      <c r="G42" s="11" t="n"/>
      <c r="H42" s="11" t="n"/>
      <c r="I42" s="11" t="n"/>
      <c r="J42" s="12" t="n"/>
    </row>
    <row r="43" ht="22" customHeight="1">
      <c r="A43" s="77" t="inlineStr">
        <is>
          <t>Zudio FY26 Revenue</t>
        </is>
      </c>
      <c r="B43" s="9" t="inlineStr">
        <is>
          <t>₹8,148 Cr</t>
        </is>
      </c>
      <c r="C43" s="16" t="inlineStr">
        <is>
          <t>₹8.46 Cr/store × 963 stores — source: Trent AR FY25</t>
        </is>
      </c>
      <c r="D43" s="11" t="n"/>
      <c r="E43" s="11" t="n"/>
      <c r="F43" s="11" t="n"/>
      <c r="G43" s="11" t="n"/>
      <c r="H43" s="11" t="n"/>
      <c r="I43" s="11" t="n"/>
      <c r="J43" s="12" t="n"/>
    </row>
    <row r="44" ht="22" customHeight="1">
      <c r="A44" s="79" t="inlineStr">
        <is>
          <t>Revenue in moat pincodes (est)</t>
        </is>
      </c>
      <c r="B44" s="9" t="inlineStr">
        <is>
          <t>₹1,540 Cr</t>
        </is>
      </c>
      <c r="C44" s="10" t="inlineStr">
        <is>
          <t>182 pins × 1.5 stores × ₹8.46 Cr — competitor-free revenue</t>
        </is>
      </c>
      <c r="D44" s="11" t="n"/>
      <c r="E44" s="11" t="n"/>
      <c r="F44" s="11" t="n"/>
      <c r="G44" s="11" t="n"/>
      <c r="H44" s="11" t="n"/>
      <c r="I44" s="11" t="n"/>
      <c r="J44" s="12" t="n"/>
    </row>
  </sheetData>
  <mergeCells count="37">
    <mergeCell ref="I9:M9"/>
    <mergeCell ref="G19:L19"/>
    <mergeCell ref="I6:M6"/>
    <mergeCell ref="G28:L28"/>
    <mergeCell ref="G18:L18"/>
    <mergeCell ref="C42:J42"/>
    <mergeCell ref="A4:J4"/>
    <mergeCell ref="G34:L34"/>
    <mergeCell ref="A13:J13"/>
    <mergeCell ref="G30:L30"/>
    <mergeCell ref="G15:L15"/>
    <mergeCell ref="G33:L33"/>
    <mergeCell ref="G24:L24"/>
    <mergeCell ref="I7:M7"/>
    <mergeCell ref="C44:J44"/>
    <mergeCell ref="C41:J41"/>
    <mergeCell ref="G20:L20"/>
    <mergeCell ref="G26:L26"/>
    <mergeCell ref="G29:L29"/>
    <mergeCell ref="C40:J40"/>
    <mergeCell ref="A1:J1"/>
    <mergeCell ref="G25:L25"/>
    <mergeCell ref="A36:J36"/>
    <mergeCell ref="G16:L16"/>
    <mergeCell ref="G32:L32"/>
    <mergeCell ref="C43:J43"/>
    <mergeCell ref="G22:L22"/>
    <mergeCell ref="G31:L31"/>
    <mergeCell ref="I8:M8"/>
    <mergeCell ref="C39:J39"/>
    <mergeCell ref="G21:L21"/>
    <mergeCell ref="G27:L27"/>
    <mergeCell ref="C38:J38"/>
    <mergeCell ref="I10:M10"/>
    <mergeCell ref="G17:L17"/>
    <mergeCell ref="G23:L23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565C0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6" customWidth="1" min="11" max="11"/>
  </cols>
  <sheetData>
    <row r="1" ht="30" customHeight="1">
      <c r="A1" s="91" t="inlineStr">
        <is>
          <t>EX-19  STORE POTENTIAL MODEL — Density Runway + Revenue Upside</t>
        </is>
      </c>
    </row>
    <row r="2" ht="18" customHeight="1">
      <c r="A2" s="2" t="inlineStr">
        <is>
          <t>T3 density uplift = 1,410 stores. Greenfield (20% zero pins) = 917 stores. Total: 2,327 new T3 stores → ₹4,654 Cr revenue.</t>
        </is>
      </c>
    </row>
    <row r="4" ht="20" customHeight="1">
      <c r="A4" s="3" t="inlineStr">
        <is>
          <t>ASSUMPTIONS</t>
        </is>
      </c>
    </row>
    <row r="5" ht="24" customHeight="1">
      <c r="A5" s="47" t="inlineStr">
        <is>
          <t>Parameter</t>
        </is>
      </c>
      <c r="B5" s="47" t="inlineStr">
        <is>
          <t>Value</t>
        </is>
      </c>
      <c r="C5" s="47" t="inlineStr">
        <is>
          <t>Rationale</t>
        </is>
      </c>
    </row>
    <row r="6" ht="18" customHeight="1">
      <c r="A6" s="92" t="inlineStr">
        <is>
          <t>Target Density (Benchmark)</t>
        </is>
      </c>
      <c r="B6" s="6" t="inlineStr">
        <is>
          <t>T2 level = 6.66 stores/active pin</t>
        </is>
      </c>
      <c r="C6" s="10" t="inlineStr">
        <is>
          <t>Proven sustainable density, not saturation</t>
        </is>
      </c>
      <c r="D6" s="11" t="n"/>
      <c r="E6" s="11" t="n"/>
      <c r="F6" s="11" t="n"/>
      <c r="G6" s="11" t="n"/>
      <c r="H6" s="11" t="n"/>
      <c r="I6" s="11" t="n"/>
      <c r="J6" s="12" t="n"/>
    </row>
    <row r="7" ht="18" customHeight="1">
      <c r="A7" s="92" t="inlineStr">
        <is>
          <t>Avg Revenue/New Store</t>
        </is>
      </c>
      <c r="B7" s="14" t="inlineStr">
        <is>
          <t>₹2.0 Cr/year</t>
        </is>
      </c>
      <c r="C7" s="16" t="inlineStr">
        <is>
          <t>Conservative; actual T3 leader avg is ₹3-5 Cr</t>
        </is>
      </c>
      <c r="D7" s="11" t="n"/>
      <c r="E7" s="11" t="n"/>
      <c r="F7" s="11" t="n"/>
      <c r="G7" s="11" t="n"/>
      <c r="H7" s="11" t="n"/>
      <c r="I7" s="11" t="n"/>
      <c r="J7" s="12" t="n"/>
    </row>
    <row r="8" ht="18" customHeight="1">
      <c r="A8" s="92" t="inlineStr">
        <is>
          <t>Greenfield Conversion</t>
        </is>
      </c>
      <c r="B8" s="6" t="inlineStr">
        <is>
          <t>20% of zero-pincodes activate in 5 years</t>
        </is>
      </c>
      <c r="C8" s="10" t="inlineStr">
        <is>
          <t>Grad ramp; T3 closer to 10-15%, T2 to 25-30%</t>
        </is>
      </c>
      <c r="D8" s="11" t="n"/>
      <c r="E8" s="11" t="n"/>
      <c r="F8" s="11" t="n"/>
      <c r="G8" s="11" t="n"/>
      <c r="H8" s="11" t="n"/>
      <c r="I8" s="11" t="n"/>
      <c r="J8" s="12" t="n"/>
    </row>
    <row r="9" ht="18" customHeight="1">
      <c r="A9" s="92" t="inlineStr">
        <is>
          <t>Runway Basis</t>
        </is>
      </c>
      <c r="B9" s="14" t="inlineStr">
        <is>
          <t>Density uplift + greenfield (separate tracks)</t>
        </is>
      </c>
      <c r="C9" s="16" t="inlineStr">
        <is>
          <t>Different conversion assumptions per track</t>
        </is>
      </c>
      <c r="D9" s="11" t="n"/>
      <c r="E9" s="11" t="n"/>
      <c r="F9" s="11" t="n"/>
      <c r="G9" s="11" t="n"/>
      <c r="H9" s="11" t="n"/>
      <c r="I9" s="11" t="n"/>
      <c r="J9" s="12" t="n"/>
    </row>
    <row r="12" ht="20" customHeight="1">
      <c r="A12" s="29" t="inlineStr">
        <is>
          <t>STORE POTENTIAL BY TIER (formula: Density Col × Active Pins − Current Stores)</t>
        </is>
      </c>
    </row>
    <row r="13" ht="24" customHeight="1">
      <c r="A13" s="4" t="inlineStr">
        <is>
          <t>Tier</t>
        </is>
      </c>
      <c r="B13" s="4" t="inlineStr">
        <is>
          <t>Current Stores</t>
        </is>
      </c>
      <c r="C13" s="4" t="inlineStr">
        <is>
          <t>Active Pins</t>
        </is>
      </c>
      <c r="D13" s="4" t="inlineStr">
        <is>
          <t>Zero Pins</t>
        </is>
      </c>
      <c r="E13" s="4" t="inlineStr">
        <is>
          <t>Current SPP</t>
        </is>
      </c>
      <c r="F13" s="4" t="inlineStr">
        <is>
          <t>Target SPP</t>
        </is>
      </c>
      <c r="G13" s="4" t="inlineStr">
        <is>
          <t>Density Runway</t>
        </is>
      </c>
      <c r="H13" s="4" t="inlineStr">
        <is>
          <t>Greenfield</t>
        </is>
      </c>
      <c r="I13" s="4" t="inlineStr">
        <is>
          <t>Total Runway</t>
        </is>
      </c>
      <c r="J13" s="4" t="inlineStr">
        <is>
          <t>Revenue Upside (₹Cr)</t>
        </is>
      </c>
      <c r="K13" s="4" t="inlineStr">
        <is>
          <t>Priority</t>
        </is>
      </c>
    </row>
    <row r="14" ht="22" customHeight="1">
      <c r="A14" s="36">
        <f>'⚙️ DATA'!A5</f>
        <v/>
      </c>
      <c r="B14" s="37" t="n">
        <v>8002</v>
      </c>
      <c r="C14" s="37" t="n">
        <v>611</v>
      </c>
      <c r="D14" s="37" t="n">
        <v>0</v>
      </c>
      <c r="E14" s="38" t="n">
        <v>13.1</v>
      </c>
      <c r="F14" s="6" t="inlineStr">
        <is>
          <t>—</t>
        </is>
      </c>
      <c r="G14" s="37" t="n">
        <v>0</v>
      </c>
      <c r="H14" s="37" t="n">
        <v>0</v>
      </c>
      <c r="I14" s="37" t="n">
        <v>0</v>
      </c>
      <c r="J14" s="37" t="n">
        <v>0</v>
      </c>
      <c r="K14" s="10" t="inlineStr">
        <is>
          <t>SATURATED — refurbish, not expand</t>
        </is>
      </c>
      <c r="L14" s="11" t="n"/>
      <c r="M14" s="12" t="n"/>
    </row>
    <row r="15" ht="22" customHeight="1">
      <c r="A15" s="49">
        <f>'⚙️ DATA'!A6</f>
        <v/>
      </c>
      <c r="B15" s="41" t="n">
        <v>7340</v>
      </c>
      <c r="C15" s="41" t="n">
        <v>680</v>
      </c>
      <c r="D15" s="41" t="n">
        <v>0</v>
      </c>
      <c r="E15" s="38" t="n">
        <v>10.79</v>
      </c>
      <c r="F15" s="14" t="inlineStr">
        <is>
          <t>—</t>
        </is>
      </c>
      <c r="G15" s="41" t="n">
        <v>0</v>
      </c>
      <c r="H15" s="41" t="n">
        <v>0</v>
      </c>
      <c r="I15" s="41" t="n">
        <v>0</v>
      </c>
      <c r="J15" s="41" t="n">
        <v>0</v>
      </c>
      <c r="K15" s="16" t="inlineStr">
        <is>
          <t>FULL — selective premium only</t>
        </is>
      </c>
      <c r="L15" s="11" t="n"/>
      <c r="M15" s="12" t="n"/>
    </row>
    <row r="16" ht="22" customHeight="1">
      <c r="A16" s="93">
        <f>'⚙️ DATA'!A7</f>
        <v/>
      </c>
      <c r="B16" s="37" t="n">
        <v>9518</v>
      </c>
      <c r="C16" s="37" t="n">
        <v>1428</v>
      </c>
      <c r="D16" s="37" t="n">
        <v>0</v>
      </c>
      <c r="E16" s="57" t="n">
        <v>6.67</v>
      </c>
      <c r="F16" s="6" t="inlineStr">
        <is>
          <t>—</t>
        </is>
      </c>
      <c r="G16" s="37" t="n">
        <v>0</v>
      </c>
      <c r="H16" s="37" t="n">
        <v>0</v>
      </c>
      <c r="I16" s="37" t="n">
        <v>0</v>
      </c>
      <c r="J16" s="37" t="n">
        <v>0</v>
      </c>
      <c r="K16" s="10" t="inlineStr">
        <is>
          <t>AT BENCHMARK — zero-pin greenfield</t>
        </is>
      </c>
      <c r="L16" s="11" t="n"/>
      <c r="M16" s="12" t="n"/>
    </row>
    <row r="17" ht="22" customHeight="1">
      <c r="A17" s="9">
        <f>'⚙️ DATA'!A8</f>
        <v/>
      </c>
      <c r="B17" s="41" t="n">
        <v>5963</v>
      </c>
      <c r="C17" s="41" t="n">
        <v>1072</v>
      </c>
      <c r="D17" s="41" t="n">
        <v>0</v>
      </c>
      <c r="E17" s="55" t="n">
        <v>5.56</v>
      </c>
      <c r="F17" s="55" t="n">
        <v>6.66</v>
      </c>
      <c r="G17" s="67" t="n">
        <v>1179</v>
      </c>
      <c r="H17" s="41" t="n">
        <v>0</v>
      </c>
      <c r="I17" s="54" t="n">
        <v>1179</v>
      </c>
      <c r="J17" s="67" t="n">
        <v>2358</v>
      </c>
      <c r="K17" s="16" t="inlineStr">
        <is>
          <t>🟢 PRIMARY TARGET — density + greenfield</t>
        </is>
      </c>
      <c r="L17" s="11" t="n"/>
      <c r="M17" s="12" t="n"/>
    </row>
    <row r="18" ht="22" customHeight="1">
      <c r="A18" s="94">
        <f>'⚙️ DATA'!A9</f>
        <v/>
      </c>
      <c r="B18" s="37" t="n">
        <v>990</v>
      </c>
      <c r="C18" s="37" t="n">
        <v>140</v>
      </c>
      <c r="D18" s="37" t="n">
        <v>0</v>
      </c>
      <c r="E18" s="57" t="n">
        <v>7.07</v>
      </c>
      <c r="F18" s="57" t="n">
        <v>6.66</v>
      </c>
      <c r="G18" s="37" t="n">
        <v>0</v>
      </c>
      <c r="H18" s="37" t="n">
        <v>0</v>
      </c>
      <c r="I18" s="37" t="n">
        <v>0</v>
      </c>
      <c r="J18" s="37" t="n">
        <v>0</v>
      </c>
      <c r="K18" s="10" t="inlineStr">
        <is>
          <t>🟡 NICHE — selective micro-markets</t>
        </is>
      </c>
      <c r="L18" s="11" t="n"/>
      <c r="M18" s="12" t="n"/>
    </row>
    <row r="21" ht="20" customHeight="1">
      <c r="A21" s="24" t="inlineStr">
        <is>
          <t>ZUDIO STORE POTENTIAL — Pincode-by-Pincode Revenue Validation</t>
        </is>
      </c>
    </row>
    <row r="22" ht="24" customHeight="1">
      <c r="A22" s="25" t="inlineStr">
        <is>
          <t>Metric</t>
        </is>
      </c>
      <c r="B22" s="25" t="inlineStr">
        <is>
          <t>Value</t>
        </is>
      </c>
      <c r="C22" s="25" t="inlineStr">
        <is>
          <t>Context</t>
        </is>
      </c>
    </row>
    <row r="23" ht="22" customHeight="1">
      <c r="A23" s="77" t="inlineStr">
        <is>
          <t>Zudio T2 runway</t>
        </is>
      </c>
      <c r="B23" s="9" t="inlineStr">
        <is>
          <t>1,204 pincodes</t>
        </is>
      </c>
      <c r="C23" s="16" t="inlineStr">
        <is>
          <t>79.4% of T2 active pincodes have no Zudio</t>
        </is>
      </c>
      <c r="D23" s="11" t="n"/>
      <c r="E23" s="11" t="n"/>
      <c r="F23" s="11" t="n"/>
      <c r="G23" s="11" t="n"/>
      <c r="H23" s="11" t="n"/>
      <c r="I23" s="11" t="n"/>
      <c r="J23" s="12" t="n"/>
    </row>
    <row r="24" ht="22" customHeight="1">
      <c r="A24" s="79" t="inlineStr">
        <is>
          <t>Zudio T3 runway</t>
        </is>
      </c>
      <c r="B24" s="9" t="inlineStr">
        <is>
          <t>931 pincodes</t>
        </is>
      </c>
      <c r="C24" s="10" t="inlineStr">
        <is>
          <t>87.5% of T3 active pincodes have no Zudio</t>
        </is>
      </c>
      <c r="D24" s="11" t="n"/>
      <c r="E24" s="11" t="n"/>
      <c r="F24" s="11" t="n"/>
      <c r="G24" s="11" t="n"/>
      <c r="H24" s="11" t="n"/>
      <c r="I24" s="11" t="n"/>
      <c r="J24" s="12" t="n"/>
    </row>
    <row r="25" ht="22" customHeight="1">
      <c r="A25" s="77" t="inlineStr">
        <is>
          <t>Total T2+T3 addressable</t>
        </is>
      </c>
      <c r="B25" s="9" t="inlineStr">
        <is>
          <t>2,135 pincodes</t>
        </is>
      </c>
      <c r="C25" s="16">
        <f> 3,202 new stores at 1.5 stores/pin</f>
        <v/>
      </c>
      <c r="D25" s="11" t="n"/>
      <c r="E25" s="11" t="n"/>
      <c r="F25" s="11" t="n"/>
      <c r="G25" s="11" t="n"/>
      <c r="H25" s="11" t="n"/>
      <c r="I25" s="11" t="n"/>
      <c r="J25" s="12" t="n"/>
    </row>
    <row r="26" ht="22" customHeight="1">
      <c r="A26" s="79" t="inlineStr">
        <is>
          <t>Revenue upside (₹8.46/store)</t>
        </is>
      </c>
      <c r="B26" s="9" t="inlineStr">
        <is>
          <t>₹27,100 Cr</t>
        </is>
      </c>
      <c r="C26" s="10" t="inlineStr">
        <is>
          <t>Conservative — uses actual FY26 revenue/store</t>
        </is>
      </c>
      <c r="D26" s="11" t="n"/>
      <c r="E26" s="11" t="n"/>
      <c r="F26" s="11" t="n"/>
      <c r="G26" s="11" t="n"/>
      <c r="H26" s="11" t="n"/>
      <c r="I26" s="11" t="n"/>
      <c r="J26" s="12" t="n"/>
    </row>
    <row r="27" ht="22" customHeight="1">
      <c r="A27" s="77" t="inlineStr">
        <is>
          <t>DATA VALIDATES MANAGEMENT</t>
        </is>
      </c>
      <c r="B27" s="9" t="inlineStr">
        <is>
          <t>3,000+ target</t>
        </is>
      </c>
      <c r="C27" s="16" t="inlineStr">
        <is>
          <t>Pincode math + revenue math both agree</t>
        </is>
      </c>
      <c r="D27" s="11" t="n"/>
      <c r="E27" s="11" t="n"/>
      <c r="F27" s="11" t="n"/>
      <c r="G27" s="11" t="n"/>
      <c r="H27" s="11" t="n"/>
      <c r="I27" s="11" t="n"/>
      <c r="J27" s="12" t="n"/>
    </row>
  </sheetData>
  <mergeCells count="19">
    <mergeCell ref="C6:J6"/>
    <mergeCell ref="C24:J24"/>
    <mergeCell ref="A4:J4"/>
    <mergeCell ref="C26:J26"/>
    <mergeCell ref="K14:M14"/>
    <mergeCell ref="C25:J25"/>
    <mergeCell ref="K17:M17"/>
    <mergeCell ref="C9:J9"/>
    <mergeCell ref="A1:J1"/>
    <mergeCell ref="K18:M18"/>
    <mergeCell ref="C27:J27"/>
    <mergeCell ref="K16:M16"/>
    <mergeCell ref="C23:J23"/>
    <mergeCell ref="C8:J8"/>
    <mergeCell ref="K15:M15"/>
    <mergeCell ref="C7:J7"/>
    <mergeCell ref="A21:J21"/>
    <mergeCell ref="A12:J12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369A1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30" customHeight="1">
      <c r="A1" s="95" t="inlineStr">
        <is>
          <t>EX-20  BRAND DASHBOARDS — Zudio · Reliance Trends · Westside · V-Mart</t>
        </is>
      </c>
    </row>
    <row r="2" ht="18" customHeight="1">
      <c r="A2" s="2" t="inlineStr">
        <is>
          <t>8-10 key metrics per brand sourced from Brand Financials + Pincode analysis. Which has the most runway?</t>
        </is>
      </c>
    </row>
    <row r="4" ht="26" customHeight="1">
      <c r="A4" s="96" t="inlineStr">
        <is>
          <t xml:space="preserve">  ZUDIO  |  Value Fashion  |  Trent / Tata  </t>
        </is>
      </c>
    </row>
    <row r="5" ht="16" customHeight="1">
      <c r="A5" s="97" t="inlineStr">
        <is>
          <t>FY26 Revenue</t>
        </is>
      </c>
      <c r="B5" s="97" t="inlineStr">
        <is>
          <t>FY25 Revenue</t>
        </is>
      </c>
      <c r="C5" s="97" t="inlineStr">
        <is>
          <t>Stores (Mar26)</t>
        </is>
      </c>
      <c r="D5" s="97" t="inlineStr">
        <is>
          <t>Rev/Store</t>
        </is>
      </c>
      <c r="E5" s="97" t="inlineStr">
        <is>
          <t>Store Adds FY26</t>
        </is>
      </c>
    </row>
    <row r="6" ht="24" customHeight="1">
      <c r="A6" s="98" t="inlineStr">
        <is>
          <t>₹8,148 Cr</t>
        </is>
      </c>
      <c r="B6" s="98" t="inlineStr">
        <is>
          <t>₹6,432 Cr</t>
        </is>
      </c>
      <c r="C6" s="98" t="inlineStr">
        <is>
          <t>963</t>
        </is>
      </c>
      <c r="D6" s="98" t="inlineStr">
        <is>
          <t>₹8.46 Cr</t>
        </is>
      </c>
      <c r="E6" s="98" t="inlineStr">
        <is>
          <t>198</t>
        </is>
      </c>
    </row>
    <row r="7" ht="16" customHeight="1">
      <c r="A7" s="97" t="inlineStr">
        <is>
          <t>Total Pincodes</t>
        </is>
      </c>
      <c r="B7" s="97" t="inlineStr">
        <is>
          <t>Metro+T1 Pins</t>
        </is>
      </c>
      <c r="C7" s="97" t="inlineStr">
        <is>
          <t>T2+T3+T4 Pins</t>
        </is>
      </c>
      <c r="D7" s="97" t="inlineStr">
        <is>
          <t>Moat Pincodes</t>
        </is>
      </c>
      <c r="E7" s="97" t="inlineStr">
        <is>
          <t>Store Runway</t>
        </is>
      </c>
    </row>
    <row r="8" ht="24" customHeight="1">
      <c r="A8" s="98" t="inlineStr">
        <is>
          <t>776</t>
        </is>
      </c>
      <c r="B8" s="98" t="inlineStr">
        <is>
          <t>398</t>
        </is>
      </c>
      <c r="C8" s="98" t="inlineStr">
        <is>
          <t>378</t>
        </is>
      </c>
      <c r="D8" s="98" t="inlineStr">
        <is>
          <t>182 (23.5%)</t>
        </is>
      </c>
      <c r="E8" s="99" t="inlineStr">
        <is>
          <t>3,200+ stores → ₹27,100 Cr upside</t>
        </is>
      </c>
    </row>
    <row r="10" ht="26" customHeight="1">
      <c r="A10" s="100" t="inlineStr">
        <is>
          <t xml:space="preserve">  RELIANCE TRENDS  |  Value Fashion  |  Reliance Retail  </t>
        </is>
      </c>
    </row>
    <row r="11" ht="16" customHeight="1">
      <c r="A11" s="97" t="inlineStr">
        <is>
          <t>Category</t>
        </is>
      </c>
      <c r="B11" s="97" t="inlineStr">
        <is>
          <t>Total Pincodes</t>
        </is>
      </c>
      <c r="C11" s="97" t="inlineStr">
        <is>
          <t>Metro+T1 Pins</t>
        </is>
      </c>
      <c r="D11" s="97" t="inlineStr">
        <is>
          <t>T2+T3+T4 Pins</t>
        </is>
      </c>
      <c r="E11" s="97" t="inlineStr">
        <is>
          <t>VF Moat Pincodes</t>
        </is>
      </c>
    </row>
    <row r="12" ht="24" customHeight="1">
      <c r="A12" s="101" t="inlineStr">
        <is>
          <t>Value Fashion</t>
        </is>
      </c>
      <c r="B12" s="101" t="inlineStr">
        <is>
          <t>1,768</t>
        </is>
      </c>
      <c r="C12" s="101" t="inlineStr">
        <is>
          <t>473</t>
        </is>
      </c>
      <c r="D12" s="101" t="inlineStr">
        <is>
          <t>1,295</t>
        </is>
      </c>
      <c r="E12" s="101" t="inlineStr">
        <is>
          <t>792 (44.8%)</t>
        </is>
      </c>
    </row>
    <row r="13" ht="16" customHeight="1">
      <c r="A13" s="97" t="inlineStr">
        <is>
          <t>T2 Pincodes</t>
        </is>
      </c>
      <c r="B13" s="97" t="inlineStr">
        <is>
          <t>T3 Pincodes</t>
        </is>
      </c>
      <c r="C13" s="97" t="inlineStr">
        <is>
          <t>Rev/Store (est)</t>
        </is>
      </c>
      <c r="D13" s="97" t="inlineStr">
        <is>
          <t>Moat Depth</t>
        </is>
      </c>
      <c r="E13" s="97" t="inlineStr">
        <is>
          <t>Verdict</t>
        </is>
      </c>
    </row>
    <row r="14" ht="24" customHeight="1">
      <c r="A14" s="101" t="inlineStr">
        <is>
          <t>704</t>
        </is>
      </c>
      <c r="B14" s="101" t="inlineStr">
        <is>
          <t>533</t>
        </is>
      </c>
      <c r="C14" s="101" t="inlineStr">
        <is>
          <t>₹10 Cr</t>
        </is>
      </c>
      <c r="D14" s="101" t="inlineStr">
        <is>
          <t>Widest moat in organised apparel</t>
        </is>
      </c>
      <c r="E14" s="101" t="inlineStr">
        <is>
          <t>Multi-Tier Leader — strongest VF distribution</t>
        </is>
      </c>
    </row>
    <row r="16" ht="26" customHeight="1">
      <c r="A16" s="102" t="inlineStr">
        <is>
          <t xml:space="preserve">  WESTSIDE  |  Multi/Lifestyle  |  Trent / Tata  </t>
        </is>
      </c>
    </row>
    <row r="17" ht="16" customHeight="1">
      <c r="A17" s="97" t="inlineStr">
        <is>
          <t>FY26 Revenue</t>
        </is>
      </c>
      <c r="B17" s="97" t="inlineStr">
        <is>
          <t>FY25 Revenue</t>
        </is>
      </c>
      <c r="C17" s="97" t="inlineStr">
        <is>
          <t>Stores (Mar26)</t>
        </is>
      </c>
      <c r="D17" s="97" t="inlineStr">
        <is>
          <t>Rev/Store</t>
        </is>
      </c>
      <c r="E17" s="97" t="inlineStr">
        <is>
          <t>Store Adds FY26</t>
        </is>
      </c>
    </row>
    <row r="18" ht="24" customHeight="1">
      <c r="A18" s="103" t="inlineStr">
        <is>
          <t>₹8,376 Cr</t>
        </is>
      </c>
      <c r="B18" s="103" t="inlineStr">
        <is>
          <t>₹6,882 Cr</t>
        </is>
      </c>
      <c r="C18" s="103" t="inlineStr">
        <is>
          <t>300</t>
        </is>
      </c>
      <c r="D18" s="103" t="inlineStr">
        <is>
          <t>₹27.92 Cr</t>
        </is>
      </c>
      <c r="E18" s="103" t="inlineStr">
        <is>
          <t>52</t>
        </is>
      </c>
    </row>
    <row r="19" ht="16" customHeight="1">
      <c r="A19" s="97" t="inlineStr">
        <is>
          <t>Total Pincodes</t>
        </is>
      </c>
      <c r="B19" s="97" t="inlineStr">
        <is>
          <t>Metro+T1 Pins</t>
        </is>
      </c>
      <c r="C19" s="97" t="inlineStr">
        <is>
          <t>T2+T3+T4 Pins</t>
        </is>
      </c>
      <c r="D19" s="97" t="inlineStr">
        <is>
          <t>Segment</t>
        </is>
      </c>
      <c r="E19" s="97" t="inlineStr">
        <is>
          <t>Verdict</t>
        </is>
      </c>
    </row>
    <row r="20" ht="24" customHeight="1">
      <c r="A20" s="103" t="inlineStr">
        <is>
          <t>199</t>
        </is>
      </c>
      <c r="B20" s="103" t="inlineStr">
        <is>
          <t>138 (69.3%)</t>
        </is>
      </c>
      <c r="C20" s="103" t="inlineStr">
        <is>
          <t>61 (30.7%)</t>
        </is>
      </c>
      <c r="D20" s="103" t="inlineStr">
        <is>
          <t>Multi/Lifestyle</t>
        </is>
      </c>
      <c r="E20" s="103" t="inlineStr">
        <is>
          <t>Metro Fortress — high MPCE focus, limited T2/T3 format fit</t>
        </is>
      </c>
    </row>
    <row r="22" ht="26" customHeight="1">
      <c r="A22" s="104" t="inlineStr">
        <is>
          <t xml:space="preserve">  V-MART  |  Value Fashion  |  V Mart Retail  </t>
        </is>
      </c>
    </row>
    <row r="23" ht="16" customHeight="1">
      <c r="A23" s="97" t="inlineStr">
        <is>
          <t>FY26 Revenue</t>
        </is>
      </c>
      <c r="B23" s="97" t="inlineStr">
        <is>
          <t>FY25 Revenue</t>
        </is>
      </c>
      <c r="C23" s="97" t="inlineStr">
        <is>
          <t>Stores (Mar26)</t>
        </is>
      </c>
      <c r="D23" s="97" t="inlineStr">
        <is>
          <t>Rev/Store</t>
        </is>
      </c>
      <c r="E23" s="97" t="inlineStr">
        <is>
          <t>Store Adds FY26</t>
        </is>
      </c>
    </row>
    <row r="24" ht="24" customHeight="1">
      <c r="A24" s="105" t="inlineStr">
        <is>
          <t>₹2,532 Cr</t>
        </is>
      </c>
      <c r="B24" s="105" t="inlineStr">
        <is>
          <t>₹2,177 Cr</t>
        </is>
      </c>
      <c r="C24" s="105" t="inlineStr">
        <is>
          <t>478</t>
        </is>
      </c>
      <c r="D24" s="105" t="inlineStr">
        <is>
          <t>₹5.30 Cr</t>
        </is>
      </c>
      <c r="E24" s="105" t="inlineStr">
        <is>
          <t>66</t>
        </is>
      </c>
    </row>
    <row r="25" ht="16" customHeight="1">
      <c r="A25" s="97" t="inlineStr">
        <is>
          <t>Total Pincodes</t>
        </is>
      </c>
      <c r="B25" s="97" t="inlineStr">
        <is>
          <t>Moat Pincodes (VF)</t>
        </is>
      </c>
      <c r="C25" s="97" t="inlineStr">
        <is>
          <t>Focus Tier</t>
        </is>
      </c>
      <c r="D25" s="97" t="inlineStr">
        <is>
          <t>Strategy</t>
        </is>
      </c>
      <c r="E25" s="97" t="inlineStr">
        <is>
          <t>Verdict</t>
        </is>
      </c>
    </row>
    <row r="26" ht="24" customHeight="1">
      <c r="A26" s="105" t="inlineStr">
        <is>
          <t>—</t>
        </is>
      </c>
      <c r="B26" s="105" t="inlineStr">
        <is>
          <t>71</t>
        </is>
      </c>
      <c r="C26" s="105" t="inlineStr">
        <is>
          <t>T3 / T4</t>
        </is>
      </c>
      <c r="D26" s="105" t="inlineStr">
        <is>
          <t>Smaller cities, lower MPCE</t>
        </is>
      </c>
      <c r="E26" s="105" t="inlineStr">
        <is>
          <t>Tier Pioneer — T3/T4 specialist, building capillary distribution</t>
        </is>
      </c>
    </row>
  </sheetData>
  <mergeCells count="6">
    <mergeCell ref="A1:J1"/>
    <mergeCell ref="A16:L16"/>
    <mergeCell ref="A10:L10"/>
    <mergeCell ref="A22:L22"/>
    <mergeCell ref="A2:J2"/>
    <mergeCell ref="A4:L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74151"/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0" customWidth="1" min="4" max="4"/>
    <col width="80" customWidth="1" min="5" max="5"/>
  </cols>
  <sheetData>
    <row r="1" ht="30" customHeight="1">
      <c r="A1" s="106" t="inlineStr">
        <is>
          <t>EX-21  POP × INCOME PARADOX — Why Tier Beats State as Investment Variable</t>
        </is>
      </c>
    </row>
    <row r="2" ht="18" customHeight="1">
      <c r="A2" s="2" t="inlineStr">
        <is>
          <t>Gujarat ranks top-3 income but has massive T3 under-penetration. UP is low-income but Lucknow punches Metro equivalent. The Tier lens resolves this.</t>
        </is>
      </c>
    </row>
    <row r="4" ht="24" customHeight="1">
      <c r="A4" s="4" t="inlineStr">
        <is>
          <t>State</t>
        </is>
      </c>
      <c r="B4" s="4" t="inlineStr">
        <is>
          <t>MPCE Rank</t>
        </is>
      </c>
      <c r="C4" s="4" t="inlineStr">
        <is>
          <t>Store Rank</t>
        </is>
      </c>
      <c r="D4" s="4" t="inlineStr">
        <is>
          <t>Gap</t>
        </is>
      </c>
      <c r="E4" s="4" t="inlineStr">
        <is>
          <t>Tier Explanation</t>
        </is>
      </c>
    </row>
    <row r="5" ht="24" customHeight="1">
      <c r="A5" s="107" t="inlineStr">
        <is>
          <t>Delhi</t>
        </is>
      </c>
      <c r="B5" s="6" t="inlineStr">
        <is>
          <t>#2</t>
        </is>
      </c>
      <c r="C5" s="6" t="inlineStr">
        <is>
          <t>#1</t>
        </is>
      </c>
      <c r="D5" s="108" t="inlineStr">
        <is>
          <t>+1</t>
        </is>
      </c>
      <c r="E5" s="10" t="inlineStr">
        <is>
          <t>Metro-heavy: 72% stores in Metro — income rank matches penetration correctly</t>
        </is>
      </c>
      <c r="F5" s="11" t="n"/>
      <c r="G5" s="11" t="n"/>
      <c r="H5" s="11" t="n"/>
      <c r="I5" s="11" t="n"/>
      <c r="J5" s="11" t="n"/>
      <c r="K5" s="11" t="n"/>
      <c r="L5" s="12" t="n"/>
    </row>
    <row r="6" ht="24" customHeight="1">
      <c r="A6" s="73" t="inlineStr">
        <is>
          <t>Gujarat</t>
        </is>
      </c>
      <c r="B6" s="21" t="inlineStr">
        <is>
          <t>#3</t>
        </is>
      </c>
      <c r="C6" s="21" t="inlineStr">
        <is>
          <t>#8</t>
        </is>
      </c>
      <c r="D6" s="15" t="inlineStr">
        <is>
          <t>-5</t>
        </is>
      </c>
      <c r="E6" s="76" t="inlineStr">
        <is>
          <t>High income but outside Ahm./Surat/Vadodara (Metro/T1), T2/T3 barely organised</t>
        </is>
      </c>
      <c r="F6" s="11" t="n"/>
      <c r="G6" s="11" t="n"/>
      <c r="H6" s="11" t="n"/>
      <c r="I6" s="11" t="n"/>
      <c r="J6" s="11" t="n"/>
      <c r="K6" s="11" t="n"/>
      <c r="L6" s="12" t="n"/>
    </row>
    <row r="7" ht="24" customHeight="1">
      <c r="A7" s="65" t="inlineStr">
        <is>
          <t>UP</t>
        </is>
      </c>
      <c r="B7" s="8" t="inlineStr">
        <is>
          <t>#10</t>
        </is>
      </c>
      <c r="C7" s="8" t="inlineStr">
        <is>
          <t>#3</t>
        </is>
      </c>
      <c r="D7" s="9" t="inlineStr">
        <is>
          <t>+7</t>
        </is>
      </c>
      <c r="E7" s="68" t="inlineStr">
        <is>
          <t>Low avg MPCE masks Lucknow/Kanpur/Agra — T1 cities punch well above state income avg</t>
        </is>
      </c>
      <c r="F7" s="11" t="n"/>
      <c r="G7" s="11" t="n"/>
      <c r="H7" s="11" t="n"/>
      <c r="I7" s="11" t="n"/>
      <c r="J7" s="11" t="n"/>
      <c r="K7" s="11" t="n"/>
      <c r="L7" s="12" t="n"/>
    </row>
    <row r="8" ht="24" customHeight="1">
      <c r="A8" s="107" t="inlineStr">
        <is>
          <t>Maharashtra</t>
        </is>
      </c>
      <c r="B8" s="6" t="inlineStr">
        <is>
          <t>#2</t>
        </is>
      </c>
      <c r="C8" s="6" t="inlineStr">
        <is>
          <t>#2</t>
        </is>
      </c>
      <c r="D8" s="109" t="inlineStr">
        <is>
          <t>0</t>
        </is>
      </c>
      <c r="E8" s="10" t="inlineStr">
        <is>
          <t>High income + density but Mumbai+Pune = 65% state stores — rest is T3 whitespace</t>
        </is>
      </c>
      <c r="F8" s="11" t="n"/>
      <c r="G8" s="11" t="n"/>
      <c r="H8" s="11" t="n"/>
      <c r="I8" s="11" t="n"/>
      <c r="J8" s="11" t="n"/>
      <c r="K8" s="11" t="n"/>
      <c r="L8" s="12" t="n"/>
    </row>
    <row r="9" ht="24" customHeight="1">
      <c r="A9" s="73" t="inlineStr">
        <is>
          <t>Rajasthan</t>
        </is>
      </c>
      <c r="B9" s="21" t="inlineStr">
        <is>
          <t>#7</t>
        </is>
      </c>
      <c r="C9" s="21" t="inlineStr">
        <is>
          <t>#12</t>
        </is>
      </c>
      <c r="D9" s="15" t="inlineStr">
        <is>
          <t>-5</t>
        </is>
      </c>
      <c r="E9" s="76" t="inlineStr">
        <is>
          <t>Mid income but Jaipur saturated; rest (T2/T3) mostly untouched — classic bifurcation</t>
        </is>
      </c>
      <c r="F9" s="11" t="n"/>
      <c r="G9" s="11" t="n"/>
      <c r="H9" s="11" t="n"/>
      <c r="I9" s="11" t="n"/>
      <c r="J9" s="11" t="n"/>
      <c r="K9" s="11" t="n"/>
      <c r="L9" s="12" t="n"/>
    </row>
    <row r="10" ht="24" customHeight="1">
      <c r="A10" s="73" t="inlineStr">
        <is>
          <t>West Bengal</t>
        </is>
      </c>
      <c r="B10" s="21" t="inlineStr">
        <is>
          <t>#5</t>
        </is>
      </c>
      <c r="C10" s="21" t="inlineStr">
        <is>
          <t>#9</t>
        </is>
      </c>
      <c r="D10" s="15" t="inlineStr">
        <is>
          <t>-4</t>
        </is>
      </c>
      <c r="E10" s="76" t="inlineStr">
        <is>
          <t>Kolkata=Metro (saturated). Rest of Bengal=T3 low income — completely bifurcated</t>
        </is>
      </c>
      <c r="F10" s="11" t="n"/>
      <c r="G10" s="11" t="n"/>
      <c r="H10" s="11" t="n"/>
      <c r="I10" s="11" t="n"/>
      <c r="J10" s="11" t="n"/>
      <c r="K10" s="11" t="n"/>
      <c r="L10" s="12" t="n"/>
    </row>
    <row r="11" ht="24" customHeight="1">
      <c r="A11" s="73" t="inlineStr">
        <is>
          <t>Kerala</t>
        </is>
      </c>
      <c r="B11" s="21" t="inlineStr">
        <is>
          <t>#4</t>
        </is>
      </c>
      <c r="C11" s="21" t="inlineStr">
        <is>
          <t>#15</t>
        </is>
      </c>
      <c r="D11" s="15" t="inlineStr">
        <is>
          <t>-11</t>
        </is>
      </c>
      <c r="E11" s="76" t="inlineStr">
        <is>
          <t>High income but organised apparel LOW — cultural preference for local/unbranded</t>
        </is>
      </c>
      <c r="F11" s="11" t="n"/>
      <c r="G11" s="11" t="n"/>
      <c r="H11" s="11" t="n"/>
      <c r="I11" s="11" t="n"/>
      <c r="J11" s="11" t="n"/>
      <c r="K11" s="11" t="n"/>
      <c r="L11" s="12" t="n"/>
    </row>
    <row r="12" ht="24" customHeight="1">
      <c r="A12" s="107" t="inlineStr">
        <is>
          <t>Karnataka</t>
        </is>
      </c>
      <c r="B12" s="6" t="inlineStr">
        <is>
          <t>#3</t>
        </is>
      </c>
      <c r="C12" s="6" t="inlineStr">
        <is>
          <t>#4</t>
        </is>
      </c>
      <c r="D12" s="109" t="inlineStr">
        <is>
          <t>-1</t>
        </is>
      </c>
      <c r="E12" s="10" t="inlineStr">
        <is>
          <t>Bengaluru=Metro. Mysore/Hubli=T2 w/rising income — T2 expansion window open</t>
        </is>
      </c>
      <c r="F12" s="11" t="n"/>
      <c r="G12" s="11" t="n"/>
      <c r="H12" s="11" t="n"/>
      <c r="I12" s="11" t="n"/>
      <c r="J12" s="11" t="n"/>
      <c r="K12" s="11" t="n"/>
      <c r="L12" s="12" t="n"/>
    </row>
    <row r="15" ht="20" customHeight="1">
      <c r="A15" s="29" t="inlineStr">
        <is>
          <t>WHY TIER BEATS STATE — THE RESOLUTION FRAMEWORK</t>
        </is>
      </c>
    </row>
    <row r="16" ht="50" customHeight="1">
      <c r="A16" s="110" t="inlineStr">
        <is>
          <t>State MPCE masks tier distribution</t>
        </is>
      </c>
      <c r="B16" s="111" t="inlineStr">
        <is>
          <t>Gujarat's ₹3,200 MPCE average is dragged up by Ahmedabad (₹8,000+) and down by rural Saurashtra (₹1,500). A state-level filter misses both the opportunity AND the risk. The same issue exists in every large state.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2" t="n"/>
    </row>
    <row r="17" ht="50" customHeight="1">
      <c r="A17" s="110" t="inlineStr">
        <is>
          <t>Tier classification captures retail readiness</t>
        </is>
      </c>
      <c r="B17" s="112" t="inlineStr">
        <is>
          <t>A T2 city in low-MPCE UP (e.g. Bareilly) may have more organised apparel wallet than rural T3 Gujarat. Tier proxies for urban density, aspirational spending, and supply chain viability simultaneously — which state MPCE cannot.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2" t="n"/>
    </row>
    <row r="18" ht="50" customHeight="1">
      <c r="A18" s="110" t="inlineStr">
        <is>
          <t>The Lucknow anomaly (UP)</t>
        </is>
      </c>
      <c r="B18" s="111" t="inlineStr">
        <is>
          <t>UP ranks bottom-5 in state MPCE. But Lucknow (T1) has 636 stores at 18.7 stores/active pin — nearly Metro equivalent. The city is richer and more brand-aware than its state average suggests. Tier captures this; state doesn't.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2" t="n"/>
    </row>
    <row r="19" ht="50" customHeight="1">
      <c r="A19" s="110" t="inlineStr">
        <is>
          <t>The Gujarat-Ahmedabad paradox</t>
        </is>
      </c>
      <c r="B19" s="112" t="inlineStr">
        <is>
          <t>Gujarat ranks top-3 in state MPCE. But outside Ahmedabad, Surat, and Vadodara (Metro/T1), T2/T3 districts have very few organised stores and large revenue gaps. High state income ≠ T3 organised readiness — city-tier matters more.</t>
        </is>
      </c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2" t="n"/>
    </row>
  </sheetData>
  <mergeCells count="15">
    <mergeCell ref="A1:J1"/>
    <mergeCell ref="E9:L9"/>
    <mergeCell ref="E12:L12"/>
    <mergeCell ref="B16:L16"/>
    <mergeCell ref="E7:L7"/>
    <mergeCell ref="E6:L6"/>
    <mergeCell ref="E11:L11"/>
    <mergeCell ref="B19:L19"/>
    <mergeCell ref="E10:L10"/>
    <mergeCell ref="A15:J15"/>
    <mergeCell ref="B18:L18"/>
    <mergeCell ref="A2:J2"/>
    <mergeCell ref="E5:L5"/>
    <mergeCell ref="B17:L17"/>
    <mergeCell ref="E8:L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74151"/>
    <outlinePr summaryBelow="1" summaryRight="1"/>
    <pageSetUpPr/>
  </sheetPr>
  <dimension ref="A1:L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4" customHeight="1">
      <c r="A1" s="113" t="inlineStr">
        <is>
          <t>⚙️ DATA — Master Source Table  |  Update here → all exhibits auto-refresh via formulas</t>
        </is>
      </c>
    </row>
    <row r="3" ht="18" customHeight="1">
      <c r="A3" s="114" t="inlineStr">
        <is>
          <t>A — TIER SUMMARY</t>
        </is>
      </c>
    </row>
    <row r="4" ht="22" customHeight="1">
      <c r="A4" s="4" t="inlineStr">
        <is>
          <t>Tier</t>
        </is>
      </c>
      <c r="B4" s="4" t="inlineStr">
        <is>
          <t>Label</t>
        </is>
      </c>
      <c r="C4" s="4" t="inlineStr">
        <is>
          <t>Stores</t>
        </is>
      </c>
      <c r="D4" s="4" t="inlineStr">
        <is>
          <t>Revenue_Cr</t>
        </is>
      </c>
      <c r="E4" s="4" t="inlineStr">
        <is>
          <t>Active_Pins</t>
        </is>
      </c>
      <c r="F4" s="4" t="inlineStr">
        <is>
          <t>SPP</t>
        </is>
      </c>
      <c r="G4" s="4" t="inlineStr">
        <is>
          <t>Rev_per_Store</t>
        </is>
      </c>
      <c r="H4" s="4" t="inlineStr">
        <is>
          <t>Rev_per_Pin</t>
        </is>
      </c>
      <c r="I4" s="4" t="inlineStr">
        <is>
          <t>Stores_%</t>
        </is>
      </c>
    </row>
    <row r="5" ht="18" customHeight="1">
      <c r="A5" s="115" t="inlineStr">
        <is>
          <t>Metro</t>
        </is>
      </c>
      <c r="B5" s="14" t="inlineStr">
        <is>
          <t>Mega Metro</t>
        </is>
      </c>
      <c r="C5" s="41" t="n">
        <v>8002</v>
      </c>
      <c r="D5" s="28" t="n">
        <v>21310.5</v>
      </c>
      <c r="E5" s="41" t="n">
        <v>611</v>
      </c>
      <c r="F5" s="55" t="n">
        <v>13.1</v>
      </c>
      <c r="G5" s="55" t="n">
        <v>2.66</v>
      </c>
      <c r="H5" s="55" t="n">
        <v>34.88</v>
      </c>
      <c r="I5" s="116">
        <f>C5/C10</f>
        <v/>
      </c>
    </row>
    <row r="6" ht="18" customHeight="1">
      <c r="A6" s="92" t="inlineStr">
        <is>
          <t>T1</t>
        </is>
      </c>
      <c r="B6" s="6" t="inlineStr">
        <is>
          <t>Tier 1 City</t>
        </is>
      </c>
      <c r="C6" s="37" t="n">
        <v>7340</v>
      </c>
      <c r="D6" s="26" t="n">
        <v>19039.1</v>
      </c>
      <c r="E6" s="37" t="n">
        <v>679</v>
      </c>
      <c r="F6" s="57" t="n">
        <v>10.81</v>
      </c>
      <c r="G6" s="57" t="n">
        <v>2.59</v>
      </c>
      <c r="H6" s="57" t="n">
        <v>28.04</v>
      </c>
      <c r="I6" s="117">
        <f>C6/C10</f>
        <v/>
      </c>
    </row>
    <row r="7" ht="18" customHeight="1">
      <c r="A7" s="118" t="inlineStr">
        <is>
          <t>T2</t>
        </is>
      </c>
      <c r="B7" s="14" t="inlineStr">
        <is>
          <t>Tier 2 City</t>
        </is>
      </c>
      <c r="C7" s="41" t="n">
        <v>9518</v>
      </c>
      <c r="D7" s="28" t="n">
        <v>27785.4</v>
      </c>
      <c r="E7" s="41" t="n">
        <v>1429</v>
      </c>
      <c r="F7" s="55" t="n">
        <v>6.66</v>
      </c>
      <c r="G7" s="55" t="n">
        <v>2.92</v>
      </c>
      <c r="H7" s="55" t="n">
        <v>19.44</v>
      </c>
      <c r="I7" s="116">
        <f>C7/C10</f>
        <v/>
      </c>
    </row>
    <row r="8" ht="18" customHeight="1">
      <c r="A8" s="119" t="inlineStr">
        <is>
          <t>T3</t>
        </is>
      </c>
      <c r="B8" s="6" t="inlineStr">
        <is>
          <t>Tier 3 Town</t>
        </is>
      </c>
      <c r="C8" s="37" t="n">
        <v>5963</v>
      </c>
      <c r="D8" s="26" t="n">
        <v>19289.1</v>
      </c>
      <c r="E8" s="37" t="n">
        <v>1285</v>
      </c>
      <c r="F8" s="57" t="n">
        <v>4.64</v>
      </c>
      <c r="G8" s="57" t="n">
        <v>3.23</v>
      </c>
      <c r="H8" s="57" t="n">
        <v>15.01</v>
      </c>
      <c r="I8" s="117">
        <f>C8/C10</f>
        <v/>
      </c>
    </row>
    <row r="9" ht="18" customHeight="1">
      <c r="A9" s="120" t="inlineStr">
        <is>
          <t>T4</t>
        </is>
      </c>
      <c r="B9" s="14" t="inlineStr">
        <is>
          <t>Tier 4 Micro</t>
        </is>
      </c>
      <c r="C9" s="41" t="n">
        <v>990</v>
      </c>
      <c r="D9" s="28" t="n">
        <v>3122.2</v>
      </c>
      <c r="E9" s="41" t="n">
        <v>140</v>
      </c>
      <c r="F9" s="55" t="n">
        <v>7.07</v>
      </c>
      <c r="G9" s="55" t="n">
        <v>3.15</v>
      </c>
      <c r="H9" s="55" t="n">
        <v>22.3</v>
      </c>
      <c r="I9" s="116">
        <f>C9/C10</f>
        <v/>
      </c>
    </row>
    <row r="10" ht="20" customHeight="1">
      <c r="A10" s="121" t="inlineStr">
        <is>
          <t>TOTAL</t>
        </is>
      </c>
      <c r="B10" s="122" t="inlineStr">
        <is>
          <t>All India</t>
        </is>
      </c>
      <c r="C10" s="123">
        <f>SUM(C5:C9)</f>
        <v/>
      </c>
      <c r="D10" s="124">
        <f>SUM(D5:D9)</f>
        <v/>
      </c>
      <c r="E10" s="123">
        <f>SUM(E5:E9)</f>
        <v/>
      </c>
      <c r="F10" s="125">
        <f>C10/E10</f>
        <v/>
      </c>
      <c r="G10" s="125">
        <f>D10/C10</f>
        <v/>
      </c>
      <c r="H10" s="125">
        <f>D10/E10</f>
        <v/>
      </c>
      <c r="I10" s="126" t="inlineStr">
        <is>
          <t>100.0%</t>
        </is>
      </c>
    </row>
    <row r="12" ht="18" customHeight="1">
      <c r="A12" s="127" t="inlineStr">
        <is>
          <t>B — STORES by Tier × Segment</t>
        </is>
      </c>
    </row>
    <row r="13" ht="24" customHeight="1">
      <c r="A13" s="30" t="inlineStr">
        <is>
          <t>Tier</t>
        </is>
      </c>
      <c r="B13" s="30" t="inlineStr">
        <is>
          <t>Value Fashion</t>
        </is>
      </c>
      <c r="C13" s="30" t="inlineStr">
        <is>
          <t>Premium Menswear</t>
        </is>
      </c>
      <c r="D13" s="30" t="inlineStr">
        <is>
          <t>Mid Menswear</t>
        </is>
      </c>
      <c r="E13" s="30" t="inlineStr">
        <is>
          <t>Footwear</t>
        </is>
      </c>
      <c r="F13" s="30" t="inlineStr">
        <is>
          <t>Activewear</t>
        </is>
      </c>
      <c r="G13" s="30" t="inlineStr">
        <is>
          <t>Women's Ethnic</t>
        </is>
      </c>
      <c r="H13" s="30" t="inlineStr">
        <is>
          <t>Women's Western</t>
        </is>
      </c>
      <c r="I13" s="30" t="inlineStr">
        <is>
          <t>Multi/Lifestyle</t>
        </is>
      </c>
      <c r="J13" s="30" t="inlineStr">
        <is>
          <t>TOTAL</t>
        </is>
      </c>
    </row>
    <row r="14" ht="18" customHeight="1">
      <c r="A14" s="115" t="inlineStr">
        <is>
          <t>Metro</t>
        </is>
      </c>
      <c r="B14" s="37" t="n">
        <v>1234</v>
      </c>
      <c r="C14" s="37" t="n">
        <v>1867</v>
      </c>
      <c r="D14" s="37" t="n">
        <v>835</v>
      </c>
      <c r="E14" s="37" t="n">
        <v>1400</v>
      </c>
      <c r="F14" s="37" t="n">
        <v>953</v>
      </c>
      <c r="G14" s="37" t="n">
        <v>732</v>
      </c>
      <c r="H14" s="37" t="n">
        <v>467</v>
      </c>
      <c r="I14" s="37" t="n">
        <v>514</v>
      </c>
      <c r="J14" s="128">
        <f>SUM(B14:I14)</f>
        <v/>
      </c>
    </row>
    <row r="15" ht="18" customHeight="1">
      <c r="A15" s="92" t="inlineStr">
        <is>
          <t>T1</t>
        </is>
      </c>
      <c r="B15" s="41" t="n">
        <v>1403</v>
      </c>
      <c r="C15" s="41" t="n">
        <v>1672</v>
      </c>
      <c r="D15" s="41" t="n">
        <v>867</v>
      </c>
      <c r="E15" s="41" t="n">
        <v>1171</v>
      </c>
      <c r="F15" s="41" t="n">
        <v>880</v>
      </c>
      <c r="G15" s="41" t="n">
        <v>561</v>
      </c>
      <c r="H15" s="41" t="n">
        <v>379</v>
      </c>
      <c r="I15" s="41" t="n">
        <v>407</v>
      </c>
      <c r="J15" s="129">
        <f>SUM(B15:I15)</f>
        <v/>
      </c>
    </row>
    <row r="16" ht="18" customHeight="1">
      <c r="A16" s="118" t="inlineStr">
        <is>
          <t>T2</t>
        </is>
      </c>
      <c r="B16" s="37" t="n">
        <v>2269</v>
      </c>
      <c r="C16" s="37" t="n">
        <v>1946</v>
      </c>
      <c r="D16" s="37" t="n">
        <v>1337</v>
      </c>
      <c r="E16" s="37" t="n">
        <v>1563</v>
      </c>
      <c r="F16" s="37" t="n">
        <v>981</v>
      </c>
      <c r="G16" s="37" t="n">
        <v>546</v>
      </c>
      <c r="H16" s="37" t="n">
        <v>329</v>
      </c>
      <c r="I16" s="37" t="n">
        <v>547</v>
      </c>
      <c r="J16" s="130">
        <f>SUM(B16:I16)</f>
        <v/>
      </c>
    </row>
    <row r="17" ht="18" customHeight="1">
      <c r="A17" s="119" t="inlineStr">
        <is>
          <t>T3</t>
        </is>
      </c>
      <c r="B17" s="41" t="n">
        <v>1751</v>
      </c>
      <c r="C17" s="41" t="n">
        <v>837</v>
      </c>
      <c r="D17" s="41" t="n">
        <v>981</v>
      </c>
      <c r="E17" s="41" t="n">
        <v>945</v>
      </c>
      <c r="F17" s="41" t="n">
        <v>479</v>
      </c>
      <c r="G17" s="41" t="n">
        <v>196</v>
      </c>
      <c r="H17" s="41" t="n">
        <v>123</v>
      </c>
      <c r="I17" s="41" t="n">
        <v>651</v>
      </c>
      <c r="J17" s="131">
        <f>SUM(B17:I17)</f>
        <v/>
      </c>
    </row>
    <row r="18" ht="18" customHeight="1">
      <c r="A18" s="120" t="inlineStr">
        <is>
          <t>T4</t>
        </is>
      </c>
      <c r="B18" s="37" t="n">
        <v>250</v>
      </c>
      <c r="C18" s="37" t="n">
        <v>153</v>
      </c>
      <c r="D18" s="37" t="n">
        <v>178</v>
      </c>
      <c r="E18" s="37" t="n">
        <v>180</v>
      </c>
      <c r="F18" s="37" t="n">
        <v>92</v>
      </c>
      <c r="G18" s="37" t="n">
        <v>52</v>
      </c>
      <c r="H18" s="37" t="n">
        <v>30</v>
      </c>
      <c r="I18" s="37" t="n">
        <v>55</v>
      </c>
      <c r="J18" s="132">
        <f>SUM(B18:I18)</f>
        <v/>
      </c>
    </row>
    <row r="19" ht="20" customHeight="1">
      <c r="A19" s="121" t="inlineStr">
        <is>
          <t>TOTAL</t>
        </is>
      </c>
      <c r="B19" s="123">
        <f>SUM(B14:B18)</f>
        <v/>
      </c>
      <c r="C19" s="123">
        <f>SUM(C14:C18)</f>
        <v/>
      </c>
      <c r="D19" s="123">
        <f>SUM(D14:D18)</f>
        <v/>
      </c>
      <c r="E19" s="123">
        <f>SUM(E14:E18)</f>
        <v/>
      </c>
      <c r="F19" s="123">
        <f>SUM(F14:F18)</f>
        <v/>
      </c>
      <c r="G19" s="123">
        <f>SUM(G14:G18)</f>
        <v/>
      </c>
      <c r="H19" s="123">
        <f>SUM(H14:H18)</f>
        <v/>
      </c>
      <c r="I19" s="123">
        <f>SUM(I14:I18)</f>
        <v/>
      </c>
      <c r="J19" s="123">
        <f>SUM(J14:J18)</f>
        <v/>
      </c>
    </row>
    <row r="21" ht="18" customHeight="1">
      <c r="A21" s="133" t="inlineStr">
        <is>
          <t>C — REVENUE by Tier × Segment (₹ Cr)</t>
        </is>
      </c>
    </row>
    <row r="22" ht="24" customHeight="1">
      <c r="A22" s="25" t="inlineStr">
        <is>
          <t>Tier</t>
        </is>
      </c>
      <c r="B22" s="25" t="inlineStr">
        <is>
          <t>Value Fashion</t>
        </is>
      </c>
      <c r="C22" s="25" t="inlineStr">
        <is>
          <t>Premium Menswear</t>
        </is>
      </c>
      <c r="D22" s="25" t="inlineStr">
        <is>
          <t>Mid Menswear</t>
        </is>
      </c>
      <c r="E22" s="25" t="inlineStr">
        <is>
          <t>Footwear</t>
        </is>
      </c>
      <c r="F22" s="25" t="inlineStr">
        <is>
          <t>Activewear</t>
        </is>
      </c>
      <c r="G22" s="25" t="inlineStr">
        <is>
          <t>Women's Ethnic</t>
        </is>
      </c>
      <c r="H22" s="25" t="inlineStr">
        <is>
          <t>Women's Western</t>
        </is>
      </c>
      <c r="I22" s="25" t="inlineStr">
        <is>
          <t>Multi/Lifestyle</t>
        </is>
      </c>
      <c r="J22" s="25" t="inlineStr">
        <is>
          <t>TOTAL</t>
        </is>
      </c>
    </row>
    <row r="23" ht="18" customHeight="1">
      <c r="A23" s="115" t="inlineStr">
        <is>
          <t>Metro</t>
        </is>
      </c>
      <c r="B23" s="28" t="n">
        <v>6379.8</v>
      </c>
      <c r="C23" s="28" t="n">
        <v>2324</v>
      </c>
      <c r="D23" s="28" t="n">
        <v>598.4</v>
      </c>
      <c r="E23" s="28" t="n">
        <v>2446.3</v>
      </c>
      <c r="F23" s="28" t="n">
        <v>1605.5</v>
      </c>
      <c r="G23" s="28" t="n">
        <v>759.5</v>
      </c>
      <c r="H23" s="28" t="n">
        <v>467</v>
      </c>
      <c r="I23" s="28" t="n">
        <v>6730</v>
      </c>
      <c r="J23" s="134">
        <f>SUM(B23:I23)</f>
        <v/>
      </c>
    </row>
    <row r="24" ht="18" customHeight="1">
      <c r="A24" s="92" t="inlineStr">
        <is>
          <t>T1</t>
        </is>
      </c>
      <c r="B24" s="26" t="n">
        <v>7930.6</v>
      </c>
      <c r="C24" s="26" t="n">
        <v>1873.3</v>
      </c>
      <c r="D24" s="26" t="n">
        <v>756.1</v>
      </c>
      <c r="E24" s="26" t="n">
        <v>1985</v>
      </c>
      <c r="F24" s="26" t="n">
        <v>1074.6</v>
      </c>
      <c r="G24" s="26" t="n">
        <v>606.9</v>
      </c>
      <c r="H24" s="26" t="n">
        <v>362.7</v>
      </c>
      <c r="I24" s="26" t="n">
        <v>4450</v>
      </c>
      <c r="J24" s="135">
        <f>SUM(B24:I24)</f>
        <v/>
      </c>
    </row>
    <row r="25" ht="18" customHeight="1">
      <c r="A25" s="118" t="inlineStr">
        <is>
          <t>T2</t>
        </is>
      </c>
      <c r="B25" s="28" t="n">
        <v>14804.8</v>
      </c>
      <c r="C25" s="28" t="n">
        <v>1949</v>
      </c>
      <c r="D25" s="28" t="n">
        <v>1185.1</v>
      </c>
      <c r="E25" s="28" t="n">
        <v>2706.9</v>
      </c>
      <c r="F25" s="28" t="n">
        <v>961.1</v>
      </c>
      <c r="G25" s="28" t="n">
        <v>692.4</v>
      </c>
      <c r="H25" s="28" t="n">
        <v>307.1</v>
      </c>
      <c r="I25" s="28" t="n">
        <v>5178.9</v>
      </c>
      <c r="J25" s="136">
        <f>SUM(B25:I25)</f>
        <v/>
      </c>
    </row>
    <row r="26" ht="18" customHeight="1">
      <c r="A26" s="119" t="inlineStr">
        <is>
          <t>T3</t>
        </is>
      </c>
      <c r="B26" s="26" t="n">
        <v>11833.9</v>
      </c>
      <c r="C26" s="26" t="n">
        <v>691.2</v>
      </c>
      <c r="D26" s="26" t="n">
        <v>1155.1</v>
      </c>
      <c r="E26" s="26" t="n">
        <v>1439.1</v>
      </c>
      <c r="F26" s="26" t="n">
        <v>304.6</v>
      </c>
      <c r="G26" s="26" t="n">
        <v>340.3</v>
      </c>
      <c r="H26" s="26" t="n">
        <v>114.1</v>
      </c>
      <c r="I26" s="26" t="n">
        <v>3410.8</v>
      </c>
      <c r="J26" s="137">
        <f>SUM(B26:I26)</f>
        <v/>
      </c>
    </row>
    <row r="27" ht="18" customHeight="1">
      <c r="A27" s="120" t="inlineStr">
        <is>
          <t>T4</t>
        </is>
      </c>
      <c r="B27" s="28" t="n">
        <v>1596.2</v>
      </c>
      <c r="C27" s="28" t="n">
        <v>161.5</v>
      </c>
      <c r="D27" s="28" t="n">
        <v>290.9</v>
      </c>
      <c r="E27" s="28" t="n">
        <v>310.3</v>
      </c>
      <c r="F27" s="28" t="n">
        <v>92.59999999999999</v>
      </c>
      <c r="G27" s="28" t="n">
        <v>114.8</v>
      </c>
      <c r="H27" s="28" t="n">
        <v>32.9</v>
      </c>
      <c r="I27" s="28" t="n">
        <v>523.1</v>
      </c>
      <c r="J27" s="138">
        <f>SUM(B27:I27)</f>
        <v/>
      </c>
    </row>
    <row r="28" ht="20" customHeight="1">
      <c r="A28" s="121" t="inlineStr">
        <is>
          <t>TOTAL</t>
        </is>
      </c>
      <c r="B28" s="124">
        <f>SUM(B23:B27)</f>
        <v/>
      </c>
      <c r="C28" s="124">
        <f>SUM(C23:C27)</f>
        <v/>
      </c>
      <c r="D28" s="124">
        <f>SUM(D23:D27)</f>
        <v/>
      </c>
      <c r="E28" s="124">
        <f>SUM(E23:E27)</f>
        <v/>
      </c>
      <c r="F28" s="124">
        <f>SUM(F23:F27)</f>
        <v/>
      </c>
      <c r="G28" s="124">
        <f>SUM(G23:G27)</f>
        <v/>
      </c>
      <c r="H28" s="124">
        <f>SUM(H23:H27)</f>
        <v/>
      </c>
      <c r="I28" s="124">
        <f>SUM(I23:I27)</f>
        <v/>
      </c>
      <c r="J28" s="124">
        <f>SUM(J23:J27)</f>
        <v/>
      </c>
    </row>
    <row r="30" ht="18" customHeight="1">
      <c r="A30" s="139" t="inlineStr">
        <is>
          <t>D — SEGMENT % WITHIN TIER (formulas → Block B)</t>
        </is>
      </c>
    </row>
    <row r="31" ht="22" customHeight="1">
      <c r="A31" s="34" t="inlineStr">
        <is>
          <t>Tier</t>
        </is>
      </c>
      <c r="B31" s="34" t="inlineStr">
        <is>
          <t>Value Fashion</t>
        </is>
      </c>
      <c r="C31" s="34" t="inlineStr">
        <is>
          <t>Premium Menswear</t>
        </is>
      </c>
      <c r="D31" s="34" t="inlineStr">
        <is>
          <t>Mid Menswear</t>
        </is>
      </c>
      <c r="E31" s="34" t="inlineStr">
        <is>
          <t>Footwear</t>
        </is>
      </c>
      <c r="F31" s="34" t="inlineStr">
        <is>
          <t>Activewear</t>
        </is>
      </c>
      <c r="G31" s="34" t="inlineStr">
        <is>
          <t>Women's Ethnic</t>
        </is>
      </c>
      <c r="H31" s="34" t="inlineStr">
        <is>
          <t>Women's Western</t>
        </is>
      </c>
      <c r="I31" s="34" t="inlineStr">
        <is>
          <t>Multi/Lifestyle</t>
        </is>
      </c>
    </row>
    <row r="32" ht="18" customHeight="1">
      <c r="A32" s="115" t="inlineStr">
        <is>
          <t>Metro</t>
        </is>
      </c>
      <c r="B32" s="140">
        <f>IF(J14=0,0,B14/J14)</f>
        <v/>
      </c>
      <c r="C32" s="140">
        <f>IF(J14=0,0,C14/J14)</f>
        <v/>
      </c>
      <c r="D32" s="140">
        <f>IF(J14=0,0,D14/J14)</f>
        <v/>
      </c>
      <c r="E32" s="140">
        <f>IF(J14=0,0,E14/J14)</f>
        <v/>
      </c>
      <c r="F32" s="140">
        <f>IF(J14=0,0,F14/J14)</f>
        <v/>
      </c>
      <c r="G32" s="140">
        <f>IF(J14=0,0,G14/J14)</f>
        <v/>
      </c>
      <c r="H32" s="140">
        <f>IF(J14=0,0,H14/J14)</f>
        <v/>
      </c>
      <c r="I32" s="140">
        <f>IF(J14=0,0,I14/J14)</f>
        <v/>
      </c>
    </row>
    <row r="33" ht="18" customHeight="1">
      <c r="A33" s="92" t="inlineStr">
        <is>
          <t>T1</t>
        </is>
      </c>
      <c r="B33" s="141">
        <f>IF(J15=0,0,B15/J15)</f>
        <v/>
      </c>
      <c r="C33" s="141">
        <f>IF(J15=0,0,C15/J15)</f>
        <v/>
      </c>
      <c r="D33" s="141">
        <f>IF(J15=0,0,D15/J15)</f>
        <v/>
      </c>
      <c r="E33" s="141">
        <f>IF(J15=0,0,E15/J15)</f>
        <v/>
      </c>
      <c r="F33" s="141">
        <f>IF(J15=0,0,F15/J15)</f>
        <v/>
      </c>
      <c r="G33" s="141">
        <f>IF(J15=0,0,G15/J15)</f>
        <v/>
      </c>
      <c r="H33" s="141">
        <f>IF(J15=0,0,H15/J15)</f>
        <v/>
      </c>
      <c r="I33" s="141">
        <f>IF(J15=0,0,I15/J15)</f>
        <v/>
      </c>
    </row>
    <row r="34" ht="18" customHeight="1">
      <c r="A34" s="118" t="inlineStr">
        <is>
          <t>T2</t>
        </is>
      </c>
      <c r="B34" s="140">
        <f>IF(J16=0,0,B16/J16)</f>
        <v/>
      </c>
      <c r="C34" s="140">
        <f>IF(J16=0,0,C16/J16)</f>
        <v/>
      </c>
      <c r="D34" s="140">
        <f>IF(J16=0,0,D16/J16)</f>
        <v/>
      </c>
      <c r="E34" s="140">
        <f>IF(J16=0,0,E16/J16)</f>
        <v/>
      </c>
      <c r="F34" s="140">
        <f>IF(J16=0,0,F16/J16)</f>
        <v/>
      </c>
      <c r="G34" s="140">
        <f>IF(J16=0,0,G16/J16)</f>
        <v/>
      </c>
      <c r="H34" s="140">
        <f>IF(J16=0,0,H16/J16)</f>
        <v/>
      </c>
      <c r="I34" s="140">
        <f>IF(J16=0,0,I16/J16)</f>
        <v/>
      </c>
    </row>
    <row r="35" ht="18" customHeight="1">
      <c r="A35" s="119" t="inlineStr">
        <is>
          <t>T3</t>
        </is>
      </c>
      <c r="B35" s="141">
        <f>IF(J17=0,0,B17/J17)</f>
        <v/>
      </c>
      <c r="C35" s="141">
        <f>IF(J17=0,0,C17/J17)</f>
        <v/>
      </c>
      <c r="D35" s="141">
        <f>IF(J17=0,0,D17/J17)</f>
        <v/>
      </c>
      <c r="E35" s="141">
        <f>IF(J17=0,0,E17/J17)</f>
        <v/>
      </c>
      <c r="F35" s="141">
        <f>IF(J17=0,0,F17/J17)</f>
        <v/>
      </c>
      <c r="G35" s="141">
        <f>IF(J17=0,0,G17/J17)</f>
        <v/>
      </c>
      <c r="H35" s="141">
        <f>IF(J17=0,0,H17/J17)</f>
        <v/>
      </c>
      <c r="I35" s="141">
        <f>IF(J17=0,0,I17/J17)</f>
        <v/>
      </c>
    </row>
    <row r="36" ht="18" customHeight="1">
      <c r="A36" s="120" t="inlineStr">
        <is>
          <t>T4</t>
        </is>
      </c>
      <c r="B36" s="140">
        <f>IF(J18=0,0,B18/J18)</f>
        <v/>
      </c>
      <c r="C36" s="140">
        <f>IF(J18=0,0,C18/J18)</f>
        <v/>
      </c>
      <c r="D36" s="140">
        <f>IF(J18=0,0,D18/J18)</f>
        <v/>
      </c>
      <c r="E36" s="140">
        <f>IF(J18=0,0,E18/J18)</f>
        <v/>
      </c>
      <c r="F36" s="140">
        <f>IF(J18=0,0,F18/J18)</f>
        <v/>
      </c>
      <c r="G36" s="140">
        <f>IF(J18=0,0,G18/J18)</f>
        <v/>
      </c>
      <c r="H36" s="140">
        <f>IF(J18=0,0,H18/J18)</f>
        <v/>
      </c>
      <c r="I36" s="140">
        <f>IF(J18=0,0,I18/J18)</f>
        <v/>
      </c>
    </row>
    <row r="38" ht="18" customHeight="1">
      <c r="A38" s="142" t="inlineStr">
        <is>
          <t>E — BRAND FINANCIALS (FY25/26 actual — update here to refresh exhibits)</t>
        </is>
      </c>
    </row>
    <row r="39" ht="24" customHeight="1">
      <c r="A39" s="143" t="inlineStr">
        <is>
          <t>Brand</t>
        </is>
      </c>
      <c r="B39" s="143" t="inlineStr">
        <is>
          <t>Segment</t>
        </is>
      </c>
      <c r="C39" s="143" t="inlineStr">
        <is>
          <t>Rev FY26</t>
        </is>
      </c>
      <c r="D39" s="143" t="inlineStr">
        <is>
          <t>Rev FY25</t>
        </is>
      </c>
      <c r="E39" s="143" t="inlineStr">
        <is>
          <t>Stores Mar26</t>
        </is>
      </c>
      <c r="F39" s="143" t="inlineStr">
        <is>
          <t>Rev/Store</t>
        </is>
      </c>
      <c r="G39" s="143" t="inlineStr">
        <is>
          <t>Store Adds FY25</t>
        </is>
      </c>
      <c r="H39" s="143" t="inlineStr">
        <is>
          <t>Store Adds FY26</t>
        </is>
      </c>
      <c r="I39" s="143" t="inlineStr">
        <is>
          <t>Metro Pins</t>
        </is>
      </c>
      <c r="J39" s="143" t="inlineStr">
        <is>
          <t>T1 Pins</t>
        </is>
      </c>
      <c r="K39" s="143" t="inlineStr">
        <is>
          <t>T2 Pins</t>
        </is>
      </c>
      <c r="L39" s="143" t="inlineStr">
        <is>
          <t>T3 Pins</t>
        </is>
      </c>
    </row>
    <row r="40" ht="16" customHeight="1">
      <c r="A40" s="107" t="inlineStr">
        <is>
          <t>Reliance_Trends</t>
        </is>
      </c>
      <c r="B40" s="86" t="inlineStr">
        <is>
          <t>Value Fashion</t>
        </is>
      </c>
      <c r="C40" s="26" t="n">
        <v>21200</v>
      </c>
      <c r="D40" s="26" t="n">
        <v>0</v>
      </c>
      <c r="E40" s="37" t="n">
        <v>0</v>
      </c>
      <c r="F40" s="57" t="n">
        <v>10</v>
      </c>
      <c r="G40" s="37" t="n">
        <v>2022</v>
      </c>
      <c r="H40" s="37" t="n">
        <v>22526</v>
      </c>
      <c r="I40" s="37" t="n">
        <v>192</v>
      </c>
      <c r="J40" s="37" t="n">
        <v>281</v>
      </c>
      <c r="K40" s="37" t="n">
        <v>704</v>
      </c>
      <c r="L40" s="37" t="n">
        <v>532</v>
      </c>
    </row>
    <row r="41" ht="16" customHeight="1">
      <c r="A41" s="144" t="inlineStr">
        <is>
          <t>Zudio</t>
        </is>
      </c>
      <c r="B41" s="78" t="inlineStr">
        <is>
          <t>Value Fashion</t>
        </is>
      </c>
      <c r="C41" s="28" t="n">
        <v>11768.88</v>
      </c>
      <c r="D41" s="28" t="n">
        <v>7597.7</v>
      </c>
      <c r="E41" s="41" t="n">
        <v>3141</v>
      </c>
      <c r="F41" s="55" t="n">
        <v>0</v>
      </c>
      <c r="G41" s="41" t="n">
        <v>0</v>
      </c>
      <c r="H41" s="41" t="n">
        <v>0</v>
      </c>
      <c r="I41" s="41" t="n">
        <v>217</v>
      </c>
      <c r="J41" s="41" t="n">
        <v>181</v>
      </c>
      <c r="K41" s="41" t="n">
        <v>225</v>
      </c>
      <c r="L41" s="41" t="n">
        <v>132</v>
      </c>
    </row>
    <row r="42" ht="16" customHeight="1">
      <c r="A42" s="107" t="inlineStr">
        <is>
          <t>Westside</t>
        </is>
      </c>
      <c r="B42" s="145" t="inlineStr">
        <is>
          <t>Multi/Lifestyle</t>
        </is>
      </c>
      <c r="C42" s="26" t="n">
        <v>11768.88</v>
      </c>
      <c r="D42" s="26" t="n">
        <v>7597.7</v>
      </c>
      <c r="E42" s="37" t="n">
        <v>3141</v>
      </c>
      <c r="F42" s="57" t="n">
        <v>0</v>
      </c>
      <c r="G42" s="37" t="n">
        <v>0</v>
      </c>
      <c r="H42" s="37" t="n">
        <v>0</v>
      </c>
      <c r="I42" s="37" t="n">
        <v>9</v>
      </c>
      <c r="J42" s="37" t="n">
        <v>0</v>
      </c>
      <c r="K42" s="37" t="n">
        <v>1</v>
      </c>
      <c r="L42" s="37" t="n">
        <v>236</v>
      </c>
    </row>
    <row r="43" ht="16" customHeight="1">
      <c r="A43" s="144" t="inlineStr">
        <is>
          <t>Reliance_Smart_Bazaar</t>
        </is>
      </c>
      <c r="B43" s="81" t="inlineStr">
        <is>
          <t>Multi/Lifestyle</t>
        </is>
      </c>
      <c r="C43" s="28" t="n">
        <v>11143</v>
      </c>
      <c r="D43" s="28" t="n">
        <v>0</v>
      </c>
      <c r="E43" s="41" t="n">
        <v>0</v>
      </c>
      <c r="F43" s="55" t="n">
        <v>11</v>
      </c>
      <c r="G43" s="41" t="n">
        <v>0</v>
      </c>
      <c r="H43" s="41" t="n">
        <v>0</v>
      </c>
      <c r="I43" s="41" t="n">
        <v>141</v>
      </c>
      <c r="J43" s="41" t="n">
        <v>151</v>
      </c>
      <c r="K43" s="41" t="n">
        <v>313</v>
      </c>
      <c r="L43" s="41" t="n">
        <v>274</v>
      </c>
    </row>
    <row r="44" ht="16" customHeight="1">
      <c r="A44" s="107" t="inlineStr">
        <is>
          <t>Lifestyle</t>
        </is>
      </c>
      <c r="B44" s="145" t="inlineStr">
        <is>
          <t>Multi/Lifestyle</t>
        </is>
      </c>
      <c r="C44" s="26" t="n">
        <v>11083</v>
      </c>
      <c r="D44" s="26" t="n">
        <v>11573</v>
      </c>
      <c r="E44" s="37" t="n">
        <v>9133</v>
      </c>
      <c r="F44" s="57" t="n">
        <v>0</v>
      </c>
      <c r="G44" s="37" t="n">
        <v>43</v>
      </c>
      <c r="H44" s="37" t="n">
        <v>0</v>
      </c>
      <c r="I44" s="37" t="n">
        <v>47</v>
      </c>
      <c r="J44" s="37" t="n">
        <v>40</v>
      </c>
      <c r="K44" s="37" t="n">
        <v>29</v>
      </c>
      <c r="L44" s="37" t="n">
        <v>4</v>
      </c>
    </row>
    <row r="45" ht="16" customHeight="1">
      <c r="A45" s="144" t="inlineStr">
        <is>
          <t>Westside</t>
        </is>
      </c>
      <c r="B45" s="81" t="inlineStr">
        <is>
          <t>Multi/Lifestyle</t>
        </is>
      </c>
      <c r="C45" s="28" t="n">
        <v>8376</v>
      </c>
      <c r="D45" s="28" t="n">
        <v>6882</v>
      </c>
      <c r="E45" s="41" t="n">
        <v>300</v>
      </c>
      <c r="F45" s="55" t="n">
        <v>27.92</v>
      </c>
      <c r="G45" s="41" t="n">
        <v>16</v>
      </c>
      <c r="H45" s="41" t="n">
        <v>52</v>
      </c>
      <c r="I45" s="41" t="n">
        <v>9</v>
      </c>
      <c r="J45" s="41" t="n">
        <v>0</v>
      </c>
      <c r="K45" s="41" t="n">
        <v>1</v>
      </c>
      <c r="L45" s="41" t="n">
        <v>236</v>
      </c>
    </row>
    <row r="46" ht="16" customHeight="1">
      <c r="A46" s="107" t="inlineStr">
        <is>
          <t>Zudio</t>
        </is>
      </c>
      <c r="B46" s="86" t="inlineStr">
        <is>
          <t>Value Fashion</t>
        </is>
      </c>
      <c r="C46" s="26" t="n">
        <v>8148</v>
      </c>
      <c r="D46" s="26" t="n">
        <v>6432</v>
      </c>
      <c r="E46" s="37" t="n">
        <v>963</v>
      </c>
      <c r="F46" s="57" t="n">
        <v>8.461059190031152</v>
      </c>
      <c r="G46" s="37" t="n">
        <v>220</v>
      </c>
      <c r="H46" s="37" t="n">
        <v>198</v>
      </c>
      <c r="I46" s="37" t="n">
        <v>217</v>
      </c>
      <c r="J46" s="37" t="n">
        <v>181</v>
      </c>
      <c r="K46" s="37" t="n">
        <v>225</v>
      </c>
      <c r="L46" s="37" t="n">
        <v>132</v>
      </c>
    </row>
    <row r="47" ht="16" customHeight="1">
      <c r="A47" s="144" t="inlineStr">
        <is>
          <t>Arvind</t>
        </is>
      </c>
      <c r="B47" s="146" t="inlineStr">
        <is>
          <t>Premium Menswear</t>
        </is>
      </c>
      <c r="C47" s="28" t="n">
        <v>6836.74</v>
      </c>
      <c r="D47" s="28" t="n">
        <v>7464.25</v>
      </c>
      <c r="E47" s="41" t="n">
        <v>6412</v>
      </c>
      <c r="F47" s="55" t="n">
        <v>0</v>
      </c>
      <c r="G47" s="41" t="n">
        <v>3</v>
      </c>
      <c r="H47" s="41" t="n">
        <v>0</v>
      </c>
      <c r="I47" s="41" t="n">
        <v>28</v>
      </c>
      <c r="J47" s="41" t="n">
        <v>52</v>
      </c>
      <c r="K47" s="41" t="n">
        <v>47</v>
      </c>
      <c r="L47" s="41" t="n">
        <v>37</v>
      </c>
    </row>
    <row r="48" ht="16" customHeight="1">
      <c r="A48" s="107" t="inlineStr">
        <is>
          <t>Peter England</t>
        </is>
      </c>
      <c r="B48" s="145" t="inlineStr">
        <is>
          <t>nan</t>
        </is>
      </c>
      <c r="C48" s="26" t="n">
        <v>6345.3</v>
      </c>
      <c r="D48" s="26" t="n">
        <v>12352.83</v>
      </c>
      <c r="E48" s="37" t="n">
        <v>8721</v>
      </c>
      <c r="F48" s="57" t="n">
        <v>0</v>
      </c>
      <c r="G48" s="37" t="n">
        <v>0</v>
      </c>
      <c r="H48" s="37" t="n">
        <v>0</v>
      </c>
      <c r="I48" s="37" t="n">
        <v>0</v>
      </c>
      <c r="J48" s="37" t="n">
        <v>0</v>
      </c>
      <c r="K48" s="37" t="n">
        <v>0</v>
      </c>
      <c r="L48" s="37" t="n">
        <v>0</v>
      </c>
    </row>
    <row r="49" ht="16" customHeight="1">
      <c r="A49" s="144" t="inlineStr">
        <is>
          <t>Pantaloons</t>
        </is>
      </c>
      <c r="B49" s="81" t="inlineStr">
        <is>
          <t>Multi/Lifestyle</t>
        </is>
      </c>
      <c r="C49" s="28" t="n">
        <v>6345.3</v>
      </c>
      <c r="D49" s="28" t="n">
        <v>12352.83</v>
      </c>
      <c r="E49" s="41" t="n">
        <v>8721</v>
      </c>
      <c r="F49" s="55" t="n">
        <v>0</v>
      </c>
      <c r="G49" s="41" t="n">
        <v>0</v>
      </c>
      <c r="H49" s="41" t="n">
        <v>0</v>
      </c>
      <c r="I49" s="41" t="n">
        <v>100</v>
      </c>
      <c r="J49" s="41" t="n">
        <v>84</v>
      </c>
      <c r="K49" s="41" t="n">
        <v>104</v>
      </c>
      <c r="L49" s="41" t="n">
        <v>70</v>
      </c>
    </row>
    <row r="50" ht="16" customHeight="1">
      <c r="A50" s="107" t="inlineStr">
        <is>
          <t>Vishal_Mega_Mart</t>
        </is>
      </c>
      <c r="B50" s="86" t="inlineStr">
        <is>
          <t>Value Fashion</t>
        </is>
      </c>
      <c r="C50" s="26" t="n">
        <v>5419.35537</v>
      </c>
      <c r="D50" s="26" t="n">
        <v>4499.774369999999</v>
      </c>
      <c r="E50" s="37" t="n">
        <v>795</v>
      </c>
      <c r="F50" s="57" t="n">
        <v>6.81679920754717</v>
      </c>
      <c r="G50" s="37" t="n">
        <v>85</v>
      </c>
      <c r="H50" s="37" t="n">
        <v>99</v>
      </c>
      <c r="I50" s="37" t="n">
        <v>102</v>
      </c>
      <c r="J50" s="37" t="n">
        <v>118</v>
      </c>
      <c r="K50" s="37" t="n">
        <v>260</v>
      </c>
      <c r="L50" s="37" t="n">
        <v>223</v>
      </c>
    </row>
    <row r="51" ht="16" customHeight="1">
      <c r="A51" s="144" t="inlineStr">
        <is>
          <t>Max</t>
        </is>
      </c>
      <c r="B51" s="78" t="inlineStr">
        <is>
          <t>Value Fashion</t>
        </is>
      </c>
      <c r="C51" s="28" t="n">
        <v>5006.9544</v>
      </c>
      <c r="D51" s="28" t="n">
        <v>4316.34</v>
      </c>
      <c r="E51" s="41" t="n">
        <v>0</v>
      </c>
      <c r="F51" s="55" t="n">
        <v>9.798345205479452</v>
      </c>
      <c r="G51" s="41" t="n">
        <v>0</v>
      </c>
      <c r="H51" s="41" t="n">
        <v>0</v>
      </c>
      <c r="I51" s="41" t="n">
        <v>102</v>
      </c>
      <c r="J51" s="41" t="n">
        <v>120</v>
      </c>
      <c r="K51" s="41" t="n">
        <v>148</v>
      </c>
      <c r="L51" s="41" t="n">
        <v>66</v>
      </c>
    </row>
    <row r="52" ht="16" customHeight="1">
      <c r="A52" s="107" t="inlineStr">
        <is>
          <t>Allen_Solly</t>
        </is>
      </c>
      <c r="B52" s="84" t="inlineStr">
        <is>
          <t>Premium Menswear</t>
        </is>
      </c>
      <c r="C52" s="26" t="n">
        <v>4740</v>
      </c>
      <c r="D52" s="26" t="n">
        <v>8854</v>
      </c>
      <c r="E52" s="37" t="n">
        <v>0</v>
      </c>
      <c r="F52" s="57" t="n">
        <v>0</v>
      </c>
      <c r="G52" s="37" t="n">
        <v>1</v>
      </c>
      <c r="H52" s="37" t="n">
        <v>0</v>
      </c>
      <c r="I52" s="37" t="n">
        <v>93</v>
      </c>
      <c r="J52" s="37" t="n">
        <v>83</v>
      </c>
      <c r="K52" s="37" t="n">
        <v>113</v>
      </c>
      <c r="L52" s="37" t="n">
        <v>47</v>
      </c>
    </row>
    <row r="53" ht="16" customHeight="1">
      <c r="A53" s="144" t="inlineStr">
        <is>
          <t>Jockey.in</t>
        </is>
      </c>
      <c r="B53" s="81" t="inlineStr">
        <is>
          <t>nan</t>
        </is>
      </c>
      <c r="C53" s="28" t="n">
        <v>4547.09</v>
      </c>
      <c r="D53" s="28" t="n">
        <v>4678.34</v>
      </c>
      <c r="E53" s="41" t="n">
        <v>2893</v>
      </c>
      <c r="F53" s="55" t="n">
        <v>0</v>
      </c>
      <c r="G53" s="41" t="n">
        <v>34</v>
      </c>
      <c r="H53" s="41" t="n">
        <v>0</v>
      </c>
      <c r="I53" s="41" t="n">
        <v>0</v>
      </c>
      <c r="J53" s="41" t="n">
        <v>0</v>
      </c>
      <c r="K53" s="41" t="n">
        <v>0</v>
      </c>
      <c r="L53" s="41" t="n">
        <v>0</v>
      </c>
    </row>
    <row r="54" ht="16" customHeight="1">
      <c r="A54" s="107" t="inlineStr">
        <is>
          <t>Pantaloons</t>
        </is>
      </c>
      <c r="B54" s="145" t="inlineStr">
        <is>
          <t>Multi/Lifestyle</t>
        </is>
      </c>
      <c r="C54" s="26" t="n">
        <v>4247</v>
      </c>
      <c r="D54" s="26" t="n">
        <v>4196</v>
      </c>
      <c r="E54" s="37" t="n">
        <v>399</v>
      </c>
      <c r="F54" s="57" t="n">
        <v>10.64411027568922</v>
      </c>
      <c r="G54" s="37" t="n">
        <v>-12</v>
      </c>
      <c r="H54" s="37" t="n">
        <v>0</v>
      </c>
      <c r="I54" s="37" t="n">
        <v>100</v>
      </c>
      <c r="J54" s="37" t="n">
        <v>84</v>
      </c>
      <c r="K54" s="37" t="n">
        <v>104</v>
      </c>
      <c r="L54" s="37" t="n">
        <v>70</v>
      </c>
    </row>
    <row r="55" ht="16" customHeight="1">
      <c r="A55" s="144" t="inlineStr">
        <is>
          <t>DECATHLON SPORTS INDIA PRIVATE LIMITED</t>
        </is>
      </c>
      <c r="B55" s="81" t="inlineStr">
        <is>
          <t>nan</t>
        </is>
      </c>
      <c r="C55" s="28" t="n">
        <v>3985.55</v>
      </c>
      <c r="D55" s="28" t="n">
        <v>3894.38</v>
      </c>
      <c r="E55" s="41" t="n">
        <v>2207</v>
      </c>
      <c r="F55" s="55" t="n">
        <v>0</v>
      </c>
      <c r="G55" s="41" t="n">
        <v>21</v>
      </c>
      <c r="H55" s="41" t="n">
        <v>0</v>
      </c>
      <c r="I55" s="41" t="n">
        <v>0</v>
      </c>
      <c r="J55" s="41" t="n">
        <v>0</v>
      </c>
      <c r="K55" s="41" t="n">
        <v>0</v>
      </c>
      <c r="L55" s="41" t="n">
        <v>0</v>
      </c>
    </row>
    <row r="56" ht="16" customHeight="1">
      <c r="A56" s="107" t="inlineStr">
        <is>
          <t>Lifestyle</t>
        </is>
      </c>
      <c r="B56" s="145" t="inlineStr">
        <is>
          <t>Multi/Lifestyle</t>
        </is>
      </c>
      <c r="C56" s="26" t="n">
        <v>3958.4690556</v>
      </c>
      <c r="D56" s="26" t="n">
        <v>3773.5644</v>
      </c>
      <c r="E56" s="37" t="n">
        <v>0</v>
      </c>
      <c r="F56" s="57" t="n">
        <v>30.21732103511451</v>
      </c>
      <c r="G56" s="37" t="n">
        <v>0</v>
      </c>
      <c r="H56" s="37" t="n">
        <v>0</v>
      </c>
      <c r="I56" s="37" t="n">
        <v>47</v>
      </c>
      <c r="J56" s="37" t="n">
        <v>40</v>
      </c>
      <c r="K56" s="37" t="n">
        <v>29</v>
      </c>
      <c r="L56" s="37" t="n">
        <v>4</v>
      </c>
    </row>
    <row r="57" ht="16" customHeight="1">
      <c r="A57" s="144" t="inlineStr">
        <is>
          <t>Shoppers Stop</t>
        </is>
      </c>
      <c r="B57" s="81" t="inlineStr">
        <is>
          <t>nan</t>
        </is>
      </c>
      <c r="C57" s="28" t="n">
        <v>3937.92</v>
      </c>
      <c r="D57" s="28" t="n">
        <v>3705.06</v>
      </c>
      <c r="E57" s="41" t="n">
        <v>3105</v>
      </c>
      <c r="F57" s="55" t="n">
        <v>0</v>
      </c>
      <c r="G57" s="41" t="n">
        <v>0</v>
      </c>
      <c r="H57" s="41" t="n">
        <v>0</v>
      </c>
      <c r="I57" s="41" t="n">
        <v>0</v>
      </c>
      <c r="J57" s="41" t="n">
        <v>0</v>
      </c>
      <c r="K57" s="41" t="n">
        <v>0</v>
      </c>
      <c r="L57" s="41" t="n">
        <v>0</v>
      </c>
    </row>
    <row r="58" ht="16" customHeight="1">
      <c r="A58" s="107" t="inlineStr">
        <is>
          <t>H &amp; M HENNES &amp; MAURITZ INDIA PRIVATE LIMITED</t>
        </is>
      </c>
      <c r="B58" s="145" t="inlineStr">
        <is>
          <t>nan</t>
        </is>
      </c>
      <c r="C58" s="26" t="n">
        <v>3277.17</v>
      </c>
      <c r="D58" s="26" t="n">
        <v>2941.05</v>
      </c>
      <c r="E58" s="37" t="n">
        <v>0</v>
      </c>
      <c r="F58" s="57" t="n">
        <v>0</v>
      </c>
      <c r="G58" s="37" t="n">
        <v>30</v>
      </c>
      <c r="H58" s="37" t="n">
        <v>0</v>
      </c>
      <c r="I58" s="37" t="n">
        <v>0</v>
      </c>
      <c r="J58" s="37" t="n">
        <v>0</v>
      </c>
      <c r="K58" s="37" t="n">
        <v>0</v>
      </c>
      <c r="L58" s="37" t="n">
        <v>0</v>
      </c>
    </row>
    <row r="59" ht="16" customHeight="1">
      <c r="A59" s="144" t="inlineStr">
        <is>
          <t>V2</t>
        </is>
      </c>
      <c r="B59" s="78" t="inlineStr">
        <is>
          <t>Value Fashion</t>
        </is>
      </c>
      <c r="C59" s="28" t="n">
        <v>3067.1</v>
      </c>
      <c r="D59" s="28" t="n">
        <v>1884.5</v>
      </c>
      <c r="E59" s="41" t="n">
        <v>325</v>
      </c>
      <c r="F59" s="55" t="n">
        <v>9.437230769230769</v>
      </c>
      <c r="G59" s="41" t="n">
        <v>72</v>
      </c>
      <c r="H59" s="41" t="n">
        <v>136</v>
      </c>
      <c r="I59" s="41" t="n">
        <v>24</v>
      </c>
      <c r="J59" s="41" t="n">
        <v>50</v>
      </c>
      <c r="K59" s="41" t="n">
        <v>93</v>
      </c>
      <c r="L59" s="41" t="n">
        <v>119</v>
      </c>
    </row>
    <row r="60" ht="16" customHeight="1">
      <c r="A60" s="107" t="inlineStr">
        <is>
          <t>H&amp;M</t>
        </is>
      </c>
      <c r="B60" s="145" t="inlineStr">
        <is>
          <t>Multi/Lifestyle</t>
        </is>
      </c>
      <c r="C60" s="26" t="n">
        <v>2940.478125</v>
      </c>
      <c r="D60" s="26" t="n">
        <v>2803.125</v>
      </c>
      <c r="E60" s="37" t="n">
        <v>0</v>
      </c>
      <c r="F60" s="57" t="n">
        <v>39.73619087837837</v>
      </c>
      <c r="G60" s="37" t="n">
        <v>0</v>
      </c>
      <c r="H60" s="37" t="n">
        <v>0</v>
      </c>
      <c r="I60" s="37" t="n">
        <v>38</v>
      </c>
      <c r="J60" s="37" t="n">
        <v>22</v>
      </c>
      <c r="K60" s="37" t="n">
        <v>10</v>
      </c>
      <c r="L60" s="37" t="n">
        <v>1</v>
      </c>
    </row>
    <row r="61" ht="16" customHeight="1">
      <c r="A61" s="144" t="inlineStr">
        <is>
          <t>Relaxo Footwear</t>
        </is>
      </c>
      <c r="B61" s="81" t="inlineStr">
        <is>
          <t>nan</t>
        </is>
      </c>
      <c r="C61" s="28" t="n">
        <v>2893.6</v>
      </c>
      <c r="D61" s="28" t="n">
        <v>2764.14</v>
      </c>
      <c r="E61" s="41" t="n">
        <v>2392</v>
      </c>
      <c r="F61" s="55" t="n">
        <v>0</v>
      </c>
      <c r="G61" s="41" t="n">
        <v>0</v>
      </c>
      <c r="H61" s="41" t="n">
        <v>0</v>
      </c>
      <c r="I61" s="41" t="n">
        <v>0</v>
      </c>
      <c r="J61" s="41" t="n">
        <v>0</v>
      </c>
      <c r="K61" s="41" t="n">
        <v>0</v>
      </c>
      <c r="L61" s="41" t="n">
        <v>0</v>
      </c>
    </row>
    <row r="62" ht="16" customHeight="1">
      <c r="A62" s="107" t="inlineStr">
        <is>
          <t>Shoppers_Stop</t>
        </is>
      </c>
      <c r="B62" s="145" t="inlineStr">
        <is>
          <t>Multi/Lifestyle</t>
        </is>
      </c>
      <c r="C62" s="26" t="n">
        <v>2713.9524</v>
      </c>
      <c r="D62" s="26" t="n">
        <v>2367.1359</v>
      </c>
      <c r="E62" s="37" t="n">
        <v>121</v>
      </c>
      <c r="F62" s="57" t="n">
        <v>22.42935867768595</v>
      </c>
      <c r="G62" s="37" t="n">
        <v>0</v>
      </c>
      <c r="H62" s="37" t="n">
        <v>9</v>
      </c>
      <c r="I62" s="37" t="n">
        <v>42</v>
      </c>
      <c r="J62" s="37" t="n">
        <v>35</v>
      </c>
      <c r="K62" s="37" t="n">
        <v>30</v>
      </c>
      <c r="L62" s="37" t="n">
        <v>4</v>
      </c>
    </row>
    <row r="63" ht="16" customHeight="1">
      <c r="A63" s="144" t="inlineStr">
        <is>
          <t>V-Mart</t>
        </is>
      </c>
      <c r="B63" s="81" t="inlineStr">
        <is>
          <t>nan</t>
        </is>
      </c>
      <c r="C63" s="28" t="n">
        <v>2711.31</v>
      </c>
      <c r="D63" s="28" t="n">
        <v>2464.84</v>
      </c>
      <c r="E63" s="41" t="n">
        <v>1661</v>
      </c>
      <c r="F63" s="55" t="n">
        <v>0</v>
      </c>
      <c r="G63" s="41" t="n">
        <v>0</v>
      </c>
      <c r="H63" s="41" t="n">
        <v>0</v>
      </c>
      <c r="I63" s="41" t="n">
        <v>0</v>
      </c>
      <c r="J63" s="41" t="n">
        <v>0</v>
      </c>
      <c r="K63" s="41" t="n">
        <v>0</v>
      </c>
      <c r="L63" s="41" t="n">
        <v>0</v>
      </c>
    </row>
    <row r="64" ht="16" customHeight="1">
      <c r="A64" s="107" t="inlineStr">
        <is>
          <t>V_Mart</t>
        </is>
      </c>
      <c r="B64" s="86" t="inlineStr">
        <is>
          <t>Value Fashion</t>
        </is>
      </c>
      <c r="C64" s="26" t="n">
        <v>2531.52</v>
      </c>
      <c r="D64" s="26" t="n">
        <v>2177.024</v>
      </c>
      <c r="E64" s="37" t="n">
        <v>478</v>
      </c>
      <c r="F64" s="57" t="n">
        <v>5.296066945606696</v>
      </c>
      <c r="G64" s="37" t="n">
        <v>47</v>
      </c>
      <c r="H64" s="37" t="n">
        <v>66</v>
      </c>
      <c r="I64" s="37" t="n">
        <v>24</v>
      </c>
      <c r="J64" s="37" t="n">
        <v>97</v>
      </c>
      <c r="K64" s="37" t="n">
        <v>144</v>
      </c>
      <c r="L64" s="37" t="n">
        <v>119</v>
      </c>
    </row>
    <row r="65" ht="16" customHeight="1">
      <c r="A65" s="144" t="inlineStr">
        <is>
          <t>Adidas</t>
        </is>
      </c>
      <c r="B65" s="147" t="inlineStr">
        <is>
          <t>Activewear</t>
        </is>
      </c>
      <c r="C65" s="28" t="n">
        <v>2348.7</v>
      </c>
      <c r="D65" s="28" t="n">
        <v>2084.4</v>
      </c>
      <c r="E65" s="41" t="n">
        <v>0</v>
      </c>
      <c r="F65" s="55" t="n">
        <v>0</v>
      </c>
      <c r="G65" s="41" t="n">
        <v>0</v>
      </c>
      <c r="H65" s="41" t="n">
        <v>0</v>
      </c>
      <c r="I65" s="41" t="n">
        <v>110</v>
      </c>
      <c r="J65" s="41" t="n">
        <v>94</v>
      </c>
      <c r="K65" s="41" t="n">
        <v>110</v>
      </c>
      <c r="L65" s="41" t="n">
        <v>52</v>
      </c>
    </row>
    <row r="66" ht="16" customHeight="1">
      <c r="A66" s="107" t="inlineStr">
        <is>
          <t>Metro Brands</t>
        </is>
      </c>
      <c r="B66" s="145" t="inlineStr">
        <is>
          <t>nan</t>
        </is>
      </c>
      <c r="C66" s="26" t="n">
        <v>2304.48</v>
      </c>
      <c r="D66" s="26" t="n">
        <v>2070.49</v>
      </c>
      <c r="E66" s="37" t="n">
        <v>1209</v>
      </c>
      <c r="F66" s="57" t="n">
        <v>0</v>
      </c>
      <c r="G66" s="37" t="n">
        <v>50</v>
      </c>
      <c r="H66" s="37" t="n">
        <v>0</v>
      </c>
      <c r="I66" s="37" t="n">
        <v>0</v>
      </c>
      <c r="J66" s="37" t="n">
        <v>0</v>
      </c>
      <c r="K66" s="37" t="n">
        <v>0</v>
      </c>
      <c r="L66" s="37" t="n">
        <v>0</v>
      </c>
    </row>
    <row r="67" ht="16" customHeight="1">
      <c r="A67" s="144" t="inlineStr">
        <is>
          <t>Mochi Shoes</t>
        </is>
      </c>
      <c r="B67" s="81" t="inlineStr">
        <is>
          <t>nan</t>
        </is>
      </c>
      <c r="C67" s="28" t="n">
        <v>2304.48</v>
      </c>
      <c r="D67" s="28" t="n">
        <v>2070.49</v>
      </c>
      <c r="E67" s="41" t="n">
        <v>1209</v>
      </c>
      <c r="F67" s="55" t="n">
        <v>0</v>
      </c>
      <c r="G67" s="41" t="n">
        <v>51</v>
      </c>
      <c r="H67" s="41" t="n">
        <v>0</v>
      </c>
      <c r="I67" s="41" t="n">
        <v>0</v>
      </c>
      <c r="J67" s="41" t="n">
        <v>0</v>
      </c>
      <c r="K67" s="41" t="n">
        <v>0</v>
      </c>
      <c r="L67" s="41" t="n">
        <v>0</v>
      </c>
    </row>
    <row r="68" ht="16" customHeight="1">
      <c r="A68" s="107" t="inlineStr">
        <is>
          <t>Siyarams</t>
        </is>
      </c>
      <c r="B68" s="87" t="inlineStr">
        <is>
          <t>Mid Menswear</t>
        </is>
      </c>
      <c r="C68" s="26" t="n">
        <v>2158.18</v>
      </c>
      <c r="D68" s="26" t="n">
        <v>1885.53</v>
      </c>
      <c r="E68" s="37" t="n">
        <v>0</v>
      </c>
      <c r="F68" s="57" t="n">
        <v>9.342770562770562</v>
      </c>
      <c r="G68" s="37" t="n">
        <v>0</v>
      </c>
      <c r="H68" s="37" t="n">
        <v>0</v>
      </c>
      <c r="I68" s="37" t="n">
        <v>20</v>
      </c>
      <c r="J68" s="37" t="n">
        <v>37</v>
      </c>
      <c r="K68" s="37" t="n">
        <v>64</v>
      </c>
      <c r="L68" s="37" t="n">
        <v>73</v>
      </c>
    </row>
    <row r="69" ht="16" customHeight="1">
      <c r="A69" s="144" t="inlineStr">
        <is>
          <t>Zara</t>
        </is>
      </c>
      <c r="B69" s="81" t="inlineStr">
        <is>
          <t>Multi/Lifestyle</t>
        </is>
      </c>
      <c r="C69" s="28" t="n">
        <v>2089.24</v>
      </c>
      <c r="D69" s="28" t="n">
        <v>2114.32</v>
      </c>
      <c r="E69" s="41" t="n">
        <v>25</v>
      </c>
      <c r="F69" s="55" t="n">
        <v>83.56960000000001</v>
      </c>
      <c r="G69" s="41" t="n">
        <v>3</v>
      </c>
      <c r="H69" s="41" t="n">
        <v>-1</v>
      </c>
      <c r="I69" s="41" t="n">
        <v>15</v>
      </c>
      <c r="J69" s="41" t="n">
        <v>4</v>
      </c>
      <c r="K69" s="41" t="n">
        <v>0</v>
      </c>
      <c r="L69" s="41" t="n">
        <v>0</v>
      </c>
    </row>
    <row r="70" ht="16" customHeight="1">
      <c r="A70" s="107" t="inlineStr">
        <is>
          <t>Decathlon</t>
        </is>
      </c>
      <c r="B70" s="80" t="inlineStr">
        <is>
          <t>Activewear</t>
        </is>
      </c>
      <c r="C70" s="26" t="n">
        <v>2015.186008</v>
      </c>
      <c r="D70" s="26" t="n">
        <v>1643.708</v>
      </c>
      <c r="E70" s="37" t="n">
        <v>0</v>
      </c>
      <c r="F70" s="57" t="n">
        <v>15.86760636220473</v>
      </c>
      <c r="G70" s="37" t="n">
        <v>0</v>
      </c>
      <c r="H70" s="37" t="n">
        <v>0</v>
      </c>
      <c r="I70" s="37" t="n">
        <v>56</v>
      </c>
      <c r="J70" s="37" t="n">
        <v>33</v>
      </c>
      <c r="K70" s="37" t="n">
        <v>31</v>
      </c>
      <c r="L70" s="37" t="n">
        <v>4</v>
      </c>
    </row>
    <row r="71" ht="16" customHeight="1">
      <c r="A71" s="144" t="inlineStr">
        <is>
          <t>Red Tape</t>
        </is>
      </c>
      <c r="B71" s="81" t="inlineStr">
        <is>
          <t>nan</t>
        </is>
      </c>
      <c r="C71" s="28" t="n">
        <v>1831.81</v>
      </c>
      <c r="D71" s="28" t="n">
        <v>1458.71</v>
      </c>
      <c r="E71" s="41" t="n">
        <v>0</v>
      </c>
      <c r="F71" s="55" t="n">
        <v>0</v>
      </c>
      <c r="G71" s="41" t="n">
        <v>0</v>
      </c>
      <c r="H71" s="41" t="n">
        <v>0</v>
      </c>
      <c r="I71" s="41" t="n">
        <v>0</v>
      </c>
      <c r="J71" s="41" t="n">
        <v>0</v>
      </c>
      <c r="K71" s="41" t="n">
        <v>0</v>
      </c>
      <c r="L71" s="41" t="n">
        <v>0</v>
      </c>
    </row>
    <row r="72" ht="16" customHeight="1">
      <c r="A72" s="107" t="inlineStr">
        <is>
          <t>Skechers South Asia Private Limited</t>
        </is>
      </c>
      <c r="B72" s="145" t="inlineStr">
        <is>
          <t>nan</t>
        </is>
      </c>
      <c r="C72" s="26" t="n">
        <v>1745.53</v>
      </c>
      <c r="D72" s="26" t="n">
        <v>1738.96</v>
      </c>
      <c r="E72" s="37" t="n">
        <v>659</v>
      </c>
      <c r="F72" s="57" t="n">
        <v>0</v>
      </c>
      <c r="G72" s="37" t="n">
        <v>0</v>
      </c>
      <c r="H72" s="37" t="n">
        <v>0</v>
      </c>
      <c r="I72" s="37" t="n">
        <v>0</v>
      </c>
      <c r="J72" s="37" t="n">
        <v>0</v>
      </c>
      <c r="K72" s="37" t="n">
        <v>0</v>
      </c>
      <c r="L72" s="37" t="n">
        <v>0</v>
      </c>
    </row>
    <row r="73" ht="16" customHeight="1">
      <c r="A73" s="144" t="inlineStr">
        <is>
          <t>Marks and Spencer Reliance India</t>
        </is>
      </c>
      <c r="B73" s="81" t="inlineStr">
        <is>
          <t>nan</t>
        </is>
      </c>
      <c r="C73" s="28" t="n">
        <v>1742.22</v>
      </c>
      <c r="D73" s="28" t="n">
        <v>1660.1</v>
      </c>
      <c r="E73" s="41" t="n">
        <v>1041</v>
      </c>
      <c r="F73" s="55" t="n">
        <v>0</v>
      </c>
      <c r="G73" s="41" t="n">
        <v>48</v>
      </c>
      <c r="H73" s="41" t="n">
        <v>0</v>
      </c>
      <c r="I73" s="41" t="n">
        <v>0</v>
      </c>
      <c r="J73" s="41" t="n">
        <v>0</v>
      </c>
      <c r="K73" s="41" t="n">
        <v>0</v>
      </c>
      <c r="L73" s="41" t="n">
        <v>0</v>
      </c>
    </row>
    <row r="74" ht="16" customHeight="1">
      <c r="A74" s="107" t="inlineStr">
        <is>
          <t>LEVI STRAUSS (INDIA) PRIVATE LIMITED</t>
        </is>
      </c>
      <c r="B74" s="145" t="inlineStr">
        <is>
          <t>nan</t>
        </is>
      </c>
      <c r="C74" s="26" t="n">
        <v>1668.7</v>
      </c>
      <c r="D74" s="26" t="n">
        <v>1615.1</v>
      </c>
      <c r="E74" s="37" t="n">
        <v>0</v>
      </c>
      <c r="F74" s="57" t="n">
        <v>0</v>
      </c>
      <c r="G74" s="37" t="n">
        <v>40</v>
      </c>
      <c r="H74" s="37" t="n">
        <v>0</v>
      </c>
      <c r="I74" s="37" t="n">
        <v>0</v>
      </c>
      <c r="J74" s="37" t="n">
        <v>0</v>
      </c>
      <c r="K74" s="37" t="n">
        <v>0</v>
      </c>
      <c r="L74" s="37" t="n">
        <v>0</v>
      </c>
    </row>
    <row r="75" ht="16" customHeight="1">
      <c r="A75" s="144" t="inlineStr">
        <is>
          <t>Manyawar</t>
        </is>
      </c>
      <c r="B75" s="90" t="inlineStr">
        <is>
          <t>Women's Ethnic</t>
        </is>
      </c>
      <c r="C75" s="28" t="n">
        <v>1666.72</v>
      </c>
      <c r="D75" s="28" t="n">
        <v>1571.11</v>
      </c>
      <c r="E75" s="41" t="n">
        <v>0</v>
      </c>
      <c r="F75" s="55" t="n">
        <v>5.482631578947369</v>
      </c>
      <c r="G75" s="41" t="n">
        <v>0</v>
      </c>
      <c r="H75" s="41" t="n">
        <v>0</v>
      </c>
      <c r="I75" s="41" t="n">
        <v>77</v>
      </c>
      <c r="J75" s="41" t="n">
        <v>62</v>
      </c>
      <c r="K75" s="41" t="n">
        <v>80</v>
      </c>
      <c r="L75" s="41" t="n">
        <v>45</v>
      </c>
    </row>
    <row r="76" ht="16" customHeight="1">
      <c r="A76" s="107" t="inlineStr">
        <is>
          <t>Puma</t>
        </is>
      </c>
      <c r="B76" s="80" t="inlineStr">
        <is>
          <t>Activewear</t>
        </is>
      </c>
      <c r="C76" s="26" t="n">
        <v>1618.32</v>
      </c>
      <c r="D76" s="26" t="n">
        <v>1320</v>
      </c>
      <c r="E76" s="37" t="n">
        <v>0</v>
      </c>
      <c r="F76" s="57" t="n">
        <v>4.0458</v>
      </c>
      <c r="G76" s="37" t="n">
        <v>0</v>
      </c>
      <c r="H76" s="37" t="n">
        <v>0</v>
      </c>
      <c r="I76" s="37" t="n">
        <v>115</v>
      </c>
      <c r="J76" s="37" t="n">
        <v>89</v>
      </c>
      <c r="K76" s="37" t="n">
        <v>107</v>
      </c>
      <c r="L76" s="37" t="n">
        <v>35</v>
      </c>
    </row>
    <row r="77" ht="16" customHeight="1">
      <c r="A77" s="144" t="inlineStr">
        <is>
          <t>Style_Bazaar</t>
        </is>
      </c>
      <c r="B77" s="78" t="inlineStr">
        <is>
          <t>Value Fashion</t>
        </is>
      </c>
      <c r="C77" s="28" t="n">
        <v>1584.206</v>
      </c>
      <c r="D77" s="28" t="n">
        <v>1155.582</v>
      </c>
      <c r="E77" s="41" t="n">
        <v>263</v>
      </c>
      <c r="F77" s="55" t="n">
        <v>6.023596958174904</v>
      </c>
      <c r="G77" s="41" t="n">
        <v>52</v>
      </c>
      <c r="H77" s="41" t="n">
        <v>49</v>
      </c>
      <c r="I77" s="41" t="n">
        <v>34</v>
      </c>
      <c r="J77" s="41" t="n">
        <v>28</v>
      </c>
      <c r="K77" s="41" t="n">
        <v>62</v>
      </c>
      <c r="L77" s="41" t="n">
        <v>95</v>
      </c>
    </row>
    <row r="78" ht="16" customHeight="1">
      <c r="A78" s="107" t="inlineStr">
        <is>
          <t>Bata_</t>
        </is>
      </c>
      <c r="B78" s="82" t="inlineStr">
        <is>
          <t>Footwear</t>
        </is>
      </c>
      <c r="C78" s="26" t="n">
        <v>1550.725</v>
      </c>
      <c r="D78" s="26" t="n">
        <v>1554.7325</v>
      </c>
      <c r="E78" s="37" t="n">
        <v>1815</v>
      </c>
      <c r="F78" s="57" t="n">
        <v>0.8543939393939394</v>
      </c>
      <c r="G78" s="37" t="n">
        <v>80</v>
      </c>
      <c r="H78" s="37" t="n">
        <v>3</v>
      </c>
      <c r="I78" s="37" t="n">
        <v>284</v>
      </c>
      <c r="J78" s="37" t="n">
        <v>260</v>
      </c>
      <c r="K78" s="37" t="n">
        <v>384</v>
      </c>
      <c r="L78" s="37" t="n">
        <v>285</v>
      </c>
    </row>
    <row r="79" ht="16" customHeight="1">
      <c r="A79" s="144" t="inlineStr">
        <is>
          <t>RedTape</t>
        </is>
      </c>
      <c r="B79" s="88" t="inlineStr">
        <is>
          <t>Footwear</t>
        </is>
      </c>
      <c r="C79" s="28" t="n">
        <v>1518</v>
      </c>
      <c r="D79" s="28" t="n">
        <v>1264</v>
      </c>
      <c r="E79" s="41" t="n">
        <v>521</v>
      </c>
      <c r="F79" s="55" t="n">
        <v>2.91362763915547</v>
      </c>
      <c r="G79" s="41" t="n">
        <v>59</v>
      </c>
      <c r="H79" s="41" t="n">
        <v>39</v>
      </c>
      <c r="I79" s="41" t="n">
        <v>82</v>
      </c>
      <c r="J79" s="41" t="n">
        <v>68</v>
      </c>
      <c r="K79" s="41" t="n">
        <v>150</v>
      </c>
      <c r="L79" s="41" t="n">
        <v>117</v>
      </c>
    </row>
    <row r="80" ht="16" customHeight="1">
      <c r="A80" s="107" t="inlineStr">
        <is>
          <t>Campus Shoes</t>
        </is>
      </c>
      <c r="B80" s="145" t="inlineStr">
        <is>
          <t>nan</t>
        </is>
      </c>
      <c r="C80" s="26" t="n">
        <v>1435.9</v>
      </c>
      <c r="D80" s="26" t="n">
        <v>1470.07</v>
      </c>
      <c r="E80" s="37" t="n">
        <v>632</v>
      </c>
      <c r="F80" s="57" t="n">
        <v>0</v>
      </c>
      <c r="G80" s="37" t="n">
        <v>15</v>
      </c>
      <c r="H80" s="37" t="n">
        <v>0</v>
      </c>
      <c r="I80" s="37" t="n">
        <v>0</v>
      </c>
      <c r="J80" s="37" t="n">
        <v>0</v>
      </c>
      <c r="K80" s="37" t="n">
        <v>0</v>
      </c>
      <c r="L80" s="37" t="n">
        <v>0</v>
      </c>
    </row>
    <row r="81" ht="16" customHeight="1">
      <c r="A81" s="144" t="inlineStr">
        <is>
          <t>Manyavar</t>
        </is>
      </c>
      <c r="B81" s="81" t="inlineStr">
        <is>
          <t>nan</t>
        </is>
      </c>
      <c r="C81" s="28" t="n">
        <v>1365.41</v>
      </c>
      <c r="D81" s="28" t="n">
        <v>1324.03</v>
      </c>
      <c r="E81" s="41" t="n">
        <v>914</v>
      </c>
      <c r="F81" s="55" t="n">
        <v>0</v>
      </c>
      <c r="G81" s="41" t="n">
        <v>47</v>
      </c>
      <c r="H81" s="41" t="n">
        <v>0</v>
      </c>
      <c r="I81" s="41" t="n">
        <v>0</v>
      </c>
      <c r="J81" s="41" t="n">
        <v>0</v>
      </c>
      <c r="K81" s="41" t="n">
        <v>0</v>
      </c>
      <c r="L81" s="41" t="n">
        <v>0</v>
      </c>
    </row>
    <row r="82" ht="16" customHeight="1">
      <c r="A82" s="107" t="inlineStr">
        <is>
          <t>Bazaar_Kolkata</t>
        </is>
      </c>
      <c r="B82" s="86" t="inlineStr">
        <is>
          <t>Value Fashion</t>
        </is>
      </c>
      <c r="C82" s="26" t="n">
        <v>1319.096552</v>
      </c>
      <c r="D82" s="26" t="n">
        <v>1137.1522</v>
      </c>
      <c r="E82" s="37" t="n">
        <v>200</v>
      </c>
      <c r="F82" s="57" t="n">
        <v>6.59548276</v>
      </c>
      <c r="G82" s="37" t="n">
        <v>0</v>
      </c>
      <c r="H82" s="37" t="n">
        <v>0</v>
      </c>
      <c r="I82" s="37" t="n">
        <v>44</v>
      </c>
      <c r="J82" s="37" t="n">
        <v>2</v>
      </c>
      <c r="K82" s="37" t="n">
        <v>21</v>
      </c>
      <c r="L82" s="37" t="n">
        <v>30</v>
      </c>
    </row>
    <row r="83" ht="16" customHeight="1">
      <c r="A83" s="144" t="inlineStr">
        <is>
          <t>Raymond</t>
        </is>
      </c>
      <c r="B83" s="146" t="inlineStr">
        <is>
          <t>Premium Menswear</t>
        </is>
      </c>
      <c r="C83" s="28" t="n">
        <v>1284.3636</v>
      </c>
      <c r="D83" s="28" t="n">
        <v>1125.0304</v>
      </c>
      <c r="E83" s="41" t="n">
        <v>1348</v>
      </c>
      <c r="F83" s="55" t="n">
        <v>0.9527919881305638</v>
      </c>
      <c r="G83" s="41" t="n">
        <v>33</v>
      </c>
      <c r="H83" s="41" t="n">
        <v>11</v>
      </c>
      <c r="I83" s="41" t="n">
        <v>195</v>
      </c>
      <c r="J83" s="41" t="n">
        <v>180</v>
      </c>
      <c r="K83" s="41" t="n">
        <v>281</v>
      </c>
      <c r="L83" s="41" t="n">
        <v>251</v>
      </c>
    </row>
    <row r="84" ht="16" customHeight="1">
      <c r="A84" s="107" t="inlineStr">
        <is>
          <t>MOnte_Carlo</t>
        </is>
      </c>
      <c r="B84" s="87" t="inlineStr">
        <is>
          <t>Mid Menswear</t>
        </is>
      </c>
      <c r="C84" s="26" t="n">
        <v>1275.9</v>
      </c>
      <c r="D84" s="26" t="n">
        <v>1100.4</v>
      </c>
      <c r="E84" s="37" t="n">
        <v>497</v>
      </c>
      <c r="F84" s="57" t="n">
        <v>2.567203219315896</v>
      </c>
      <c r="G84" s="37" t="n">
        <v>65</v>
      </c>
      <c r="H84" s="37" t="n">
        <v>26</v>
      </c>
      <c r="I84" s="37" t="n">
        <v>74</v>
      </c>
      <c r="J84" s="37" t="n">
        <v>66</v>
      </c>
      <c r="K84" s="37" t="n">
        <v>113</v>
      </c>
      <c r="L84" s="37" t="n">
        <v>88</v>
      </c>
    </row>
    <row r="85" ht="16" customHeight="1">
      <c r="A85" s="144" t="inlineStr">
        <is>
          <t>Metro_Shoes</t>
        </is>
      </c>
      <c r="B85" s="88" t="inlineStr">
        <is>
          <t>Footwear</t>
        </is>
      </c>
      <c r="C85" s="28" t="n">
        <v>1244</v>
      </c>
      <c r="D85" s="28" t="n">
        <v>1099</v>
      </c>
      <c r="E85" s="41" t="n">
        <v>374</v>
      </c>
      <c r="F85" s="55" t="n">
        <v>3.32620320855615</v>
      </c>
      <c r="G85" s="41" t="n">
        <v>28</v>
      </c>
      <c r="H85" s="41" t="n">
        <v>0</v>
      </c>
      <c r="I85" s="41" t="n">
        <v>88</v>
      </c>
      <c r="J85" s="41" t="n">
        <v>65</v>
      </c>
      <c r="K85" s="41" t="n">
        <v>109</v>
      </c>
      <c r="L85" s="41" t="n">
        <v>49</v>
      </c>
    </row>
    <row r="86" ht="16" customHeight="1">
      <c r="A86" s="107" t="inlineStr">
        <is>
          <t>FabIndia</t>
        </is>
      </c>
      <c r="B86" s="89" t="inlineStr">
        <is>
          <t>Women's Ethnic</t>
        </is>
      </c>
      <c r="C86" s="26" t="n">
        <v>1218.63</v>
      </c>
      <c r="D86" s="26" t="n">
        <v>1280.75</v>
      </c>
      <c r="E86" s="37" t="n">
        <v>1135</v>
      </c>
      <c r="F86" s="57" t="n">
        <v>0</v>
      </c>
      <c r="G86" s="37" t="n">
        <v>25</v>
      </c>
      <c r="H86" s="37" t="n">
        <v>0</v>
      </c>
      <c r="I86" s="37" t="n">
        <v>120</v>
      </c>
      <c r="J86" s="37" t="n">
        <v>73</v>
      </c>
      <c r="K86" s="37" t="n">
        <v>79</v>
      </c>
      <c r="L86" s="37" t="n">
        <v>25</v>
      </c>
    </row>
    <row r="87" ht="16" customHeight="1">
      <c r="A87" s="144" t="inlineStr">
        <is>
          <t>Adidas</t>
        </is>
      </c>
      <c r="B87" s="147" t="inlineStr">
        <is>
          <t>Activewear</t>
        </is>
      </c>
      <c r="C87" s="28" t="n">
        <v>1216.910436</v>
      </c>
      <c r="D87" s="28" t="n">
        <v>992.586</v>
      </c>
      <c r="E87" s="41" t="n">
        <v>0</v>
      </c>
      <c r="F87" s="55" t="n">
        <v>2.001497427631579</v>
      </c>
      <c r="G87" s="41" t="n">
        <v>0</v>
      </c>
      <c r="H87" s="41" t="n">
        <v>0</v>
      </c>
      <c r="I87" s="41" t="n">
        <v>110</v>
      </c>
      <c r="J87" s="41" t="n">
        <v>94</v>
      </c>
      <c r="K87" s="41" t="n">
        <v>110</v>
      </c>
      <c r="L87" s="41" t="n">
        <v>52</v>
      </c>
    </row>
    <row r="88" ht="16" customHeight="1">
      <c r="A88" s="107" t="inlineStr">
        <is>
          <t>Marks_&amp;_Spencer</t>
        </is>
      </c>
      <c r="B88" s="145" t="inlineStr">
        <is>
          <t>Multi/Lifestyle</t>
        </is>
      </c>
      <c r="C88" s="26" t="n">
        <v>1216.48222125</v>
      </c>
      <c r="D88" s="26" t="n">
        <v>1152.5175</v>
      </c>
      <c r="E88" s="37" t="n">
        <v>0</v>
      </c>
      <c r="F88" s="57" t="n">
        <v>14.31155554411765</v>
      </c>
      <c r="G88" s="37" t="n">
        <v>0</v>
      </c>
      <c r="H88" s="37" t="n">
        <v>0</v>
      </c>
      <c r="I88" s="37" t="n">
        <v>41</v>
      </c>
      <c r="J88" s="37" t="n">
        <v>24</v>
      </c>
      <c r="K88" s="37" t="n">
        <v>11</v>
      </c>
      <c r="L88" s="37" t="n">
        <v>1</v>
      </c>
    </row>
    <row r="89" ht="16" customHeight="1">
      <c r="A89" s="144" t="inlineStr">
        <is>
          <t>Van_Heusen</t>
        </is>
      </c>
      <c r="B89" s="146" t="inlineStr">
        <is>
          <t>Premium Menswear</t>
        </is>
      </c>
      <c r="C89" s="28" t="n">
        <v>1184</v>
      </c>
      <c r="D89" s="28" t="n">
        <v>1036</v>
      </c>
      <c r="E89" s="41" t="n">
        <v>0</v>
      </c>
      <c r="F89" s="55" t="n">
        <v>1.82716049382716</v>
      </c>
      <c r="G89" s="41" t="n">
        <v>0</v>
      </c>
      <c r="H89" s="41" t="n">
        <v>0</v>
      </c>
      <c r="I89" s="41" t="n">
        <v>110</v>
      </c>
      <c r="J89" s="41" t="n">
        <v>99</v>
      </c>
      <c r="K89" s="41" t="n">
        <v>125</v>
      </c>
      <c r="L89" s="41" t="n">
        <v>60</v>
      </c>
    </row>
  </sheetData>
  <mergeCells count="6">
    <mergeCell ref="A38:L38"/>
    <mergeCell ref="A1:J1"/>
    <mergeCell ref="A21:J21"/>
    <mergeCell ref="A12:J12"/>
    <mergeCell ref="A3:I3"/>
    <mergeCell ref="A30:I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2026-06-08T04:55:09Z</dcterms:created>
  <dcterms:modified xmlns:dcterms="http://purl.org/dc/terms/" xmlns:xsi="http://www.w3.org/2001/XMLSchema-instance" xsi:type="dcterms:W3CDTF">2026-06-08T04:55:09Z</dcterms:modified>
</cp:coreProperties>
</file>