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16.xml.rels" ContentType="application/vnd.openxmlformats-package.relationships+xml"/>
  <Override PartName="/xl/worksheets/_rels/sheet26.xml.rels" ContentType="application/vnd.openxmlformats-package.relationships+xml"/>
  <Override PartName="/xl/worksheets/_rels/sheet25.xml.rels" ContentType="application/vnd.openxmlformats-package.relationships+xml"/>
  <Override PartName="/xl/worksheets/_rels/sheet24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4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CHART_INDEX" sheetId="2" state="visible" r:id="rId4"/>
    <sheet name="1_Scenario" sheetId="3" state="visible" r:id="rId5"/>
    <sheet name="2_IN_Pincode" sheetId="4" state="visible" r:id="rId6"/>
    <sheet name="3_IN_City" sheetId="5" state="visible" r:id="rId7"/>
    <sheet name="4_IN_Demand" sheetId="6" state="visible" r:id="rId8"/>
    <sheet name="5_IN_Brands" sheetId="7" state="visible" r:id="rId9"/>
    <sheet name="6_IN_Stores" sheetId="8" state="visible" r:id="rId10"/>
    <sheet name="7_IN_Comps" sheetId="9" state="visible" r:id="rId11"/>
    <sheet name="10_CALC_Demand" sheetId="10" state="visible" r:id="rId12"/>
    <sheet name="11_CALC_Supply" sheetId="11" state="visible" r:id="rId13"/>
    <sheet name="OUT_Whitespace" sheetId="12" state="visible" r:id="rId14"/>
    <sheet name="OUT_Zudio" sheetId="13" state="visible" r:id="rId15"/>
    <sheet name="Methodology" sheetId="14" state="visible" r:id="rId16"/>
    <sheet name="C1_Wallet_by_Tier" sheetId="15" state="visible" r:id="rId17"/>
    <sheet name="C2_VxW_Wallet" sheetId="16" state="visible" r:id="rId18"/>
    <sheet name="C3_Stores_by_Tier" sheetId="17" state="visible" r:id="rId19"/>
    <sheet name="C4_Store_Density" sheetId="18" state="visible" r:id="rId20"/>
    <sheet name="C5_Penetration_Curve" sheetId="19" state="visible" r:id="rId21"/>
    <sheet name="C6_Whitespace_Matrix" sheetId="20" state="visible" r:id="rId22"/>
    <sheet name="C7_Store_Headroom" sheetId="21" state="visible" r:id="rId23"/>
    <sheet name="C8_RevPerStore" sheetId="22" state="visible" r:id="rId24"/>
    <sheet name="C9_RevPerSqft" sheetId="23" state="visible" r:id="rId25"/>
    <sheet name="C10_StoreAdds" sheetId="24" state="visible" r:id="rId26"/>
    <sheet name="C11_Zudio_Saturation" sheetId="25" state="visible" r:id="rId27"/>
    <sheet name="C12_Zudio_Pace" sheetId="26" state="visible" r:id="rId28"/>
    <sheet name="C13_Brand_Scorecard" sheetId="27" state="visible" r:id="rId29"/>
    <sheet name="C14_Penetration_Gap" sheetId="28" state="visible" r:id="rId3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<sst xmlns="http://schemas.openxmlformats.org/spreadsheetml/2006/main" count="2233" uniqueCount="588">
  <si>
    <t xml:space="preserve">Apparel &amp; Footwear - Demand-Supply Whitespace Engine</t>
  </si>
  <si>
    <t xml:space="preserve">Market-opportunity case study  |  toward Zudio (Value x Western) store potential  |  audience: senior ER</t>
  </si>
  <si>
    <t xml:space="preserve">HOW THIS FILE WORKS</t>
  </si>
  <si>
    <t xml:space="preserve">-</t>
  </si>
  <si>
    <t xml:space="preserve">Layer 1 - INPUTS (tabs '2_IN..'): paste raw data. Headers mirror your 5 workbooks. Blue = you type here.</t>
  </si>
  <si>
    <t xml:space="preserve">Layer 2 - CALC tabs: aggregate pincode/store data by Tier x Segment x ASP via SUMIFS. Auto-fill; do not edit.</t>
  </si>
  <si>
    <t xml:space="preserve">Layer 3 - OUTPUT tabs ('OUT_..'): clean, chart-ready exhibit tables that feed the deck.</t>
  </si>
  <si>
    <t xml:space="preserve">Control panel - '1_Scenario': one toggle (Base/Bull/Bear) flexes ONLY assumptions. Hard data never moves.</t>
  </si>
  <si>
    <t xml:space="preserve">THE 22-SLIDE SPINE  (build wide ~50 exhibits -&gt; distil to this)</t>
  </si>
  <si>
    <t xml:space="preserve">#</t>
  </si>
  <si>
    <t xml:space="preserve">Act</t>
  </si>
  <si>
    <t xml:space="preserve">Working slide title</t>
  </si>
  <si>
    <t xml:space="preserve">Lead exhibit</t>
  </si>
  <si>
    <t xml:space="preserve">Source layer</t>
  </si>
  <si>
    <t xml:space="preserve">Open</t>
  </si>
  <si>
    <t xml:space="preserve">The opportunity in one line</t>
  </si>
  <si>
    <t xml:space="preserve">Whitespace headline + runway #</t>
  </si>
  <si>
    <t xml:space="preserve">OUT_Whitespace/OUT_Zudio</t>
  </si>
  <si>
    <t xml:space="preserve">Methodology - hard vs modelled</t>
  </si>
  <si>
    <t xml:space="preserve">Data-confidence map</t>
  </si>
  <si>
    <t xml:space="preserve">Methodology</t>
  </si>
  <si>
    <t xml:space="preserve">1 Prize</t>
  </si>
  <si>
    <t xml:space="preserve">India apparel+footwear wallet &amp; growth</t>
  </si>
  <si>
    <t xml:space="preserve">TAM + CAGR</t>
  </si>
  <si>
    <t xml:space="preserve">10_CALC_Demand</t>
  </si>
  <si>
    <t xml:space="preserve">Wallet growth bridge (pop x MPCE x share)</t>
  </si>
  <si>
    <t xml:space="preserve">Waterfall</t>
  </si>
  <si>
    <t xml:space="preserve">Per-capita spend by tier - the headroom</t>
  </si>
  <si>
    <t xml:space="preserve">Bars by tier</t>
  </si>
  <si>
    <t xml:space="preserve">2 Demand</t>
  </si>
  <si>
    <t xml:space="preserve">Wallet by tier &amp; population slab</t>
  </si>
  <si>
    <t xml:space="preserve">Stacked bars</t>
  </si>
  <si>
    <t xml:space="preserve">Demand concentration curve</t>
  </si>
  <si>
    <t xml:space="preserve">Cumulative curve</t>
  </si>
  <si>
    <t xml:space="preserve">Top cities by apparel wallet</t>
  </si>
  <si>
    <t xml:space="preserve">Ranked table</t>
  </si>
  <si>
    <t xml:space="preserve">3_IN_City</t>
  </si>
  <si>
    <t xml:space="preserve">3 Supply</t>
  </si>
  <si>
    <t xml:space="preserve">Organised stores by tier</t>
  </si>
  <si>
    <t xml:space="preserve">Bars</t>
  </si>
  <si>
    <t xml:space="preserve">11_CALC_Supply</t>
  </si>
  <si>
    <t xml:space="preserve">Store mix by segment x ASP</t>
  </si>
  <si>
    <t xml:space="preserve">Matrix/heatmap</t>
  </si>
  <si>
    <t xml:space="preserve">Listed-brand scorecard</t>
  </si>
  <si>
    <t xml:space="preserve">Table</t>
  </si>
  <si>
    <t xml:space="preserve">5_IN_Brands</t>
  </si>
  <si>
    <t xml:space="preserve">Store density - stores / mn pop</t>
  </si>
  <si>
    <t xml:space="preserve">Organised penetration S-curve</t>
  </si>
  <si>
    <t xml:space="preserve">Line</t>
  </si>
  <si>
    <t xml:space="preserve">OUT_Whitespace</t>
  </si>
  <si>
    <t xml:space="preserve">4 Gap</t>
  </si>
  <si>
    <t xml:space="preserve">WHITESPACE MATRIX (the thesis)</t>
  </si>
  <si>
    <t xml:space="preserve">Tier matrix</t>
  </si>
  <si>
    <t xml:space="preserve">Runway by segment</t>
  </si>
  <si>
    <t xml:space="preserve">Under-served clusters (density vs spend)</t>
  </si>
  <si>
    <t xml:space="preserve">Scatter</t>
  </si>
  <si>
    <t xml:space="preserve">Zoom: Value x Western whitespace</t>
  </si>
  <si>
    <t xml:space="preserve">Tier bars</t>
  </si>
  <si>
    <t xml:space="preserve">5 Proof</t>
  </si>
  <si>
    <t xml:space="preserve">Comp benchmarking vs listed peers</t>
  </si>
  <si>
    <t xml:space="preserve">Comp table</t>
  </si>
  <si>
    <t xml:space="preserve">7_IN_Comps</t>
  </si>
  <si>
    <t xml:space="preserve">Unit-economics validation</t>
  </si>
  <si>
    <t xml:space="preserve">Comp bars</t>
  </si>
  <si>
    <t xml:space="preserve">6 Zudio</t>
  </si>
  <si>
    <t xml:space="preserve">Store potential - 3 scenarios</t>
  </si>
  <si>
    <t xml:space="preserve">Bear/Base/Bull</t>
  </si>
  <si>
    <t xml:space="preserve">OUT_Zudio</t>
  </si>
  <si>
    <t xml:space="preserve">Runway in years vs current pace</t>
  </si>
  <si>
    <t xml:space="preserve">Bridge</t>
  </si>
  <si>
    <t xml:space="preserve">Close</t>
  </si>
  <si>
    <t xml:space="preserve">So what - the recommendation</t>
  </si>
  <si>
    <t xml:space="preserve">Summary</t>
  </si>
  <si>
    <t xml:space="preserve">All</t>
  </si>
  <si>
    <t xml:space="preserve">DATA-CONFIDENCE LEGEND</t>
  </si>
  <si>
    <t xml:space="preserve">HARD (scraped/observed)</t>
  </si>
  <si>
    <t xml:space="preserve">Store counts, population, tier mapping, nearest-city (lat-long)</t>
  </si>
  <si>
    <t xml:space="preserve">MODELLED (assumption)</t>
  </si>
  <si>
    <t xml:space="preserve">Rev/store multipliers, FY26 revenue, target penetration, Zudio econ</t>
  </si>
  <si>
    <t xml:space="preserve">PROJECTED (triangulated)</t>
  </si>
  <si>
    <t xml:space="preserve">MPCE, GDDP/GSDP, forward wallet via CAGR</t>
  </si>
  <si>
    <t xml:space="preserve">Exhibit Index — All Chart Sheets</t>
  </si>
  <si>
    <t xml:space="preserve">Each tab = one chart. Fill data in IN_ tabs → charts auto-update.</t>
  </si>
  <si>
    <t xml:space="preserve">Sheet</t>
  </si>
  <si>
    <t xml:space="preserve">Exhibit</t>
  </si>
  <si>
    <t xml:space="preserve">Type</t>
  </si>
  <si>
    <t xml:space="preserve">C1_Wallet_by_Tier</t>
  </si>
  <si>
    <t xml:space="preserve">Wallet by Tier — Snapshot vs Projected</t>
  </si>
  <si>
    <t xml:space="preserve">Clustered col</t>
  </si>
  <si>
    <t xml:space="preserve">C2_VxW_Wallet</t>
  </si>
  <si>
    <t xml:space="preserve">Value x Western Wallet Slice</t>
  </si>
  <si>
    <t xml:space="preserve">C3_Stores_by_Tier</t>
  </si>
  <si>
    <t xml:space="preserve">Organised Stores by Tier</t>
  </si>
  <si>
    <t xml:space="preserve">C4_Store_Density</t>
  </si>
  <si>
    <t xml:space="preserve">Store Density (stores / mn pop)</t>
  </si>
  <si>
    <t xml:space="preserve">Horizontal bar</t>
  </si>
  <si>
    <t xml:space="preserve">C5_Penetration_Curve</t>
  </si>
  <si>
    <t xml:space="preserve">★ Penetration S-Curve by Tier</t>
  </si>
  <si>
    <t xml:space="preserve">Smooth line</t>
  </si>
  <si>
    <t xml:space="preserve">C6_Whitespace_Matrix</t>
  </si>
  <si>
    <t xml:space="preserve">★ Whitespace Matrix: Wallet vs Captured vs Gap</t>
  </si>
  <si>
    <t xml:space="preserve">C7_Store_Headroom</t>
  </si>
  <si>
    <t xml:space="preserve">Implied Store Headroom by Tier</t>
  </si>
  <si>
    <t xml:space="preserve">Col</t>
  </si>
  <si>
    <t xml:space="preserve">C8_RevPerStore</t>
  </si>
  <si>
    <t xml:space="preserve">Rev per Store — Comp Benchmarking</t>
  </si>
  <si>
    <t xml:space="preserve">C9_RevPerSqft</t>
  </si>
  <si>
    <t xml:space="preserve">Rev per Sqft — Comp Benchmarking</t>
  </si>
  <si>
    <t xml:space="preserve">C10_StoreAdds</t>
  </si>
  <si>
    <t xml:space="preserve">FY26 Store Additions by Peer</t>
  </si>
  <si>
    <t xml:space="preserve">C11_Zudio_Saturation</t>
  </si>
  <si>
    <t xml:space="preserve">★ Zudio Store Potential Bear/Base/Bull</t>
  </si>
  <si>
    <t xml:space="preserve">C12_Zudio_Pace</t>
  </si>
  <si>
    <t xml:space="preserve">Zudio Add Pace vs Peer Benchmarks</t>
  </si>
  <si>
    <t xml:space="preserve">C13_Brand_Scorecard</t>
  </si>
  <si>
    <t xml:space="preserve">Brand Scorecard — Rev/Store</t>
  </si>
  <si>
    <t xml:space="preserve">C14_Penetration_Gap</t>
  </si>
  <si>
    <t xml:space="preserve">Captured vs Uncaptured Wallet</t>
  </si>
  <si>
    <t xml:space="preserve">Stacked col</t>
  </si>
  <si>
    <t xml:space="preserve">★ = thesis-carrying exhibits. Always in the deck. Rest go to appendix or support Q&amp;A.</t>
  </si>
  <si>
    <t xml:space="preserve">Scenario &amp; Assumptions - Control Panel</t>
  </si>
  <si>
    <t xml:space="preserve">Toggle flexes the modelled layer only. Blue = editable input. LIVE column drives CALC/OUT tabs.</t>
  </si>
  <si>
    <t xml:space="preserve">Active scenario -&gt;</t>
  </si>
  <si>
    <t xml:space="preserve">Base</t>
  </si>
  <si>
    <t xml:space="preserve">pick Bear / Base / Bull</t>
  </si>
  <si>
    <t xml:space="preserve">Assumption</t>
  </si>
  <si>
    <t xml:space="preserve">Unit</t>
  </si>
  <si>
    <t xml:space="preserve">Bear</t>
  </si>
  <si>
    <t xml:space="preserve">Bull</t>
  </si>
  <si>
    <t xml:space="preserve">LIVE</t>
  </si>
  <si>
    <t xml:space="preserve">Wallet CAGR - Tier 1</t>
  </si>
  <si>
    <t xml:space="preserve">%</t>
  </si>
  <si>
    <t xml:space="preserve">Wallet CAGR - Tier 2</t>
  </si>
  <si>
    <t xml:space="preserve">Wallet CAGR - Tier 3</t>
  </si>
  <si>
    <t xml:space="preserve">Wallet CAGR - Tier 4</t>
  </si>
  <si>
    <t xml:space="preserve">Wallet CAGR - Tier 5 / Rural</t>
  </si>
  <si>
    <t xml:space="preserve">Projection horizon</t>
  </si>
  <si>
    <t xml:space="preserve">yrs</t>
  </si>
  <si>
    <t xml:space="preserve">Blended org. rev/store - Tier 1</t>
  </si>
  <si>
    <t xml:space="preserve">Rs Cr</t>
  </si>
  <si>
    <t xml:space="preserve">Blended org. rev/store - Tier 2</t>
  </si>
  <si>
    <t xml:space="preserve">Blended org. rev/store - Tier 3</t>
  </si>
  <si>
    <t xml:space="preserve">Blended org. rev/store - Tier 4</t>
  </si>
  <si>
    <t xml:space="preserve">Blended org. rev/store - Tier 5 / Rural</t>
  </si>
  <si>
    <t xml:space="preserve">Value x Western share of apparel wallet</t>
  </si>
  <si>
    <t xml:space="preserve">Target penetration of V x W whitespace</t>
  </si>
  <si>
    <t xml:space="preserve">Zudio revenue / store</t>
  </si>
  <si>
    <t xml:space="preserve">Years to capture runway</t>
  </si>
  <si>
    <t xml:space="preserve">Current Zudio store count (illustrative)</t>
  </si>
  <si>
    <t xml:space="preserve">Blue cells are illustrative placeholders - overwrite with your triangulated values.</t>
  </si>
  <si>
    <t xml:space="preserve">Input - Pincode Master</t>
  </si>
  <si>
    <t xml:space="preserve">Pincode -&gt; population, tier, nearest city, per-capita spend -&gt; wallet (auto)</t>
  </si>
  <si>
    <t xml:space="preserve">Pincode</t>
  </si>
  <si>
    <t xml:space="preserve">State</t>
  </si>
  <si>
    <t xml:space="preserve">District</t>
  </si>
  <si>
    <t xml:space="preserve">Nearest City/Metro</t>
  </si>
  <si>
    <t xml:space="preserve">Tier</t>
  </si>
  <si>
    <t xml:space="preserve">Pop Slab</t>
  </si>
  <si>
    <t xml:space="preserve">Population</t>
  </si>
  <si>
    <t xml:space="preserve">App+Foot per-capita (Rs)</t>
  </si>
  <si>
    <t xml:space="preserve">Wallet (Rs Cr)</t>
  </si>
  <si>
    <t xml:space="preserve">100001</t>
  </si>
  <si>
    <t xml:space="preserve">Delhi</t>
  </si>
  <si>
    <t xml:space="preserve">Delhi dist</t>
  </si>
  <si>
    <t xml:space="preserve">Tier 1</t>
  </si>
  <si>
    <t xml:space="preserve">4-5 Mn</t>
  </si>
  <si>
    <t xml:space="preserve">100008</t>
  </si>
  <si>
    <t xml:space="preserve">100015</t>
  </si>
  <si>
    <t xml:space="preserve">Karnataka</t>
  </si>
  <si>
    <t xml:space="preserve">Bengaluru dist</t>
  </si>
  <si>
    <t xml:space="preserve">Bengaluru</t>
  </si>
  <si>
    <t xml:space="preserve">100022</t>
  </si>
  <si>
    <t xml:space="preserve">100029</t>
  </si>
  <si>
    <t xml:space="preserve">100036</t>
  </si>
  <si>
    <t xml:space="preserve">100043</t>
  </si>
  <si>
    <t xml:space="preserve">Maharashtra</t>
  </si>
  <si>
    <t xml:space="preserve">Mumbai dist</t>
  </si>
  <si>
    <t xml:space="preserve">Mumbai</t>
  </si>
  <si>
    <t xml:space="preserve">100050</t>
  </si>
  <si>
    <t xml:space="preserve">100057</t>
  </si>
  <si>
    <t xml:space="preserve">100064</t>
  </si>
  <si>
    <t xml:space="preserve">100071</t>
  </si>
  <si>
    <t xml:space="preserve">100078</t>
  </si>
  <si>
    <t xml:space="preserve">100085</t>
  </si>
  <si>
    <t xml:space="preserve">100092</t>
  </si>
  <si>
    <t xml:space="preserve">100099</t>
  </si>
  <si>
    <t xml:space="preserve">100106</t>
  </si>
  <si>
    <t xml:space="preserve">100113</t>
  </si>
  <si>
    <t xml:space="preserve">100120</t>
  </si>
  <si>
    <t xml:space="preserve">100127</t>
  </si>
  <si>
    <t xml:space="preserve">100134</t>
  </si>
  <si>
    <t xml:space="preserve">100141</t>
  </si>
  <si>
    <t xml:space="preserve">100148</t>
  </si>
  <si>
    <t xml:space="preserve">100155</t>
  </si>
  <si>
    <t xml:space="preserve">100162</t>
  </si>
  <si>
    <t xml:space="preserve">100169</t>
  </si>
  <si>
    <t xml:space="preserve">100176</t>
  </si>
  <si>
    <t xml:space="preserve">100183</t>
  </si>
  <si>
    <t xml:space="preserve">100190</t>
  </si>
  <si>
    <t xml:space="preserve">100197</t>
  </si>
  <si>
    <t xml:space="preserve">100204</t>
  </si>
  <si>
    <t xml:space="preserve">100211</t>
  </si>
  <si>
    <t xml:space="preserve">100218</t>
  </si>
  <si>
    <t xml:space="preserve">100225</t>
  </si>
  <si>
    <t xml:space="preserve">100232</t>
  </si>
  <si>
    <t xml:space="preserve">100239</t>
  </si>
  <si>
    <t xml:space="preserve">100246</t>
  </si>
  <si>
    <t xml:space="preserve">100253</t>
  </si>
  <si>
    <t xml:space="preserve">100260</t>
  </si>
  <si>
    <t xml:space="preserve">100267</t>
  </si>
  <si>
    <t xml:space="preserve">100274</t>
  </si>
  <si>
    <t xml:space="preserve">100281</t>
  </si>
  <si>
    <t xml:space="preserve">Punjab</t>
  </si>
  <si>
    <t xml:space="preserve">Jalandhar dist</t>
  </si>
  <si>
    <t xml:space="preserve">Jalandhar</t>
  </si>
  <si>
    <t xml:space="preserve">Tier 2</t>
  </si>
  <si>
    <t xml:space="preserve">1-2 Mn</t>
  </si>
  <si>
    <t xml:space="preserve">100288</t>
  </si>
  <si>
    <t xml:space="preserve">MP</t>
  </si>
  <si>
    <t xml:space="preserve">Indore dist</t>
  </si>
  <si>
    <t xml:space="preserve">Indore</t>
  </si>
  <si>
    <t xml:space="preserve">100295</t>
  </si>
  <si>
    <t xml:space="preserve">Rajasthan</t>
  </si>
  <si>
    <t xml:space="preserve">Jaipur dist</t>
  </si>
  <si>
    <t xml:space="preserve">Jaipur</t>
  </si>
  <si>
    <t xml:space="preserve">100302</t>
  </si>
  <si>
    <t xml:space="preserve">100309</t>
  </si>
  <si>
    <t xml:space="preserve">100316</t>
  </si>
  <si>
    <t xml:space="preserve">100323</t>
  </si>
  <si>
    <t xml:space="preserve">100330</t>
  </si>
  <si>
    <t xml:space="preserve">100337</t>
  </si>
  <si>
    <t xml:space="preserve">100344</t>
  </si>
  <si>
    <t xml:space="preserve">100351</t>
  </si>
  <si>
    <t xml:space="preserve">100358</t>
  </si>
  <si>
    <t xml:space="preserve">100365</t>
  </si>
  <si>
    <t xml:space="preserve">100372</t>
  </si>
  <si>
    <t xml:space="preserve">100379</t>
  </si>
  <si>
    <t xml:space="preserve">100386</t>
  </si>
  <si>
    <t xml:space="preserve">100393</t>
  </si>
  <si>
    <t xml:space="preserve">100400</t>
  </si>
  <si>
    <t xml:space="preserve">100407</t>
  </si>
  <si>
    <t xml:space="preserve">100414</t>
  </si>
  <si>
    <t xml:space="preserve">100421</t>
  </si>
  <si>
    <t xml:space="preserve">100428</t>
  </si>
  <si>
    <t xml:space="preserve">100435</t>
  </si>
  <si>
    <t xml:space="preserve">100442</t>
  </si>
  <si>
    <t xml:space="preserve">100449</t>
  </si>
  <si>
    <t xml:space="preserve">100456</t>
  </si>
  <si>
    <t xml:space="preserve">100463</t>
  </si>
  <si>
    <t xml:space="preserve">100470</t>
  </si>
  <si>
    <t xml:space="preserve">100477</t>
  </si>
  <si>
    <t xml:space="preserve">100484</t>
  </si>
  <si>
    <t xml:space="preserve">100491</t>
  </si>
  <si>
    <t xml:space="preserve">100498</t>
  </si>
  <si>
    <t xml:space="preserve">100505</t>
  </si>
  <si>
    <t xml:space="preserve">100512</t>
  </si>
  <si>
    <t xml:space="preserve">100519</t>
  </si>
  <si>
    <t xml:space="preserve">100526</t>
  </si>
  <si>
    <t xml:space="preserve">100533</t>
  </si>
  <si>
    <t xml:space="preserve">100540</t>
  </si>
  <si>
    <t xml:space="preserve">100547</t>
  </si>
  <si>
    <t xml:space="preserve">100554</t>
  </si>
  <si>
    <t xml:space="preserve">100561</t>
  </si>
  <si>
    <t xml:space="preserve">Tripura</t>
  </si>
  <si>
    <t xml:space="preserve">Agartala dist</t>
  </si>
  <si>
    <t xml:space="preserve">Agartala</t>
  </si>
  <si>
    <t xml:space="preserve">Tier 3</t>
  </si>
  <si>
    <t xml:space="preserve">0.5-1 Mn</t>
  </si>
  <si>
    <t xml:space="preserve">100568</t>
  </si>
  <si>
    <t xml:space="preserve">100575</t>
  </si>
  <si>
    <t xml:space="preserve">Assam</t>
  </si>
  <si>
    <t xml:space="preserve">Guwahati dist</t>
  </si>
  <si>
    <t xml:space="preserve">Guwahati</t>
  </si>
  <si>
    <t xml:space="preserve">100582</t>
  </si>
  <si>
    <t xml:space="preserve">100589</t>
  </si>
  <si>
    <t xml:space="preserve">100596</t>
  </si>
  <si>
    <t xml:space="preserve">100603</t>
  </si>
  <si>
    <t xml:space="preserve">Uttarakhand</t>
  </si>
  <si>
    <t xml:space="preserve">Dehradun dist</t>
  </si>
  <si>
    <t xml:space="preserve">Dehradun</t>
  </si>
  <si>
    <t xml:space="preserve">100610</t>
  </si>
  <si>
    <t xml:space="preserve">100617</t>
  </si>
  <si>
    <t xml:space="preserve">100624</t>
  </si>
  <si>
    <t xml:space="preserve">100631</t>
  </si>
  <si>
    <t xml:space="preserve">100638</t>
  </si>
  <si>
    <t xml:space="preserve">100645</t>
  </si>
  <si>
    <t xml:space="preserve">100652</t>
  </si>
  <si>
    <t xml:space="preserve">100659</t>
  </si>
  <si>
    <t xml:space="preserve">100666</t>
  </si>
  <si>
    <t xml:space="preserve">100673</t>
  </si>
  <si>
    <t xml:space="preserve">100680</t>
  </si>
  <si>
    <t xml:space="preserve">100687</t>
  </si>
  <si>
    <t xml:space="preserve">100694</t>
  </si>
  <si>
    <t xml:space="preserve">100701</t>
  </si>
  <si>
    <t xml:space="preserve">100708</t>
  </si>
  <si>
    <t xml:space="preserve">100715</t>
  </si>
  <si>
    <t xml:space="preserve">100722</t>
  </si>
  <si>
    <t xml:space="preserve">100729</t>
  </si>
  <si>
    <t xml:space="preserve">100736</t>
  </si>
  <si>
    <t xml:space="preserve">100743</t>
  </si>
  <si>
    <t xml:space="preserve">100750</t>
  </si>
  <si>
    <t xml:space="preserve">100757</t>
  </si>
  <si>
    <t xml:space="preserve">100764</t>
  </si>
  <si>
    <t xml:space="preserve">100771</t>
  </si>
  <si>
    <t xml:space="preserve">100778</t>
  </si>
  <si>
    <t xml:space="preserve">100785</t>
  </si>
  <si>
    <t xml:space="preserve">100792</t>
  </si>
  <si>
    <t xml:space="preserve">100799</t>
  </si>
  <si>
    <t xml:space="preserve">100806</t>
  </si>
  <si>
    <t xml:space="preserve">100813</t>
  </si>
  <si>
    <t xml:space="preserve">100820</t>
  </si>
  <si>
    <t xml:space="preserve">100827</t>
  </si>
  <si>
    <t xml:space="preserve">100834</t>
  </si>
  <si>
    <t xml:space="preserve">100841</t>
  </si>
  <si>
    <t xml:space="preserve">Bihar</t>
  </si>
  <si>
    <t xml:space="preserve">Patna dist</t>
  </si>
  <si>
    <t xml:space="preserve">Patna</t>
  </si>
  <si>
    <t xml:space="preserve">Tier 4</t>
  </si>
  <si>
    <t xml:space="preserve">0-0.5 Mn</t>
  </si>
  <si>
    <t xml:space="preserve">100848</t>
  </si>
  <si>
    <t xml:space="preserve">100855</t>
  </si>
  <si>
    <t xml:space="preserve">Odisha</t>
  </si>
  <si>
    <t xml:space="preserve">Cuttack dist</t>
  </si>
  <si>
    <t xml:space="preserve">Cuttack</t>
  </si>
  <si>
    <t xml:space="preserve">100862</t>
  </si>
  <si>
    <t xml:space="preserve">100869</t>
  </si>
  <si>
    <t xml:space="preserve">100876</t>
  </si>
  <si>
    <t xml:space="preserve">100883</t>
  </si>
  <si>
    <t xml:space="preserve">Jharkhand</t>
  </si>
  <si>
    <t xml:space="preserve">Ranchi dist</t>
  </si>
  <si>
    <t xml:space="preserve">Ranchi</t>
  </si>
  <si>
    <t xml:space="preserve">100890</t>
  </si>
  <si>
    <t xml:space="preserve">100897</t>
  </si>
  <si>
    <t xml:space="preserve">100904</t>
  </si>
  <si>
    <t xml:space="preserve">100911</t>
  </si>
  <si>
    <t xml:space="preserve">100918</t>
  </si>
  <si>
    <t xml:space="preserve">100925</t>
  </si>
  <si>
    <t xml:space="preserve">100932</t>
  </si>
  <si>
    <t xml:space="preserve">100939</t>
  </si>
  <si>
    <t xml:space="preserve">100946</t>
  </si>
  <si>
    <t xml:space="preserve">100953</t>
  </si>
  <si>
    <t xml:space="preserve">100960</t>
  </si>
  <si>
    <t xml:space="preserve">100967</t>
  </si>
  <si>
    <t xml:space="preserve">100974</t>
  </si>
  <si>
    <t xml:space="preserve">100981</t>
  </si>
  <si>
    <t xml:space="preserve">100988</t>
  </si>
  <si>
    <t xml:space="preserve">100995</t>
  </si>
  <si>
    <t xml:space="preserve">101002</t>
  </si>
  <si>
    <t xml:space="preserve">101009</t>
  </si>
  <si>
    <t xml:space="preserve">101016</t>
  </si>
  <si>
    <t xml:space="preserve">101023</t>
  </si>
  <si>
    <t xml:space="preserve">101030</t>
  </si>
  <si>
    <t xml:space="preserve">101037</t>
  </si>
  <si>
    <t xml:space="preserve">101044</t>
  </si>
  <si>
    <t xml:space="preserve">101051</t>
  </si>
  <si>
    <t xml:space="preserve">101058</t>
  </si>
  <si>
    <t xml:space="preserve">101065</t>
  </si>
  <si>
    <t xml:space="preserve">101072</t>
  </si>
  <si>
    <t xml:space="preserve">101079</t>
  </si>
  <si>
    <t xml:space="preserve">101086</t>
  </si>
  <si>
    <t xml:space="preserve">101093</t>
  </si>
  <si>
    <t xml:space="preserve">101100</t>
  </si>
  <si>
    <t xml:space="preserve">101107</t>
  </si>
  <si>
    <t xml:space="preserve">101114</t>
  </si>
  <si>
    <t xml:space="preserve">101121</t>
  </si>
  <si>
    <t xml:space="preserve">Chhattisgarh</t>
  </si>
  <si>
    <t xml:space="preserve">Raipur dist</t>
  </si>
  <si>
    <t xml:space="preserve">Raipur</t>
  </si>
  <si>
    <t xml:space="preserve">Tier 5 / Rural</t>
  </si>
  <si>
    <t xml:space="preserve">101128</t>
  </si>
  <si>
    <t xml:space="preserve">Sagar dist</t>
  </si>
  <si>
    <t xml:space="preserve">Sagar</t>
  </si>
  <si>
    <t xml:space="preserve">101135</t>
  </si>
  <si>
    <t xml:space="preserve">101142</t>
  </si>
  <si>
    <t xml:space="preserve">101149</t>
  </si>
  <si>
    <t xml:space="preserve">101156</t>
  </si>
  <si>
    <t xml:space="preserve">101163</t>
  </si>
  <si>
    <t xml:space="preserve">101170</t>
  </si>
  <si>
    <t xml:space="preserve">101177</t>
  </si>
  <si>
    <t xml:space="preserve">101184</t>
  </si>
  <si>
    <t xml:space="preserve">101191</t>
  </si>
  <si>
    <t xml:space="preserve">101198</t>
  </si>
  <si>
    <t xml:space="preserve">101205</t>
  </si>
  <si>
    <t xml:space="preserve">101212</t>
  </si>
  <si>
    <t xml:space="preserve">101219</t>
  </si>
  <si>
    <t xml:space="preserve">101226</t>
  </si>
  <si>
    <t xml:space="preserve">101233</t>
  </si>
  <si>
    <t xml:space="preserve">101240</t>
  </si>
  <si>
    <t xml:space="preserve">101247</t>
  </si>
  <si>
    <t xml:space="preserve">101254</t>
  </si>
  <si>
    <t xml:space="preserve">101261</t>
  </si>
  <si>
    <t xml:space="preserve">101268</t>
  </si>
  <si>
    <t xml:space="preserve">101275</t>
  </si>
  <si>
    <t xml:space="preserve">101282</t>
  </si>
  <si>
    <t xml:space="preserve">101289</t>
  </si>
  <si>
    <t xml:space="preserve">101296</t>
  </si>
  <si>
    <t xml:space="preserve">101303</t>
  </si>
  <si>
    <t xml:space="preserve">101310</t>
  </si>
  <si>
    <t xml:space="preserve">101317</t>
  </si>
  <si>
    <t xml:space="preserve">101324</t>
  </si>
  <si>
    <t xml:space="preserve">101331</t>
  </si>
  <si>
    <t xml:space="preserve">101338</t>
  </si>
  <si>
    <t xml:space="preserve">101345</t>
  </si>
  <si>
    <t xml:space="preserve">101352</t>
  </si>
  <si>
    <t xml:space="preserve">101359</t>
  </si>
  <si>
    <t xml:space="preserve">101366</t>
  </si>
  <si>
    <t xml:space="preserve">101373</t>
  </si>
  <si>
    <t xml:space="preserve">101380</t>
  </si>
  <si>
    <t xml:space="preserve">101387</t>
  </si>
  <si>
    <t xml:space="preserve">101394</t>
  </si>
  <si>
    <t xml:space="preserve">ILLUSTRATIVE rows - replace with all ~19,450 pincodes. Col I (Wallet) is a formula; extend it down.</t>
  </si>
  <si>
    <t xml:space="preserve">Input - City Master</t>
  </si>
  <si>
    <t xml:space="preserve">City-level population, tier, apparel wallet (ranked exhibits)</t>
  </si>
  <si>
    <t xml:space="preserve">City</t>
  </si>
  <si>
    <t xml:space="preserve">Apparel Wallet (Rs Cr)</t>
  </si>
  <si>
    <t xml:space="preserve">2-3 Mn</t>
  </si>
  <si>
    <t xml:space="preserve">Input - Demand / MPCE (state)</t>
  </si>
  <si>
    <t xml:space="preserve">State -&gt; GSDP, MPCE, per-capita apparel &amp; footwear</t>
  </si>
  <si>
    <t xml:space="preserve">Geography/Zone</t>
  </si>
  <si>
    <t xml:space="preserve">GSDP (Rs Cr)</t>
  </si>
  <si>
    <t xml:space="preserve">GSDP per-capita (Rs)</t>
  </si>
  <si>
    <t xml:space="preserve">MPCE (Rs)</t>
  </si>
  <si>
    <t xml:space="preserve">Apparel per-capita (Rs)</t>
  </si>
  <si>
    <t xml:space="preserve">Footwear per-capita (Rs)</t>
  </si>
  <si>
    <t xml:space="preserve">West</t>
  </si>
  <si>
    <t xml:space="preserve">South</t>
  </si>
  <si>
    <t xml:space="preserve">Central</t>
  </si>
  <si>
    <t xml:space="preserve">East</t>
  </si>
  <si>
    <t xml:space="preserve">Input - Supply: Brand Master</t>
  </si>
  <si>
    <t xml:space="preserve">Listed-brand financials + segment/ASP tags (scorecard &amp; rev/store)</t>
  </si>
  <si>
    <t xml:space="preserve">Brand</t>
  </si>
  <si>
    <t xml:space="preserve">Listed</t>
  </si>
  <si>
    <t xml:space="preserve">Segment</t>
  </si>
  <si>
    <t xml:space="preserve">ASP Band</t>
  </si>
  <si>
    <t xml:space="preserve">Total Stores</t>
  </si>
  <si>
    <t xml:space="preserve">Revenue (Rs Cr)</t>
  </si>
  <si>
    <t xml:space="preserve">Retail Area (sqft)</t>
  </si>
  <si>
    <t xml:space="preserve">Avg Store Size (sqft)</t>
  </si>
  <si>
    <t xml:space="preserve">Rev/Store (Rs Cr)</t>
  </si>
  <si>
    <t xml:space="preserve">Rev/sqft (Rs)</t>
  </si>
  <si>
    <t xml:space="preserve">Adds FY25</t>
  </si>
  <si>
    <t xml:space="preserve">Adds FY26</t>
  </si>
  <si>
    <t xml:space="preserve">Zudio</t>
  </si>
  <si>
    <t xml:space="preserve">Y</t>
  </si>
  <si>
    <t xml:space="preserve">Western</t>
  </si>
  <si>
    <t xml:space="preserve">Value</t>
  </si>
  <si>
    <t xml:space="preserve">Reliance Trends</t>
  </si>
  <si>
    <t xml:space="preserve">Max (ABLBL)</t>
  </si>
  <si>
    <t xml:space="preserve">V-Mart</t>
  </si>
  <si>
    <t xml:space="preserve">Departmental</t>
  </si>
  <si>
    <t xml:space="preserve">Vishal Mega Mart</t>
  </si>
  <si>
    <t xml:space="preserve">Hypermarket</t>
  </si>
  <si>
    <t xml:space="preserve">Economy</t>
  </si>
  <si>
    <t xml:space="preserve">Pantaloons (ABFRL)</t>
  </si>
  <si>
    <t xml:space="preserve">Mid</t>
  </si>
  <si>
    <t xml:space="preserve">Input - Supply: Stores by Tier x Segment x ASP</t>
  </si>
  <si>
    <t xml:space="preserve">Granular organised store counts (scraped, HARD). Drives all supply aggregations.</t>
  </si>
  <si>
    <t xml:space="preserve">Store Count</t>
  </si>
  <si>
    <t xml:space="preserve">Premium</t>
  </si>
  <si>
    <t xml:space="preserve">Luxury</t>
  </si>
  <si>
    <t xml:space="preserve">Ethnic</t>
  </si>
  <si>
    <t xml:space="preserve">Sports</t>
  </si>
  <si>
    <t xml:space="preserve">Footwear</t>
  </si>
  <si>
    <t xml:space="preserve">Formal</t>
  </si>
  <si>
    <t xml:space="preserve">Input - Listed Comps (benchmarking)</t>
  </si>
  <si>
    <t xml:space="preserve">DRHP + listed peers - validates rev/store, rev/sqft, store-size, add-pace</t>
  </si>
  <si>
    <t xml:space="preserve">Company</t>
  </si>
  <si>
    <t xml:space="preserve">Stores</t>
  </si>
  <si>
    <t xml:space="preserve">Avg Store (sqft)</t>
  </si>
  <si>
    <t xml:space="preserve">SSSG (%)</t>
  </si>
  <si>
    <t xml:space="preserve">Baazar Style Retail (DRHP)</t>
  </si>
  <si>
    <t xml:space="preserve">Trent (Zudio+Westside)</t>
  </si>
  <si>
    <t xml:space="preserve">ABFRL</t>
  </si>
  <si>
    <t xml:space="preserve">ABLBL (Aditya Birla Lifestyle)</t>
  </si>
  <si>
    <t xml:space="preserve">Calc - Demand by Tier</t>
  </si>
  <si>
    <t xml:space="preserve">Wallet aggregated from Pincode Master (SUMIF) | projected via scenario CAGR | V x W slice carved out</t>
  </si>
  <si>
    <t xml:space="preserve">Snapshot Wallet (Rs Cr)</t>
  </si>
  <si>
    <t xml:space="preserve">CAGR (live)</t>
  </si>
  <si>
    <t xml:space="preserve">Horizon (yrs)</t>
  </si>
  <si>
    <t xml:space="preserve">Projected Wallet (Rs Cr)</t>
  </si>
  <si>
    <t xml:space="preserve">V x W Share</t>
  </si>
  <si>
    <t xml:space="preserve">V x W Wallet (Rs Cr)</t>
  </si>
  <si>
    <t xml:space="preserve">TOTAL</t>
  </si>
  <si>
    <t xml:space="preserve">Calc - Supply by Tier</t>
  </si>
  <si>
    <t xml:space="preserve">Store counts (SUMIF) | blended rev/store from scenario | captured revenue | V x W carve-out</t>
  </si>
  <si>
    <t xml:space="preserve">Total Org. Stores</t>
  </si>
  <si>
    <t xml:space="preserve">V x W Stores</t>
  </si>
  <si>
    <t xml:space="preserve">Rev/Store (live, Rs Cr)</t>
  </si>
  <si>
    <t xml:space="preserve">Captured Rev (Rs Cr)</t>
  </si>
  <si>
    <t xml:space="preserve">Pop (mn)</t>
  </si>
  <si>
    <t xml:space="preserve">Stores / mn pop</t>
  </si>
  <si>
    <t xml:space="preserve">Output - Demand-Supply Whitespace Matrix</t>
  </si>
  <si>
    <t xml:space="preserve">THE thesis exhibit | by tier: wallet vs captured vs penetration vs implied store headroom</t>
  </si>
  <si>
    <t xml:space="preserve">Penetration %</t>
  </si>
  <si>
    <t xml:space="preserve">Whitespace (Rs Cr)</t>
  </si>
  <si>
    <t xml:space="preserve">Implied Store Headroom</t>
  </si>
  <si>
    <t xml:space="preserve">Read: penetration falls down tiers; headroom (yellow) is where value formats add stores.</t>
  </si>
  <si>
    <t xml:space="preserve">Output - Zudio Store Potential: Bear / Base / Bull</t>
  </si>
  <si>
    <t xml:space="preserve">Value x Western whitespace -&gt; saturation count, incremental runway, sustainable add pace</t>
  </si>
  <si>
    <t xml:space="preserve">Metric</t>
  </si>
  <si>
    <t xml:space="preserve">Addressable V x W wallet</t>
  </si>
  <si>
    <t xml:space="preserve">Target penetration of whitespace</t>
  </si>
  <si>
    <t xml:space="preserve">Capturable wallet</t>
  </si>
  <si>
    <t xml:space="preserve">Saturation store count</t>
  </si>
  <si>
    <t xml:space="preserve">Current Zudio stores</t>
  </si>
  <si>
    <t xml:space="preserve">Incremental runway (stores)</t>
  </si>
  <si>
    <t xml:space="preserve">Years to capture</t>
  </si>
  <si>
    <t xml:space="preserve">Sustainable annual add pace</t>
  </si>
  <si>
    <t xml:space="preserve">#/yr</t>
  </si>
  <si>
    <t xml:space="preserve">Saturation uses snapshot V x W wallet. Swap to projected wallet (10_CALC_Demand col E) when projection layer is final.</t>
  </si>
  <si>
    <t xml:space="preserve">Methodology &amp; Data Confidence</t>
  </si>
  <si>
    <t xml:space="preserve">What an ER reviewer will probe - and where each number comes from</t>
  </si>
  <si>
    <t xml:space="preserve">Building block</t>
  </si>
  <si>
    <t xml:space="preserve">Confidence</t>
  </si>
  <si>
    <t xml:space="preserve">How it is derived</t>
  </si>
  <si>
    <t xml:space="preserve">Key sensitivity</t>
  </si>
  <si>
    <t xml:space="preserve">Store counts by tier x seg x ASP</t>
  </si>
  <si>
    <t xml:space="preserve">HARD</t>
  </si>
  <si>
    <t xml:space="preserve">Scraped store locators, geocoded to pincode</t>
  </si>
  <si>
    <t xml:space="preserve">Coverage completeness</t>
  </si>
  <si>
    <t xml:space="preserve">Population &amp; tier mapping</t>
  </si>
  <si>
    <t xml:space="preserve">Census pop; tier = pop+density+org-stores+urbanisation</t>
  </si>
  <si>
    <t xml:space="preserve">Tier cut-offs</t>
  </si>
  <si>
    <t xml:space="preserve">Nearest city / metro</t>
  </si>
  <si>
    <t xml:space="preserve">Lat-long nearest-neighbour</t>
  </si>
  <si>
    <t xml:space="preserve">Per-capita apparel+footwear</t>
  </si>
  <si>
    <t xml:space="preserve">PROJECTED</t>
  </si>
  <si>
    <t xml:space="preserve">MPCE_state x (GDDP pc / GSDP pc), mapped to PFCE</t>
  </si>
  <si>
    <t xml:space="preserve">MPCE growth</t>
  </si>
  <si>
    <t xml:space="preserve">Wallet (pincode)</t>
  </si>
  <si>
    <t xml:space="preserve">Population x per-capita spend</t>
  </si>
  <si>
    <t xml:space="preserve">Both above</t>
  </si>
  <si>
    <t xml:space="preserve">Rev/store (blended)</t>
  </si>
  <si>
    <t xml:space="preserve">MODELLED</t>
  </si>
  <si>
    <t xml:space="preserve">Tier x segment multipliers calibrated to brand avg</t>
  </si>
  <si>
    <t xml:space="preserve">Multiplier set</t>
  </si>
  <si>
    <t xml:space="preserve">FY26 revenue</t>
  </si>
  <si>
    <t xml:space="preserve">Assumption / DRHP-anchored</t>
  </si>
  <si>
    <t xml:space="preserve">Comp validity</t>
  </si>
  <si>
    <t xml:space="preserve">Captured organised rev</t>
  </si>
  <si>
    <t xml:space="preserve">Stores x rev/store</t>
  </si>
  <si>
    <t xml:space="preserve">Rev/store</t>
  </si>
  <si>
    <t xml:space="preserve">Whitespace &amp; headroom</t>
  </si>
  <si>
    <t xml:space="preserve">Wallet - captured; / rev/store</t>
  </si>
  <si>
    <t xml:space="preserve">Penetration ceiling</t>
  </si>
  <si>
    <t xml:space="preserve">Zudio potential</t>
  </si>
  <si>
    <t xml:space="preserve">V x W whitespace x target pen / Zudio rev/store</t>
  </si>
  <si>
    <t xml:space="preserve">Target pen, rev/store</t>
  </si>
  <si>
    <t xml:space="preserve">Wallet by Tier — Snapshot vs 5-Yr Projected</t>
  </si>
  <si>
    <t xml:space="preserve">Rs Cr  |  Source: 10_CALC_Demand</t>
  </si>
  <si>
    <t xml:space="preserve">Value x Western Wallet Slice by Tier</t>
  </si>
  <si>
    <t xml:space="preserve">V x W wallet vs total  |  Rs Cr  |  Source: 10_CALC_Demand</t>
  </si>
  <si>
    <t xml:space="preserve">Total organised vs Value x Western  |  Source: 11_CALC_Supply</t>
  </si>
  <si>
    <t xml:space="preserve">Store Density by Tier</t>
  </si>
  <si>
    <t xml:space="preserve">Organised stores per million population  |  Source: 11_CALC_Supply</t>
  </si>
  <si>
    <t xml:space="preserve">Organised Penetration S-Curve  ★ THESIS SETUP</t>
  </si>
  <si>
    <t xml:space="preserve">Captured rev as % of wallet — collapses down-tier  |  Source: OUT_Whitespace</t>
  </si>
  <si>
    <t xml:space="preserve">READ: Penetration collapses from ~43% in Tier 1 to near-zero in Tier 4/5. That collapse is the opening.</t>
  </si>
  <si>
    <t xml:space="preserve">Wallet vs Captured vs Whitespace  ★ THE THESIS</t>
  </si>
  <si>
    <t xml:space="preserve">Unserved rupees by tier  |  Rs Cr  |  Source: OUT_Whitespace</t>
  </si>
  <si>
    <t xml:space="preserve">Blue = total wallet. Dark blue = captured. Red = whitespace (uncaptured). Red grows as tier falls — that is the prize.</t>
  </si>
  <si>
    <t xml:space="preserve">Whitespace / blended rev-per-store  |  Source: OUT_Whitespace</t>
  </si>
  <si>
    <t xml:space="preserve">Revenue per Store — Comp Benchmarking</t>
  </si>
  <si>
    <t xml:space="preserve">Rs Cr / store  |  Source: 7_IN_Comps</t>
  </si>
  <si>
    <t xml:space="preserve">Revenue per Sqft — Comp Benchmarking</t>
  </si>
  <si>
    <t xml:space="preserve">Rs / sqft  |  Source: 7_IN_Comps</t>
  </si>
  <si>
    <t xml:space="preserve">FY26 Store Additions — Expansion Pace</t>
  </si>
  <si>
    <t xml:space="preserve">New stores added FY26  |  Source: 7_IN_Comps</t>
  </si>
  <si>
    <t xml:space="preserve">Zudio Store Potential  ★ Bear / Base / Bull</t>
  </si>
  <si>
    <t xml:space="preserve">Saturation count + incremental runway  |  Source: OUT_Zudio</t>
  </si>
  <si>
    <t xml:space="preserve">Scenario</t>
  </si>
  <si>
    <t xml:space="preserve">Saturation Stores</t>
  </si>
  <si>
    <t xml:space="preserve">Incremental Runway</t>
  </si>
  <si>
    <t xml:space="preserve">Add Pace/yr</t>
  </si>
  <si>
    <t xml:space="preserve">Zudio Implied Add Pace vs Peer Benchmarks</t>
  </si>
  <si>
    <t xml:space="preserve">Sustainable stores/yr  |  Source: OUT_Zudio + 5_IN_Brands</t>
  </si>
  <si>
    <t xml:space="preserve">Entity</t>
  </si>
  <si>
    <t xml:space="preserve">Stores / yr</t>
  </si>
  <si>
    <t xml:space="preserve">Zudio (Bear)</t>
  </si>
  <si>
    <t xml:space="preserve">Zudio (Base)</t>
  </si>
  <si>
    <t xml:space="preserve">Zudio (Bull)</t>
  </si>
  <si>
    <t xml:space="preserve">Reliance Trends (actual)</t>
  </si>
  <si>
    <t xml:space="preserve">V-Mart (actual)</t>
  </si>
  <si>
    <t xml:space="preserve">Vishal Mega Mart (actual)</t>
  </si>
  <si>
    <t xml:space="preserve">Brand Scorecard — Revenue per Store</t>
  </si>
  <si>
    <t xml:space="preserve">Rs Cr / store  |  Source: 5_IN_Brands</t>
  </si>
  <si>
    <t xml:space="preserve">Stacked  |  Source: OUT_Whitespace</t>
  </si>
  <si>
    <t xml:space="preserve">Dark = organised capture. Light = whitespace. After Tier 2, almost nothing is captured.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</si>
</sst>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;\(#,##0\);\-"/>
    <numFmt numFmtId="167" formatCode="#,##0"/>
    <numFmt numFmtId="168" formatCode="0.00"/>
    <numFmt numFmtId="169" formatCode="0.0"/>
    <numFmt numFmtId="170" formatCode="#,##0.0"/>
    <numFmt numFmtId="171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0"/>
      <color rgb="FF2E5A87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6"/>
      <color rgb="FF1F2A4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2E5A87"/>
      <name val="Arial"/>
      <family val="0"/>
      <charset val="1"/>
    </font>
    <font>
      <sz val="9"/>
      <color rgb="FF7F7F7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i val="true"/>
      <sz val="9"/>
      <color rgb="FF7F7F7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5"/>
      <color rgb="FF1F2A44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C0392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E5A87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DCE9D5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2F6FB"/>
        <bgColor rgb="FFE8F4FD"/>
      </patternFill>
    </fill>
    <fill>
      <patternFill patternType="solid">
        <fgColor rgb="FFEAF0F6"/>
        <bgColor rgb="FFE8F4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7F7F7F"/>
      <rgbColor rgb="FF9999FF"/>
      <rgbColor rgb="FF993366"/>
      <rgbColor rgb="FFFFF2CC"/>
      <rgbColor rgb="FFE8F4FD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6"/>
      <rgbColor rgb="FFDCE9D5"/>
      <rgbColor rgb="FFF2F6FB"/>
      <rgbColor rgb="FFB8D4E8"/>
      <rgbColor rgb="FFFF99CC"/>
      <rgbColor rgb="FFD9D9D9"/>
      <rgbColor rgb="FFFCE4D6"/>
      <rgbColor rgb="FF3366FF"/>
      <rgbColor rgb="FF33CCCC"/>
      <rgbColor rgb="FF99CC00"/>
      <rgbColor rgb="FFFFCC00"/>
      <rgbColor rgb="FFFF9900"/>
      <rgbColor rgb="FFE74C3C"/>
      <rgbColor rgb="FF4A90C4"/>
      <rgbColor rgb="FF969696"/>
      <rgbColor rgb="FF003366"/>
      <rgbColor rgb="FF27AE60"/>
      <rgbColor rgb="FF003300"/>
      <rgbColor rgb="FF333300"/>
      <rgbColor rgb="FFC0392B"/>
      <rgbColor rgb="FF993366"/>
      <rgbColor rgb="FF2E5A8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10_CALC_Demand!B4</c:f>
              <c:strCache>
                <c:ptCount val="1"/>
                <c:pt idx="0">
                  <c:v>Snapshot Wallet (Rs Cr)</c:v>
                </c:pt>
              </c:strCache>
            </c:strRef>
          </c:tx>
          <c:spPr>
            <a:solidFill>
              <a:srgbClr val="1f2a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10_CALC_Demand!$A$5:$A$9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10_CALC_Demand!$B$5:$B$9</c:f>
              <c:numCache>
                <c:formatCode>#,##0;\(#,##0\);\-</c:formatCode>
                <c:ptCount val="5"/>
                <c:pt idx="0">
                  <c:v>326.3459552</c:v>
                </c:pt>
                <c:pt idx="1">
                  <c:v>107.2949924</c:v>
                </c:pt>
                <c:pt idx="2">
                  <c:v>35.1607902</c:v>
                </c:pt>
                <c:pt idx="3">
                  <c:v>13.0358357</c:v>
                </c:pt>
                <c:pt idx="4">
                  <c:v>3.6547203</c:v>
                </c:pt>
              </c:numCache>
            </c:numRef>
          </c:val>
        </c:ser>
        <c:ser>
          <c:idx val="1"/>
          <c:order val="1"/>
          <c:tx>
            <c:strRef>
              <c:f>10_CALC_Demand!E4</c:f>
              <c:strCache>
                <c:ptCount val="1"/>
                <c:pt idx="0">
                  <c:v>Projected Wallet (Rs Cr)</c:v>
                </c:pt>
              </c:strCache>
            </c:strRef>
          </c:tx>
          <c:spPr>
            <a:solidFill>
              <a:srgbClr val="4a90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10_CALC_Demand!$A$5:$A$9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10_CALC_Demand!$E$5:$E$9</c:f>
              <c:numCache>
                <c:formatCode>#,##0;\(#,##0\);\-</c:formatCode>
                <c:ptCount val="5"/>
                <c:pt idx="0">
                  <c:v>502.123704255442</c:v>
                </c:pt>
                <c:pt idx="1">
                  <c:v>180.798301945013</c:v>
                </c:pt>
                <c:pt idx="2">
                  <c:v>61.9653261837101</c:v>
                </c:pt>
                <c:pt idx="3">
                  <c:v>24.0176822852548</c:v>
                </c:pt>
                <c:pt idx="4">
                  <c:v>6.15841624612452</c:v>
                </c:pt>
              </c:numCache>
            </c:numRef>
          </c:val>
        </c:ser>
        <c:gapWidth val="150"/>
        <c:overlap val="-10"/>
        <c:axId val="47115408"/>
        <c:axId val="60279606"/>
      </c:barChart>
      <c:catAx>
        <c:axId val="4711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79606"/>
        <c:crosses val="autoZero"/>
        <c:auto val="1"/>
        <c:lblAlgn val="ctr"/>
        <c:lblOffset val="100"/>
        <c:noMultiLvlLbl val="0"/>
      </c:catAx>
      <c:valAx>
        <c:axId val="602796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154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10_CALC_Demand!B4</c:f>
              <c:strCache>
                <c:ptCount val="1"/>
                <c:pt idx="0">
                  <c:v>Snapshot Wallet (Rs Cr)</c:v>
                </c:pt>
              </c:strCache>
            </c:strRef>
          </c:tx>
          <c:spPr>
            <a:solidFill>
              <a:srgbClr val="b8d4e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10_CALC_Demand!$A$5:$A$9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10_CALC_Demand!$B$5:$B$9</c:f>
              <c:numCache>
                <c:formatCode>#,##0;\(#,##0\);\-</c:formatCode>
                <c:ptCount val="5"/>
                <c:pt idx="0">
                  <c:v>326.3459552</c:v>
                </c:pt>
                <c:pt idx="1">
                  <c:v>107.2949924</c:v>
                </c:pt>
                <c:pt idx="2">
                  <c:v>35.1607902</c:v>
                </c:pt>
                <c:pt idx="3">
                  <c:v>13.0358357</c:v>
                </c:pt>
                <c:pt idx="4">
                  <c:v>3.6547203</c:v>
                </c:pt>
              </c:numCache>
            </c:numRef>
          </c:val>
        </c:ser>
        <c:ser>
          <c:idx val="1"/>
          <c:order val="1"/>
          <c:tx>
            <c:strRef>
              <c:f>10_CALC_Demand!G4</c:f>
              <c:strCache>
                <c:ptCount val="1"/>
                <c:pt idx="0">
                  <c:v>V x W Wallet (Rs Cr)</c:v>
                </c:pt>
              </c:strCache>
            </c:strRef>
          </c:tx>
          <c:spPr>
            <a:solidFill>
              <a:srgbClr val="1f2a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10_CALC_Demand!$A$5:$A$9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10_CALC_Demand!$G$5:$G$9</c:f>
              <c:numCache>
                <c:formatCode>#,##0;\(#,##0\);\-</c:formatCode>
                <c:ptCount val="5"/>
                <c:pt idx="0">
                  <c:v>71.796110144</c:v>
                </c:pt>
                <c:pt idx="1">
                  <c:v>23.604898328</c:v>
                </c:pt>
                <c:pt idx="2">
                  <c:v>7.735373844</c:v>
                </c:pt>
                <c:pt idx="3">
                  <c:v>2.867883854</c:v>
                </c:pt>
                <c:pt idx="4">
                  <c:v>0.804038466</c:v>
                </c:pt>
              </c:numCache>
            </c:numRef>
          </c:val>
        </c:ser>
        <c:gapWidth val="150"/>
        <c:overlap val="-10"/>
        <c:axId val="30316981"/>
        <c:axId val="64731355"/>
      </c:barChart>
      <c:catAx>
        <c:axId val="303169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31355"/>
        <c:crosses val="autoZero"/>
        <c:auto val="1"/>
        <c:lblAlgn val="ctr"/>
        <c:lblOffset val="100"/>
        <c:noMultiLvlLbl val="0"/>
      </c:catAx>
      <c:valAx>
        <c:axId val="647313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169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11_CALC_Supply!B4</c:f>
              <c:strCache>
                <c:ptCount val="1"/>
                <c:pt idx="0">
                  <c:v>Total Org. Stores</c:v>
                </c:pt>
              </c:strCache>
            </c:strRef>
          </c:tx>
          <c:spPr>
            <a:solidFill>
              <a:srgbClr val="2e5a8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11_CALC_Supply!$A$5:$A$9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11_CALC_Supply!$B$5:$B$9</c:f>
              <c:numCache>
                <c:formatCode>#,##0;\(#,##0\);\-</c:formatCode>
                <c:ptCount val="5"/>
                <c:pt idx="0">
                  <c:v>28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11_CALC_Supply!C4</c:f>
              <c:strCache>
                <c:ptCount val="1"/>
                <c:pt idx="0">
                  <c:v>V x W Stores</c:v>
                </c:pt>
              </c:strCache>
            </c:strRef>
          </c:tx>
          <c:spPr>
            <a:solidFill>
              <a:srgbClr val="e74c3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11_CALC_Supply!$A$5:$A$9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11_CALC_Supply!$C$5:$C$9</c:f>
              <c:numCache>
                <c:formatCode>#,##0;\(#,##0\);\-</c:formatCode>
                <c:ptCount val="5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-10"/>
        <c:axId val="90930155"/>
        <c:axId val="32752319"/>
      </c:barChart>
      <c:catAx>
        <c:axId val="909301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52319"/>
        <c:crosses val="autoZero"/>
        <c:auto val="1"/>
        <c:lblAlgn val="ctr"/>
        <c:lblOffset val="100"/>
        <c:noMultiLvlLbl val="0"/>
      </c:catAx>
      <c:valAx>
        <c:axId val="327523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No. of Stores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301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11_CALC_Supply!G4</c:f>
              <c:strCache>
                <c:ptCount val="1"/>
                <c:pt idx="0">
                  <c:v>Stores / mn pop</c:v>
                </c:pt>
              </c:strCache>
            </c:strRef>
          </c:tx>
          <c:spPr>
            <a:solidFill>
              <a:srgbClr val="2e5a8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11_CALC_Supply!$A$5:$A$9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11_CALC_Supply!$G$5:$G$9</c:f>
              <c:numCache>
                <c:formatCode>#,##0.0</c:formatCode>
                <c:ptCount val="5"/>
                <c:pt idx="0">
                  <c:v>36.6805659811331</c:v>
                </c:pt>
                <c:pt idx="1">
                  <c:v>9.21175050894922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21759925"/>
        <c:axId val="55308050"/>
      </c:barChart>
      <c:catAx>
        <c:axId val="217599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08050"/>
        <c:crosses val="autoZero"/>
        <c:auto val="1"/>
        <c:lblAlgn val="ctr"/>
        <c:lblOffset val="100"/>
        <c:noMultiLvlLbl val="0"/>
      </c:catAx>
      <c:valAx>
        <c:axId val="553080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Stores / mn pop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599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OUT_Whitespace!D4</c:f>
              <c:strCache>
                <c:ptCount val="1"/>
                <c:pt idx="0">
                  <c:v>Penetration %</c:v>
                </c:pt>
              </c:strCache>
            </c:strRef>
          </c:tx>
          <c:spPr>
            <a:solidFill>
              <a:srgbClr val="1f2a44"/>
            </a:solidFill>
            <a:ln w="24840">
              <a:solidFill>
                <a:srgbClr val="1f2a44"/>
              </a:solidFill>
              <a:round/>
            </a:ln>
          </c:spPr>
          <c:marker>
            <c:symbol val="circle"/>
            <c:size val="7"/>
            <c:spPr>
              <a:solidFill>
                <a:srgbClr val="1f2a4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OUT_Whitespace!$A$5:$A$9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OUT_Whitespace!$D$5:$D$9</c:f>
              <c:numCache>
                <c:formatCode>0.0%</c:formatCode>
                <c:ptCount val="5"/>
                <c:pt idx="0">
                  <c:v>0.42899260054932</c:v>
                </c:pt>
                <c:pt idx="1">
                  <c:v>0.149121591251448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6172846"/>
        <c:axId val="61176096"/>
      </c:lineChart>
      <c:catAx>
        <c:axId val="161728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76096"/>
        <c:crosses val="autoZero"/>
        <c:auto val="1"/>
        <c:lblAlgn val="ctr"/>
        <c:lblOffset val="100"/>
        <c:noMultiLvlLbl val="0"/>
      </c:catAx>
      <c:valAx>
        <c:axId val="611760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Penetration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728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OUT_Whitespace!B4</c:f>
              <c:strCache>
                <c:ptCount val="1"/>
                <c:pt idx="0">
                  <c:v>Wallet (Rs Cr)</c:v>
                </c:pt>
              </c:strCache>
            </c:strRef>
          </c:tx>
          <c:spPr>
            <a:solidFill>
              <a:srgbClr val="b8d4e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OUT_Whitespace!$A$5:$A$9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OUT_Whitespace!$B$5:$B$9</c:f>
              <c:numCache>
                <c:formatCode>#,##0;\(#,##0\);\-</c:formatCode>
                <c:ptCount val="5"/>
                <c:pt idx="0">
                  <c:v>326.3459552</c:v>
                </c:pt>
                <c:pt idx="1">
                  <c:v>107.2949924</c:v>
                </c:pt>
                <c:pt idx="2">
                  <c:v>35.1607902</c:v>
                </c:pt>
                <c:pt idx="3">
                  <c:v>13.0358357</c:v>
                </c:pt>
                <c:pt idx="4">
                  <c:v>3.6547203</c:v>
                </c:pt>
              </c:numCache>
            </c:numRef>
          </c:val>
        </c:ser>
        <c:ser>
          <c:idx val="1"/>
          <c:order val="1"/>
          <c:tx>
            <c:strRef>
              <c:f>OUT_Whitespace!C4</c:f>
              <c:strCache>
                <c:ptCount val="1"/>
                <c:pt idx="0">
                  <c:v>Captured Rev (Rs Cr)</c:v>
                </c:pt>
              </c:strCache>
            </c:strRef>
          </c:tx>
          <c:spPr>
            <a:solidFill>
              <a:srgbClr val="2e5a8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OUT_Whitespace!$A$5:$A$9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OUT_Whitespace!$C$5:$C$9</c:f>
              <c:numCache>
                <c:formatCode>#,##0;\(#,##0\);\-</c:formatCode>
                <c:ptCount val="5"/>
                <c:pt idx="0">
                  <c:v>140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OUT_Whitespace!E4</c:f>
              <c:strCache>
                <c:ptCount val="1"/>
                <c:pt idx="0">
                  <c:v>Whitespace (Rs Cr)</c:v>
                </c:pt>
              </c:strCache>
            </c:strRef>
          </c:tx>
          <c:spPr>
            <a:solidFill>
              <a:srgbClr val="e74c3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OUT_Whitespace!$A$5:$A$9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OUT_Whitespace!$E$5:$E$9</c:f>
              <c:numCache>
                <c:formatCode>#,##0;\(#,##0\);\-</c:formatCode>
                <c:ptCount val="5"/>
                <c:pt idx="0">
                  <c:v>186.3459552</c:v>
                </c:pt>
                <c:pt idx="1">
                  <c:v>91.2949924</c:v>
                </c:pt>
                <c:pt idx="2">
                  <c:v>35.1607902</c:v>
                </c:pt>
                <c:pt idx="3">
                  <c:v>13.0358357</c:v>
                </c:pt>
                <c:pt idx="4">
                  <c:v>3.6547203</c:v>
                </c:pt>
              </c:numCache>
            </c:numRef>
          </c:val>
        </c:ser>
        <c:gapWidth val="150"/>
        <c:overlap val="-5"/>
        <c:axId val="24698602"/>
        <c:axId val="51203948"/>
      </c:barChart>
      <c:catAx>
        <c:axId val="24698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03948"/>
        <c:crosses val="autoZero"/>
        <c:auto val="1"/>
        <c:lblAlgn val="ctr"/>
        <c:lblOffset val="100"/>
        <c:noMultiLvlLbl val="0"/>
      </c:catAx>
      <c:valAx>
        <c:axId val="512039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986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OUT_Whitespace!G4</c:f>
              <c:strCache>
                <c:ptCount val="1"/>
                <c:pt idx="0">
                  <c:v>Implied Store Headroom</c:v>
                </c:pt>
              </c:strCache>
            </c:strRef>
          </c:tx>
          <c:spPr>
            <a:solidFill>
              <a:srgbClr val="e74c3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OUT_Whitespace!$A$5:$A$9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OUT_Whitespace!$G$5:$G$9</c:f>
              <c:numCache>
                <c:formatCode>#,##0;\(#,##0\);\-</c:formatCode>
                <c:ptCount val="5"/>
                <c:pt idx="0">
                  <c:v>37.26919104</c:v>
                </c:pt>
                <c:pt idx="1">
                  <c:v>22.8237481</c:v>
                </c:pt>
                <c:pt idx="2">
                  <c:v>11.7202634</c:v>
                </c:pt>
                <c:pt idx="3">
                  <c:v>5.43159820833333</c:v>
                </c:pt>
                <c:pt idx="4">
                  <c:v>1.923537</c:v>
                </c:pt>
              </c:numCache>
            </c:numRef>
          </c:val>
        </c:ser>
        <c:gapWidth val="150"/>
        <c:overlap val="0"/>
        <c:axId val="33687123"/>
        <c:axId val="50567256"/>
      </c:barChart>
      <c:catAx>
        <c:axId val="336871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67256"/>
        <c:crosses val="autoZero"/>
        <c:auto val="1"/>
        <c:lblAlgn val="ctr"/>
        <c:lblOffset val="100"/>
        <c:noMultiLvlLbl val="0"/>
      </c:catAx>
      <c:valAx>
        <c:axId val="505672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Stores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871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7_IN_Comps!D4</c:f>
              <c:strCache>
                <c:ptCount val="1"/>
                <c:pt idx="0">
                  <c:v>Rev/Store (Rs Cr)</c:v>
                </c:pt>
              </c:strCache>
            </c:strRef>
          </c:tx>
          <c:spPr>
            <a:solidFill>
              <a:srgbClr val="2e5a8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7_IN_Comps!$A$5:$A$10</c:f>
              <c:strCache>
                <c:ptCount val="6"/>
                <c:pt idx="0">
                  <c:v>Baazar Style Retail (DRHP)</c:v>
                </c:pt>
                <c:pt idx="1">
                  <c:v>V-Mart</c:v>
                </c:pt>
                <c:pt idx="2">
                  <c:v>Vishal Mega Mart</c:v>
                </c:pt>
                <c:pt idx="3">
                  <c:v>Trent (Zudio+Westside)</c:v>
                </c:pt>
                <c:pt idx="4">
                  <c:v>ABFRL</c:v>
                </c:pt>
                <c:pt idx="5">
                  <c:v>ABLBL (Aditya Birla Lifestyle)</c:v>
                </c:pt>
              </c:strCache>
            </c:strRef>
          </c:cat>
          <c:val>
            <c:numRef>
              <c:f>7_IN_Comps!$D$5:$D$10</c:f>
              <c:numCache>
                <c:formatCode>0.00</c:formatCode>
                <c:ptCount val="6"/>
                <c:pt idx="0">
                  <c:v>5.76470588235294</c:v>
                </c:pt>
                <c:pt idx="1">
                  <c:v>6.30434782608696</c:v>
                </c:pt>
                <c:pt idx="2">
                  <c:v>13.9705882352941</c:v>
                </c:pt>
                <c:pt idx="3">
                  <c:v>15.7894736842105</c:v>
                </c:pt>
                <c:pt idx="4">
                  <c:v>4.0625</c:v>
                </c:pt>
                <c:pt idx="5">
                  <c:v>2.83333333333333</c:v>
                </c:pt>
              </c:numCache>
            </c:numRef>
          </c:val>
        </c:ser>
        <c:gapWidth val="150"/>
        <c:overlap val="0"/>
        <c:axId val="15456080"/>
        <c:axId val="83787127"/>
      </c:barChart>
      <c:catAx>
        <c:axId val="1545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87127"/>
        <c:crosses val="autoZero"/>
        <c:auto val="1"/>
        <c:lblAlgn val="ctr"/>
        <c:lblOffset val="100"/>
        <c:noMultiLvlLbl val="0"/>
      </c:catAx>
      <c:valAx>
        <c:axId val="837871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Cr / store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560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7_IN_Comps!F4</c:f>
              <c:strCache>
                <c:ptCount val="1"/>
                <c:pt idx="0">
                  <c:v>Rev/sqft (Rs)</c:v>
                </c:pt>
              </c:strCache>
            </c:strRef>
          </c:tx>
          <c:spPr>
            <a:solidFill>
              <a:srgbClr val="1f2a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7_IN_Comps!$A$5:$A$10</c:f>
              <c:strCache>
                <c:ptCount val="6"/>
                <c:pt idx="0">
                  <c:v>Baazar Style Retail (DRHP)</c:v>
                </c:pt>
                <c:pt idx="1">
                  <c:v>V-Mart</c:v>
                </c:pt>
                <c:pt idx="2">
                  <c:v>Vishal Mega Mart</c:v>
                </c:pt>
                <c:pt idx="3">
                  <c:v>Trent (Zudio+Westside)</c:v>
                </c:pt>
                <c:pt idx="4">
                  <c:v>ABFRL</c:v>
                </c:pt>
                <c:pt idx="5">
                  <c:v>ABLBL (Aditya Birla Lifestyle)</c:v>
                </c:pt>
              </c:strCache>
            </c:strRef>
          </c:cat>
          <c:val>
            <c:numRef>
              <c:f>7_IN_Comps!$F$5:$F$10</c:f>
              <c:numCache>
                <c:formatCode>#,##0</c:formatCode>
                <c:ptCount val="6"/>
                <c:pt idx="0">
                  <c:v>6068.11145510836</c:v>
                </c:pt>
                <c:pt idx="1">
                  <c:v>7880.4347826087</c:v>
                </c:pt>
                <c:pt idx="2">
                  <c:v>7761.43790849673</c:v>
                </c:pt>
                <c:pt idx="3">
                  <c:v>45112.7819548872</c:v>
                </c:pt>
                <c:pt idx="4">
                  <c:v>8125</c:v>
                </c:pt>
                <c:pt idx="5">
                  <c:v>6746.03174603175</c:v>
                </c:pt>
              </c:numCache>
            </c:numRef>
          </c:val>
        </c:ser>
        <c:gapWidth val="150"/>
        <c:overlap val="0"/>
        <c:axId val="35161741"/>
        <c:axId val="3056443"/>
      </c:barChart>
      <c:catAx>
        <c:axId val="351617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6443"/>
        <c:crosses val="autoZero"/>
        <c:auto val="1"/>
        <c:lblAlgn val="ctr"/>
        <c:lblOffset val="100"/>
        <c:noMultiLvlLbl val="0"/>
      </c:catAx>
      <c:valAx>
        <c:axId val="30564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/ sqft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617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7_IN_Comps!I4</c:f>
              <c:strCache>
                <c:ptCount val="1"/>
                <c:pt idx="0">
                  <c:v>Adds FY26</c:v>
                </c:pt>
              </c:strCache>
            </c:strRef>
          </c:tx>
          <c:spPr>
            <a:solidFill>
              <a:srgbClr val="27ae6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7_IN_Comps!$A$5:$A$10</c:f>
              <c:strCache>
                <c:ptCount val="6"/>
                <c:pt idx="0">
                  <c:v>Baazar Style Retail (DRHP)</c:v>
                </c:pt>
                <c:pt idx="1">
                  <c:v>V-Mart</c:v>
                </c:pt>
                <c:pt idx="2">
                  <c:v>Vishal Mega Mart</c:v>
                </c:pt>
                <c:pt idx="3">
                  <c:v>Trent (Zudio+Westside)</c:v>
                </c:pt>
                <c:pt idx="4">
                  <c:v>ABFRL</c:v>
                </c:pt>
                <c:pt idx="5">
                  <c:v>ABLBL (Aditya Birla Lifestyle)</c:v>
                </c:pt>
              </c:strCache>
            </c:strRef>
          </c:cat>
          <c:val>
            <c:numRef>
              <c:f>7_IN_Comps!$I$5:$I$10</c:f>
              <c:numCache>
                <c:formatCode>General</c:formatCode>
                <c:ptCount val="6"/>
                <c:pt idx="0">
                  <c:v>35</c:v>
                </c:pt>
                <c:pt idx="1">
                  <c:v>70</c:v>
                </c:pt>
                <c:pt idx="2">
                  <c:v>90</c:v>
                </c:pt>
                <c:pt idx="3">
                  <c:v>300</c:v>
                </c:pt>
                <c:pt idx="4">
                  <c:v>120</c:v>
                </c:pt>
                <c:pt idx="5">
                  <c:v>150</c:v>
                </c:pt>
              </c:numCache>
            </c:numRef>
          </c:val>
        </c:ser>
        <c:gapWidth val="150"/>
        <c:overlap val="0"/>
        <c:axId val="244308"/>
        <c:axId val="1436772"/>
      </c:barChart>
      <c:catAx>
        <c:axId val="2443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6772"/>
        <c:crosses val="autoZero"/>
        <c:auto val="1"/>
        <c:lblAlgn val="ctr"/>
        <c:lblOffset val="100"/>
        <c:noMultiLvlLbl val="0"/>
      </c:catAx>
      <c:valAx>
        <c:axId val="14367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Stores Added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3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C11_Zudio_Saturation!E6</c:f>
              <c:strCache>
                <c:ptCount val="1"/>
                <c:pt idx="0">
                  <c:v>Saturation Stores</c:v>
                </c:pt>
              </c:strCache>
            </c:strRef>
          </c:tx>
          <c:spPr>
            <a:solidFill>
              <a:srgbClr val="2e5a8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C11_Zudio_Saturation!$D$7:$D$9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C11_Zudio_Saturation!$E$7:$E$9</c:f>
              <c:numCache>
                <c:formatCode>#,##0.0</c:formatCode>
                <c:ptCount val="3"/>
                <c:pt idx="0">
                  <c:v>1.4564768814</c:v>
                </c:pt>
                <c:pt idx="1">
                  <c:v>3.845098966896</c:v>
                </c:pt>
                <c:pt idx="2">
                  <c:v>8.21949743921861</c:v>
                </c:pt>
              </c:numCache>
            </c:numRef>
          </c:val>
        </c:ser>
        <c:ser>
          <c:idx val="1"/>
          <c:order val="1"/>
          <c:tx>
            <c:strRef>
              <c:f>C11_Zudio_Saturation!F6</c:f>
              <c:strCache>
                <c:ptCount val="1"/>
                <c:pt idx="0">
                  <c:v>Incremental Runway</c:v>
                </c:pt>
              </c:strCache>
            </c:strRef>
          </c:tx>
          <c:spPr>
            <a:solidFill>
              <a:srgbClr val="27ae6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C11_Zudio_Saturation!$D$7:$D$9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C11_Zudio_Saturation!$F$7:$F$9</c:f>
              <c:numCache>
                <c:formatCode>#,##0.0</c:formatCode>
                <c:ptCount val="3"/>
                <c:pt idx="0">
                  <c:v>0</c:v>
                </c:pt>
                <c:pt idx="1">
                  <c:v>1.845098966896</c:v>
                </c:pt>
                <c:pt idx="2">
                  <c:v>6.21949743921861</c:v>
                </c:pt>
              </c:numCache>
            </c:numRef>
          </c:val>
        </c:ser>
        <c:gapWidth val="150"/>
        <c:overlap val="-10"/>
        <c:axId val="15914295"/>
        <c:axId val="30072647"/>
      </c:barChart>
      <c:catAx>
        <c:axId val="15914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72647"/>
        <c:crosses val="autoZero"/>
        <c:auto val="1"/>
        <c:lblAlgn val="ctr"/>
        <c:lblOffset val="100"/>
        <c:noMultiLvlLbl val="0"/>
      </c:catAx>
      <c:valAx>
        <c:axId val="300726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142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C12_Zudio_Pace!E6</c:f>
              <c:strCache>
                <c:ptCount val="1"/>
                <c:pt idx="0">
                  <c:v>Stores / yr</c:v>
                </c:pt>
              </c:strCache>
            </c:strRef>
          </c:tx>
          <c:spPr>
            <a:solidFill>
              <a:srgbClr val="2e5a8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C12_Zudio_Pace!$D$7:$D$12</c:f>
              <c:strCache>
                <c:ptCount val="6"/>
                <c:pt idx="0">
                  <c:v>Zudio (Bear)</c:v>
                </c:pt>
                <c:pt idx="1">
                  <c:v>Zudio (Base)</c:v>
                </c:pt>
                <c:pt idx="2">
                  <c:v>Zudio (Bull)</c:v>
                </c:pt>
                <c:pt idx="3">
                  <c:v>Reliance Trends (actual)</c:v>
                </c:pt>
                <c:pt idx="4">
                  <c:v>V-Mart (actual)</c:v>
                </c:pt>
                <c:pt idx="5">
                  <c:v>Vishal Mega Mart (actual)</c:v>
                </c:pt>
              </c:strCache>
            </c:strRef>
          </c:cat>
          <c:val>
            <c:numRef>
              <c:f>C12_Zudio_Pace!$E$7:$E$12</c:f>
              <c:numCache>
                <c:formatCode>#,##0.0</c:formatCode>
                <c:ptCount val="6"/>
                <c:pt idx="0">
                  <c:v>0</c:v>
                </c:pt>
                <c:pt idx="1">
                  <c:v>0.230637370862</c:v>
                </c:pt>
                <c:pt idx="2">
                  <c:v>1.03658290653643</c:v>
                </c:pt>
                <c:pt idx="3">
                  <c:v>250</c:v>
                </c:pt>
                <c:pt idx="4">
                  <c:v>70</c:v>
                </c:pt>
                <c:pt idx="5">
                  <c:v>90</c:v>
                </c:pt>
              </c:numCache>
            </c:numRef>
          </c:val>
        </c:ser>
        <c:gapWidth val="150"/>
        <c:overlap val="0"/>
        <c:axId val="5257191"/>
        <c:axId val="51910486"/>
      </c:barChart>
      <c:catAx>
        <c:axId val="5257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10486"/>
        <c:crosses val="autoZero"/>
        <c:auto val="1"/>
        <c:lblAlgn val="ctr"/>
        <c:lblOffset val="100"/>
        <c:noMultiLvlLbl val="0"/>
      </c:catAx>
      <c:valAx>
        <c:axId val="519104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Stores / 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71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5_IN_Brands!I4</c:f>
              <c:strCache>
                <c:ptCount val="1"/>
                <c:pt idx="0">
                  <c:v>Rev/Store (Rs Cr)</c:v>
                </c:pt>
              </c:strCache>
            </c:strRef>
          </c:tx>
          <c:spPr>
            <a:solidFill>
              <a:srgbClr val="1f2a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5_IN_Brands!$A$5:$A$10</c:f>
              <c:strCache>
                <c:ptCount val="6"/>
                <c:pt idx="0">
                  <c:v>Zudio</c:v>
                </c:pt>
                <c:pt idx="1">
                  <c:v>Reliance Trends</c:v>
                </c:pt>
                <c:pt idx="2">
                  <c:v>Max (ABLBL)</c:v>
                </c:pt>
                <c:pt idx="3">
                  <c:v>V-Mart</c:v>
                </c:pt>
                <c:pt idx="4">
                  <c:v>Vishal Mega Mart</c:v>
                </c:pt>
                <c:pt idx="5">
                  <c:v>Pantaloons (ABFRL)</c:v>
                </c:pt>
              </c:strCache>
            </c:strRef>
          </c:cat>
          <c:val>
            <c:numRef>
              <c:f>5_IN_Brands!$I$5:$I$10</c:f>
              <c:numCache>
                <c:formatCode>0.00</c:formatCode>
                <c:ptCount val="6"/>
                <c:pt idx="0">
                  <c:v>15.7894736842105</c:v>
                </c:pt>
                <c:pt idx="1">
                  <c:v>5</c:v>
                </c:pt>
                <c:pt idx="2">
                  <c:v>12.5581395348837</c:v>
                </c:pt>
                <c:pt idx="3">
                  <c:v>6.30434782608696</c:v>
                </c:pt>
                <c:pt idx="4">
                  <c:v>13.9705882352941</c:v>
                </c:pt>
                <c:pt idx="5">
                  <c:v>10.4651162790698</c:v>
                </c:pt>
              </c:numCache>
            </c:numRef>
          </c:val>
        </c:ser>
        <c:gapWidth val="150"/>
        <c:overlap val="0"/>
        <c:axId val="73515232"/>
        <c:axId val="54152148"/>
      </c:barChart>
      <c:catAx>
        <c:axId val="735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52148"/>
        <c:crosses val="autoZero"/>
        <c:auto val="1"/>
        <c:lblAlgn val="ctr"/>
        <c:lblOffset val="100"/>
        <c:noMultiLvlLbl val="0"/>
      </c:catAx>
      <c:valAx>
        <c:axId val="541521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Cr / store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152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OUT_Whitespace!C4</c:f>
              <c:strCache>
                <c:ptCount val="1"/>
                <c:pt idx="0">
                  <c:v>Captured Rev (Rs Cr)</c:v>
                </c:pt>
              </c:strCache>
            </c:strRef>
          </c:tx>
          <c:spPr>
            <a:solidFill>
              <a:srgbClr val="2e5a8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OUT_Whitespace!$A$5:$A$9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OUT_Whitespace!$C$5:$C$9</c:f>
              <c:numCache>
                <c:formatCode>#,##0;\(#,##0\);\-</c:formatCode>
                <c:ptCount val="5"/>
                <c:pt idx="0">
                  <c:v>140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OUT_Whitespace!E4</c:f>
              <c:strCache>
                <c:ptCount val="1"/>
                <c:pt idx="0">
                  <c:v>Whitespace (Rs Cr)</c:v>
                </c:pt>
              </c:strCache>
            </c:strRef>
          </c:tx>
          <c:spPr>
            <a:solidFill>
              <a:srgbClr val="e8f4f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OUT_Whitespace!$A$5:$A$9</c:f>
              <c:strCache>
                <c:ptCount val="5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  <c:pt idx="4">
                  <c:v>Tier 5 / Rural</c:v>
                </c:pt>
              </c:strCache>
            </c:strRef>
          </c:cat>
          <c:val>
            <c:numRef>
              <c:f>OUT_Whitespace!$E$5:$E$9</c:f>
              <c:numCache>
                <c:formatCode>#,##0;\(#,##0\);\-</c:formatCode>
                <c:ptCount val="5"/>
                <c:pt idx="0">
                  <c:v>186.3459552</c:v>
                </c:pt>
                <c:pt idx="1">
                  <c:v>91.2949924</c:v>
                </c:pt>
                <c:pt idx="2">
                  <c:v>35.1607902</c:v>
                </c:pt>
                <c:pt idx="3">
                  <c:v>13.0358357</c:v>
                </c:pt>
                <c:pt idx="4">
                  <c:v>3.6547203</c:v>
                </c:pt>
              </c:numCache>
            </c:numRef>
          </c:val>
        </c:ser>
        <c:gapWidth val="150"/>
        <c:overlap val="100"/>
        <c:axId val="70780745"/>
        <c:axId val="59829980"/>
      </c:barChart>
      <c:catAx>
        <c:axId val="707807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29980"/>
        <c:crosses val="autoZero"/>
        <c:auto val="1"/>
        <c:lblAlgn val="ctr"/>
        <c:lblOffset val="100"/>
        <c:noMultiLvlLbl val="0"/>
      </c:catAx>
      <c:valAx>
        <c:axId val="598299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807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13</xdr:col>
      <xdr:colOff>581760</xdr:colOff>
      <xdr:row>30</xdr:row>
      <xdr:rowOff>86400</xdr:rowOff>
    </xdr:to>
    <xdr:graphicFrame>
      <xdr:nvGraphicFramePr>
        <xdr:cNvPr id="0" name="Chart 1"/>
        <xdr:cNvGraphicFramePr/>
      </xdr:nvGraphicFramePr>
      <xdr:xfrm>
        <a:off x="141120" y="819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13</xdr:col>
      <xdr:colOff>581760</xdr:colOff>
      <xdr:row>30</xdr:row>
      <xdr:rowOff>86400</xdr:rowOff>
    </xdr:to>
    <xdr:graphicFrame>
      <xdr:nvGraphicFramePr>
        <xdr:cNvPr id="1" name="Chart 1"/>
        <xdr:cNvGraphicFramePr/>
      </xdr:nvGraphicFramePr>
      <xdr:xfrm>
        <a:off x="141120" y="819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13</xdr:col>
      <xdr:colOff>581760</xdr:colOff>
      <xdr:row>30</xdr:row>
      <xdr:rowOff>86400</xdr:rowOff>
    </xdr:to>
    <xdr:graphicFrame>
      <xdr:nvGraphicFramePr>
        <xdr:cNvPr id="2" name="Chart 1"/>
        <xdr:cNvGraphicFramePr/>
      </xdr:nvGraphicFramePr>
      <xdr:xfrm>
        <a:off x="141120" y="819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12</xdr:col>
      <xdr:colOff>473400</xdr:colOff>
      <xdr:row>26</xdr:row>
      <xdr:rowOff>128520</xdr:rowOff>
    </xdr:to>
    <xdr:graphicFrame>
      <xdr:nvGraphicFramePr>
        <xdr:cNvPr id="3" name="Chart 1"/>
        <xdr:cNvGraphicFramePr/>
      </xdr:nvGraphicFramePr>
      <xdr:xfrm>
        <a:off x="141120" y="8190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13</xdr:col>
      <xdr:colOff>581760</xdr:colOff>
      <xdr:row>30</xdr:row>
      <xdr:rowOff>86400</xdr:rowOff>
    </xdr:to>
    <xdr:graphicFrame>
      <xdr:nvGraphicFramePr>
        <xdr:cNvPr id="4" name="Chart 1"/>
        <xdr:cNvGraphicFramePr/>
      </xdr:nvGraphicFramePr>
      <xdr:xfrm>
        <a:off x="141120" y="819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15</xdr:col>
      <xdr:colOff>78840</xdr:colOff>
      <xdr:row>30</xdr:row>
      <xdr:rowOff>86400</xdr:rowOff>
    </xdr:to>
    <xdr:graphicFrame>
      <xdr:nvGraphicFramePr>
        <xdr:cNvPr id="5" name="Chart 1"/>
        <xdr:cNvGraphicFramePr/>
      </xdr:nvGraphicFramePr>
      <xdr:xfrm>
        <a:off x="141120" y="8190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12</xdr:col>
      <xdr:colOff>473400</xdr:colOff>
      <xdr:row>26</xdr:row>
      <xdr:rowOff>128520</xdr:rowOff>
    </xdr:to>
    <xdr:graphicFrame>
      <xdr:nvGraphicFramePr>
        <xdr:cNvPr id="6" name="Chart 1"/>
        <xdr:cNvGraphicFramePr/>
      </xdr:nvGraphicFramePr>
      <xdr:xfrm>
        <a:off x="141120" y="8190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13</xdr:col>
      <xdr:colOff>581760</xdr:colOff>
      <xdr:row>30</xdr:row>
      <xdr:rowOff>86400</xdr:rowOff>
    </xdr:to>
    <xdr:graphicFrame>
      <xdr:nvGraphicFramePr>
        <xdr:cNvPr id="7" name="Chart 1"/>
        <xdr:cNvGraphicFramePr/>
      </xdr:nvGraphicFramePr>
      <xdr:xfrm>
        <a:off x="141120" y="819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13</xdr:col>
      <xdr:colOff>581760</xdr:colOff>
      <xdr:row>30</xdr:row>
      <xdr:rowOff>86400</xdr:rowOff>
    </xdr:to>
    <xdr:graphicFrame>
      <xdr:nvGraphicFramePr>
        <xdr:cNvPr id="8" name="Chart 1"/>
        <xdr:cNvGraphicFramePr/>
      </xdr:nvGraphicFramePr>
      <xdr:xfrm>
        <a:off x="141120" y="819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13</xdr:col>
      <xdr:colOff>581760</xdr:colOff>
      <xdr:row>30</xdr:row>
      <xdr:rowOff>86400</xdr:rowOff>
    </xdr:to>
    <xdr:graphicFrame>
      <xdr:nvGraphicFramePr>
        <xdr:cNvPr id="9" name="Chart 1"/>
        <xdr:cNvGraphicFramePr/>
      </xdr:nvGraphicFramePr>
      <xdr:xfrm>
        <a:off x="141120" y="819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7</xdr:col>
      <xdr:colOff>338040</xdr:colOff>
      <xdr:row>30</xdr:row>
      <xdr:rowOff>86400</xdr:rowOff>
    </xdr:to>
    <xdr:graphicFrame>
      <xdr:nvGraphicFramePr>
        <xdr:cNvPr id="10" name="Chart 1"/>
        <xdr:cNvGraphicFramePr/>
      </xdr:nvGraphicFramePr>
      <xdr:xfrm>
        <a:off x="141120" y="81900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11</xdr:col>
      <xdr:colOff>67320</xdr:colOff>
      <xdr:row>30</xdr:row>
      <xdr:rowOff>86400</xdr:rowOff>
    </xdr:to>
    <xdr:graphicFrame>
      <xdr:nvGraphicFramePr>
        <xdr:cNvPr id="11" name="Chart 1"/>
        <xdr:cNvGraphicFramePr/>
      </xdr:nvGraphicFramePr>
      <xdr:xfrm>
        <a:off x="141120" y="819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13</xdr:col>
      <xdr:colOff>581760</xdr:colOff>
      <xdr:row>26</xdr:row>
      <xdr:rowOff>128520</xdr:rowOff>
    </xdr:to>
    <xdr:graphicFrame>
      <xdr:nvGraphicFramePr>
        <xdr:cNvPr id="12" name="Chart 1"/>
        <xdr:cNvGraphicFramePr/>
      </xdr:nvGraphicFramePr>
      <xdr:xfrm>
        <a:off x="141120" y="8190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13</xdr:col>
      <xdr:colOff>581760</xdr:colOff>
      <xdr:row>30</xdr:row>
      <xdr:rowOff>86400</xdr:rowOff>
    </xdr:to>
    <xdr:graphicFrame>
      <xdr:nvGraphicFramePr>
        <xdr:cNvPr id="13" name="Chart 1"/>
        <xdr:cNvGraphicFramePr/>
      </xdr:nvGraphicFramePr>
      <xdr:xfrm>
        <a:off x="141120" y="819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34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8" min="6" style="1" width="1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</row>
    <row r="5" customFormat="false" ht="25.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  <c r="G5" s="6"/>
      <c r="H5" s="6"/>
    </row>
    <row r="6" customFormat="false" ht="25.5" hidden="false" customHeight="true" outlineLevel="0" collapsed="false">
      <c r="A6" s="5" t="s">
        <v>3</v>
      </c>
      <c r="B6" s="6" t="s">
        <v>5</v>
      </c>
      <c r="C6" s="6"/>
      <c r="D6" s="6"/>
      <c r="E6" s="6"/>
      <c r="F6" s="6"/>
      <c r="G6" s="6"/>
      <c r="H6" s="6"/>
    </row>
    <row r="7" customFormat="false" ht="25.5" hidden="false" customHeight="true" outlineLevel="0" collapsed="false">
      <c r="A7" s="5" t="s">
        <v>3</v>
      </c>
      <c r="B7" s="6" t="s">
        <v>6</v>
      </c>
      <c r="C7" s="6"/>
      <c r="D7" s="6"/>
      <c r="E7" s="6"/>
      <c r="F7" s="6"/>
      <c r="G7" s="6"/>
      <c r="H7" s="6"/>
    </row>
    <row r="8" customFormat="false" ht="25.5" hidden="false" customHeight="true" outlineLevel="0" collapsed="false">
      <c r="A8" s="5" t="s">
        <v>3</v>
      </c>
      <c r="B8" s="6" t="s">
        <v>7</v>
      </c>
      <c r="C8" s="6"/>
      <c r="D8" s="6"/>
      <c r="E8" s="6"/>
      <c r="F8" s="6"/>
      <c r="G8" s="6"/>
      <c r="H8" s="6"/>
    </row>
    <row r="10" customFormat="false" ht="15" hidden="false" customHeight="true" outlineLevel="0" collapsed="false">
      <c r="A10" s="4" t="s">
        <v>8</v>
      </c>
    </row>
    <row r="11" customFormat="false" ht="15" hidden="false" customHeight="true" outlineLevel="0" collapsed="false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</row>
    <row r="12" customFormat="false" ht="15" hidden="false" customHeight="true" outlineLevel="0" collapsed="false">
      <c r="A12" s="8" t="n">
        <v>1</v>
      </c>
      <c r="B12" s="9" t="s">
        <v>14</v>
      </c>
      <c r="C12" s="9" t="s">
        <v>15</v>
      </c>
      <c r="D12" s="9" t="s">
        <v>16</v>
      </c>
      <c r="E12" s="9" t="s">
        <v>17</v>
      </c>
    </row>
    <row r="13" customFormat="false" ht="15" hidden="false" customHeight="true" outlineLevel="0" collapsed="false">
      <c r="A13" s="8" t="n">
        <v>2</v>
      </c>
      <c r="B13" s="9" t="s">
        <v>14</v>
      </c>
      <c r="C13" s="9" t="s">
        <v>18</v>
      </c>
      <c r="D13" s="9" t="s">
        <v>19</v>
      </c>
      <c r="E13" s="9" t="s">
        <v>20</v>
      </c>
    </row>
    <row r="14" customFormat="false" ht="15" hidden="false" customHeight="true" outlineLevel="0" collapsed="false">
      <c r="A14" s="8" t="n">
        <v>3</v>
      </c>
      <c r="B14" s="9" t="s">
        <v>21</v>
      </c>
      <c r="C14" s="9" t="s">
        <v>22</v>
      </c>
      <c r="D14" s="9" t="s">
        <v>23</v>
      </c>
      <c r="E14" s="9" t="s">
        <v>24</v>
      </c>
    </row>
    <row r="15" customFormat="false" ht="15" hidden="false" customHeight="true" outlineLevel="0" collapsed="false">
      <c r="A15" s="8" t="n">
        <v>4</v>
      </c>
      <c r="B15" s="9" t="s">
        <v>21</v>
      </c>
      <c r="C15" s="9" t="s">
        <v>25</v>
      </c>
      <c r="D15" s="9" t="s">
        <v>26</v>
      </c>
      <c r="E15" s="9" t="s">
        <v>24</v>
      </c>
    </row>
    <row r="16" customFormat="false" ht="15" hidden="false" customHeight="true" outlineLevel="0" collapsed="false">
      <c r="A16" s="8" t="n">
        <v>5</v>
      </c>
      <c r="B16" s="9" t="s">
        <v>21</v>
      </c>
      <c r="C16" s="9" t="s">
        <v>27</v>
      </c>
      <c r="D16" s="9" t="s">
        <v>28</v>
      </c>
      <c r="E16" s="9" t="s">
        <v>24</v>
      </c>
    </row>
    <row r="17" customFormat="false" ht="15" hidden="false" customHeight="true" outlineLevel="0" collapsed="false">
      <c r="A17" s="8" t="n">
        <v>6</v>
      </c>
      <c r="B17" s="9" t="s">
        <v>29</v>
      </c>
      <c r="C17" s="9" t="s">
        <v>30</v>
      </c>
      <c r="D17" s="9" t="s">
        <v>31</v>
      </c>
      <c r="E17" s="9" t="s">
        <v>24</v>
      </c>
    </row>
    <row r="18" customFormat="false" ht="15" hidden="false" customHeight="true" outlineLevel="0" collapsed="false">
      <c r="A18" s="8" t="n">
        <v>7</v>
      </c>
      <c r="B18" s="9" t="s">
        <v>29</v>
      </c>
      <c r="C18" s="9" t="s">
        <v>32</v>
      </c>
      <c r="D18" s="9" t="s">
        <v>33</v>
      </c>
      <c r="E18" s="9" t="s">
        <v>24</v>
      </c>
    </row>
    <row r="19" customFormat="false" ht="15" hidden="false" customHeight="true" outlineLevel="0" collapsed="false">
      <c r="A19" s="8" t="n">
        <v>8</v>
      </c>
      <c r="B19" s="9" t="s">
        <v>29</v>
      </c>
      <c r="C19" s="9" t="s">
        <v>34</v>
      </c>
      <c r="D19" s="9" t="s">
        <v>35</v>
      </c>
      <c r="E19" s="9" t="s">
        <v>36</v>
      </c>
    </row>
    <row r="20" customFormat="false" ht="15" hidden="false" customHeight="true" outlineLevel="0" collapsed="false">
      <c r="A20" s="8" t="n">
        <v>9</v>
      </c>
      <c r="B20" s="9" t="s">
        <v>37</v>
      </c>
      <c r="C20" s="9" t="s">
        <v>38</v>
      </c>
      <c r="D20" s="9" t="s">
        <v>39</v>
      </c>
      <c r="E20" s="9" t="s">
        <v>40</v>
      </c>
    </row>
    <row r="21" customFormat="false" ht="15" hidden="false" customHeight="true" outlineLevel="0" collapsed="false">
      <c r="A21" s="8" t="n">
        <v>10</v>
      </c>
      <c r="B21" s="9" t="s">
        <v>37</v>
      </c>
      <c r="C21" s="9" t="s">
        <v>41</v>
      </c>
      <c r="D21" s="9" t="s">
        <v>42</v>
      </c>
      <c r="E21" s="9" t="s">
        <v>40</v>
      </c>
    </row>
    <row r="22" customFormat="false" ht="15" hidden="false" customHeight="true" outlineLevel="0" collapsed="false">
      <c r="A22" s="8" t="n">
        <v>11</v>
      </c>
      <c r="B22" s="9" t="s">
        <v>37</v>
      </c>
      <c r="C22" s="9" t="s">
        <v>43</v>
      </c>
      <c r="D22" s="9" t="s">
        <v>44</v>
      </c>
      <c r="E22" s="9" t="s">
        <v>45</v>
      </c>
    </row>
    <row r="23" customFormat="false" ht="15" hidden="false" customHeight="true" outlineLevel="0" collapsed="false">
      <c r="A23" s="8" t="n">
        <v>12</v>
      </c>
      <c r="B23" s="9" t="s">
        <v>37</v>
      </c>
      <c r="C23" s="9" t="s">
        <v>46</v>
      </c>
      <c r="D23" s="9" t="s">
        <v>39</v>
      </c>
      <c r="E23" s="9" t="s">
        <v>40</v>
      </c>
    </row>
    <row r="24" customFormat="false" ht="15" hidden="false" customHeight="true" outlineLevel="0" collapsed="false">
      <c r="A24" s="8" t="n">
        <v>13</v>
      </c>
      <c r="B24" s="9" t="s">
        <v>37</v>
      </c>
      <c r="C24" s="9" t="s">
        <v>47</v>
      </c>
      <c r="D24" s="9" t="s">
        <v>48</v>
      </c>
      <c r="E24" s="9" t="s">
        <v>49</v>
      </c>
    </row>
    <row r="25" customFormat="false" ht="15" hidden="false" customHeight="true" outlineLevel="0" collapsed="false">
      <c r="A25" s="10" t="n">
        <v>14</v>
      </c>
      <c r="B25" s="11" t="s">
        <v>50</v>
      </c>
      <c r="C25" s="11" t="s">
        <v>51</v>
      </c>
      <c r="D25" s="11" t="s">
        <v>52</v>
      </c>
      <c r="E25" s="11" t="s">
        <v>49</v>
      </c>
    </row>
    <row r="26" customFormat="false" ht="15" hidden="false" customHeight="true" outlineLevel="0" collapsed="false">
      <c r="A26" s="10" t="n">
        <v>15</v>
      </c>
      <c r="B26" s="11" t="s">
        <v>50</v>
      </c>
      <c r="C26" s="11" t="s">
        <v>53</v>
      </c>
      <c r="D26" s="11" t="s">
        <v>39</v>
      </c>
      <c r="E26" s="11" t="s">
        <v>49</v>
      </c>
    </row>
    <row r="27" customFormat="false" ht="15" hidden="false" customHeight="true" outlineLevel="0" collapsed="false">
      <c r="A27" s="10" t="n">
        <v>16</v>
      </c>
      <c r="B27" s="11" t="s">
        <v>50</v>
      </c>
      <c r="C27" s="11" t="s">
        <v>54</v>
      </c>
      <c r="D27" s="11" t="s">
        <v>55</v>
      </c>
      <c r="E27" s="11" t="s">
        <v>40</v>
      </c>
    </row>
    <row r="28" customFormat="false" ht="15" hidden="false" customHeight="true" outlineLevel="0" collapsed="false">
      <c r="A28" s="10" t="n">
        <v>17</v>
      </c>
      <c r="B28" s="11" t="s">
        <v>50</v>
      </c>
      <c r="C28" s="11" t="s">
        <v>56</v>
      </c>
      <c r="D28" s="11" t="s">
        <v>57</v>
      </c>
      <c r="E28" s="11" t="s">
        <v>49</v>
      </c>
    </row>
    <row r="29" customFormat="false" ht="15" hidden="false" customHeight="true" outlineLevel="0" collapsed="false">
      <c r="A29" s="8" t="n">
        <v>18</v>
      </c>
      <c r="B29" s="9" t="s">
        <v>58</v>
      </c>
      <c r="C29" s="9" t="s">
        <v>59</v>
      </c>
      <c r="D29" s="9" t="s">
        <v>60</v>
      </c>
      <c r="E29" s="9" t="s">
        <v>61</v>
      </c>
    </row>
    <row r="30" customFormat="false" ht="15" hidden="false" customHeight="true" outlineLevel="0" collapsed="false">
      <c r="A30" s="8" t="n">
        <v>19</v>
      </c>
      <c r="B30" s="9" t="s">
        <v>58</v>
      </c>
      <c r="C30" s="9" t="s">
        <v>62</v>
      </c>
      <c r="D30" s="9" t="s">
        <v>63</v>
      </c>
      <c r="E30" s="9" t="s">
        <v>61</v>
      </c>
    </row>
    <row r="31" customFormat="false" ht="15" hidden="false" customHeight="true" outlineLevel="0" collapsed="false">
      <c r="A31" s="8" t="n">
        <v>20</v>
      </c>
      <c r="B31" s="9" t="s">
        <v>64</v>
      </c>
      <c r="C31" s="9" t="s">
        <v>65</v>
      </c>
      <c r="D31" s="9" t="s">
        <v>66</v>
      </c>
      <c r="E31" s="9" t="s">
        <v>67</v>
      </c>
    </row>
    <row r="32" customFormat="false" ht="15" hidden="false" customHeight="true" outlineLevel="0" collapsed="false">
      <c r="A32" s="8" t="n">
        <v>21</v>
      </c>
      <c r="B32" s="9" t="s">
        <v>64</v>
      </c>
      <c r="C32" s="9" t="s">
        <v>68</v>
      </c>
      <c r="D32" s="9" t="s">
        <v>69</v>
      </c>
      <c r="E32" s="9" t="s">
        <v>67</v>
      </c>
    </row>
    <row r="33" customFormat="false" ht="15" hidden="false" customHeight="true" outlineLevel="0" collapsed="false">
      <c r="A33" s="8" t="n">
        <v>22</v>
      </c>
      <c r="B33" s="9" t="s">
        <v>70</v>
      </c>
      <c r="C33" s="9" t="s">
        <v>71</v>
      </c>
      <c r="D33" s="9" t="s">
        <v>72</v>
      </c>
      <c r="E33" s="9" t="s">
        <v>73</v>
      </c>
    </row>
    <row r="35" customFormat="false" ht="15" hidden="false" customHeight="true" outlineLevel="0" collapsed="false">
      <c r="A35" s="4" t="s">
        <v>74</v>
      </c>
    </row>
    <row r="36" customFormat="false" ht="15" hidden="false" customHeight="true" outlineLevel="0" collapsed="false">
      <c r="A36" s="12" t="s">
        <v>75</v>
      </c>
      <c r="B36" s="13" t="s">
        <v>76</v>
      </c>
      <c r="C36" s="13"/>
      <c r="D36" s="13"/>
      <c r="E36" s="13"/>
      <c r="F36" s="13"/>
      <c r="G36" s="13"/>
      <c r="H36" s="13"/>
    </row>
    <row r="37" customFormat="false" ht="15" hidden="false" customHeight="true" outlineLevel="0" collapsed="false">
      <c r="A37" s="14" t="s">
        <v>77</v>
      </c>
      <c r="B37" s="13" t="s">
        <v>78</v>
      </c>
      <c r="C37" s="13"/>
      <c r="D37" s="13"/>
      <c r="E37" s="13"/>
      <c r="F37" s="13"/>
      <c r="G37" s="13"/>
      <c r="H37" s="13"/>
    </row>
    <row r="38" customFormat="false" ht="15" hidden="false" customHeight="true" outlineLevel="0" collapsed="false">
      <c r="A38" s="15" t="s">
        <v>79</v>
      </c>
      <c r="B38" s="13" t="s">
        <v>80</v>
      </c>
      <c r="C38" s="13"/>
      <c r="D38" s="13"/>
      <c r="E38" s="13"/>
      <c r="F38" s="13"/>
      <c r="G38" s="13"/>
      <c r="H38" s="13"/>
    </row>
  </sheetData>
  <mergeCells count="9">
    <mergeCell ref="A1:H1"/>
    <mergeCell ref="A2:H2"/>
    <mergeCell ref="B5:H5"/>
    <mergeCell ref="B6:H6"/>
    <mergeCell ref="B7:H7"/>
    <mergeCell ref="B8:H8"/>
    <mergeCell ref="B36:H36"/>
    <mergeCell ref="B37:H37"/>
    <mergeCell ref="B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12"/>
  </cols>
  <sheetData>
    <row r="2" customFormat="false" ht="27.75" hidden="false" customHeight="true" outlineLevel="0" collapsed="false">
      <c r="B2" s="16" t="s">
        <v>81</v>
      </c>
    </row>
    <row r="3" customFormat="false" ht="15.75" hidden="false" customHeight="true" outlineLevel="0" collapsed="false">
      <c r="B3" s="17" t="s">
        <v>82</v>
      </c>
    </row>
    <row r="5" customFormat="false" ht="15" hidden="false" customHeight="false" outlineLevel="0" collapsed="false">
      <c r="B5" s="18" t="s">
        <v>83</v>
      </c>
      <c r="C5" s="18" t="s">
        <v>84</v>
      </c>
      <c r="D5" s="18" t="s">
        <v>85</v>
      </c>
      <c r="E5" s="18" t="s">
        <v>10</v>
      </c>
    </row>
    <row r="6" customFormat="false" ht="15" hidden="false" customHeight="false" outlineLevel="0" collapsed="false">
      <c r="B6" s="19" t="s">
        <v>86</v>
      </c>
      <c r="C6" s="20" t="s">
        <v>87</v>
      </c>
      <c r="D6" s="21" t="s">
        <v>88</v>
      </c>
      <c r="E6" s="20" t="s">
        <v>21</v>
      </c>
    </row>
    <row r="7" customFormat="false" ht="15" hidden="false" customHeight="false" outlineLevel="0" collapsed="false">
      <c r="B7" s="19" t="s">
        <v>89</v>
      </c>
      <c r="C7" s="20" t="s">
        <v>90</v>
      </c>
      <c r="D7" s="21" t="s">
        <v>88</v>
      </c>
      <c r="E7" s="20" t="s">
        <v>21</v>
      </c>
    </row>
    <row r="8" customFormat="false" ht="15" hidden="false" customHeight="false" outlineLevel="0" collapsed="false">
      <c r="B8" s="19" t="s">
        <v>91</v>
      </c>
      <c r="C8" s="20" t="s">
        <v>92</v>
      </c>
      <c r="D8" s="21" t="s">
        <v>88</v>
      </c>
      <c r="E8" s="20" t="s">
        <v>37</v>
      </c>
    </row>
    <row r="9" customFormat="false" ht="15" hidden="false" customHeight="false" outlineLevel="0" collapsed="false">
      <c r="B9" s="19" t="s">
        <v>93</v>
      </c>
      <c r="C9" s="20" t="s">
        <v>94</v>
      </c>
      <c r="D9" s="21" t="s">
        <v>95</v>
      </c>
      <c r="E9" s="20" t="s">
        <v>37</v>
      </c>
    </row>
    <row r="10" customFormat="false" ht="15" hidden="false" customHeight="false" outlineLevel="0" collapsed="false">
      <c r="B10" s="22" t="s">
        <v>96</v>
      </c>
      <c r="C10" s="23" t="s">
        <v>97</v>
      </c>
      <c r="D10" s="24" t="s">
        <v>98</v>
      </c>
      <c r="E10" s="25" t="s">
        <v>50</v>
      </c>
    </row>
    <row r="11" customFormat="false" ht="15" hidden="false" customHeight="false" outlineLevel="0" collapsed="false">
      <c r="B11" s="22" t="s">
        <v>99</v>
      </c>
      <c r="C11" s="23" t="s">
        <v>100</v>
      </c>
      <c r="D11" s="24" t="s">
        <v>88</v>
      </c>
      <c r="E11" s="25" t="s">
        <v>50</v>
      </c>
    </row>
    <row r="12" customFormat="false" ht="15" hidden="false" customHeight="false" outlineLevel="0" collapsed="false">
      <c r="B12" s="19" t="s">
        <v>101</v>
      </c>
      <c r="C12" s="20" t="s">
        <v>102</v>
      </c>
      <c r="D12" s="21" t="s">
        <v>103</v>
      </c>
      <c r="E12" s="20" t="s">
        <v>50</v>
      </c>
    </row>
    <row r="13" customFormat="false" ht="15" hidden="false" customHeight="false" outlineLevel="0" collapsed="false">
      <c r="B13" s="19" t="s">
        <v>104</v>
      </c>
      <c r="C13" s="20" t="s">
        <v>105</v>
      </c>
      <c r="D13" s="21" t="s">
        <v>95</v>
      </c>
      <c r="E13" s="20" t="s">
        <v>58</v>
      </c>
    </row>
    <row r="14" customFormat="false" ht="15" hidden="false" customHeight="false" outlineLevel="0" collapsed="false">
      <c r="B14" s="19" t="s">
        <v>106</v>
      </c>
      <c r="C14" s="20" t="s">
        <v>107</v>
      </c>
      <c r="D14" s="21" t="s">
        <v>95</v>
      </c>
      <c r="E14" s="20" t="s">
        <v>58</v>
      </c>
    </row>
    <row r="15" customFormat="false" ht="15" hidden="false" customHeight="false" outlineLevel="0" collapsed="false">
      <c r="B15" s="19" t="s">
        <v>108</v>
      </c>
      <c r="C15" s="20" t="s">
        <v>109</v>
      </c>
      <c r="D15" s="21" t="s">
        <v>95</v>
      </c>
      <c r="E15" s="20" t="s">
        <v>58</v>
      </c>
    </row>
    <row r="16" customFormat="false" ht="15" hidden="false" customHeight="false" outlineLevel="0" collapsed="false">
      <c r="B16" s="22" t="s">
        <v>110</v>
      </c>
      <c r="C16" s="23" t="s">
        <v>111</v>
      </c>
      <c r="D16" s="24" t="s">
        <v>88</v>
      </c>
      <c r="E16" s="25" t="s">
        <v>64</v>
      </c>
    </row>
    <row r="17" customFormat="false" ht="15" hidden="false" customHeight="false" outlineLevel="0" collapsed="false">
      <c r="B17" s="19" t="s">
        <v>112</v>
      </c>
      <c r="C17" s="20" t="s">
        <v>113</v>
      </c>
      <c r="D17" s="21" t="s">
        <v>95</v>
      </c>
      <c r="E17" s="20" t="s">
        <v>64</v>
      </c>
    </row>
    <row r="18" customFormat="false" ht="15" hidden="false" customHeight="false" outlineLevel="0" collapsed="false">
      <c r="B18" s="19" t="s">
        <v>114</v>
      </c>
      <c r="C18" s="20" t="s">
        <v>115</v>
      </c>
      <c r="D18" s="21" t="s">
        <v>95</v>
      </c>
      <c r="E18" s="20" t="s">
        <v>37</v>
      </c>
    </row>
    <row r="19" customFormat="false" ht="15" hidden="false" customHeight="false" outlineLevel="0" collapsed="false">
      <c r="B19" s="19" t="s">
        <v>116</v>
      </c>
      <c r="C19" s="20" t="s">
        <v>117</v>
      </c>
      <c r="D19" s="21" t="s">
        <v>118</v>
      </c>
      <c r="E19" s="20" t="s">
        <v>50</v>
      </c>
    </row>
    <row r="21" customFormat="false" ht="15" hidden="false" customHeight="false" outlineLevel="0" collapsed="false">
      <c r="B21" s="26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8"/>
    <col collapsed="false" customWidth="true" hidden="false" outlineLevel="0" max="5" min="3" style="1" width="11"/>
    <col collapsed="false" customWidth="true" hidden="false" outlineLevel="0" max="6" min="6" style="1" width="12"/>
  </cols>
  <sheetData>
    <row r="1" customFormat="false" ht="30" hidden="false" customHeight="true" outlineLevel="0" collapsed="false">
      <c r="A1" s="2" t="s">
        <v>120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121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122</v>
      </c>
      <c r="C4" s="27" t="s">
        <v>123</v>
      </c>
      <c r="D4" s="28" t="s">
        <v>124</v>
      </c>
    </row>
    <row r="6" customFormat="false" ht="15" hidden="false" customHeight="true" outlineLevel="0" collapsed="false">
      <c r="A6" s="7" t="s">
        <v>125</v>
      </c>
      <c r="B6" s="7" t="s">
        <v>126</v>
      </c>
      <c r="C6" s="7" t="s">
        <v>127</v>
      </c>
      <c r="D6" s="7" t="s">
        <v>123</v>
      </c>
      <c r="E6" s="7" t="s">
        <v>128</v>
      </c>
      <c r="F6" s="7" t="s">
        <v>129</v>
      </c>
    </row>
    <row r="7" customFormat="false" ht="15" hidden="false" customHeight="true" outlineLevel="0" collapsed="false">
      <c r="A7" s="9" t="s">
        <v>130</v>
      </c>
      <c r="B7" s="29" t="s">
        <v>131</v>
      </c>
      <c r="C7" s="30" t="n">
        <v>0.07</v>
      </c>
      <c r="D7" s="30" t="n">
        <v>0.09</v>
      </c>
      <c r="E7" s="30" t="n">
        <v>0.11</v>
      </c>
      <c r="F7" s="31" t="n">
        <f aca="false">IF($C$4="Bear",C7,IF($C$4="Bull",E7,D7))</f>
        <v>0.09</v>
      </c>
    </row>
    <row r="8" customFormat="false" ht="15" hidden="false" customHeight="true" outlineLevel="0" collapsed="false">
      <c r="A8" s="9" t="s">
        <v>132</v>
      </c>
      <c r="B8" s="29" t="s">
        <v>131</v>
      </c>
      <c r="C8" s="30" t="n">
        <v>0.08</v>
      </c>
      <c r="D8" s="30" t="n">
        <v>0.11</v>
      </c>
      <c r="E8" s="30" t="n">
        <v>0.13</v>
      </c>
      <c r="F8" s="31" t="n">
        <f aca="false">IF($C$4="Bear",C8,IF($C$4="Bull",E8,D8))</f>
        <v>0.11</v>
      </c>
    </row>
    <row r="9" customFormat="false" ht="15" hidden="false" customHeight="true" outlineLevel="0" collapsed="false">
      <c r="A9" s="9" t="s">
        <v>133</v>
      </c>
      <c r="B9" s="29" t="s">
        <v>131</v>
      </c>
      <c r="C9" s="30" t="n">
        <v>0.09</v>
      </c>
      <c r="D9" s="30" t="n">
        <v>0.12</v>
      </c>
      <c r="E9" s="30" t="n">
        <v>0.15</v>
      </c>
      <c r="F9" s="31" t="n">
        <f aca="false">IF($C$4="Bear",C9,IF($C$4="Bull",E9,D9))</f>
        <v>0.12</v>
      </c>
    </row>
    <row r="10" customFormat="false" ht="15" hidden="false" customHeight="true" outlineLevel="0" collapsed="false">
      <c r="A10" s="9" t="s">
        <v>134</v>
      </c>
      <c r="B10" s="29" t="s">
        <v>131</v>
      </c>
      <c r="C10" s="30" t="n">
        <v>0.1</v>
      </c>
      <c r="D10" s="30" t="n">
        <v>0.13</v>
      </c>
      <c r="E10" s="30" t="n">
        <v>0.16</v>
      </c>
      <c r="F10" s="31" t="n">
        <f aca="false">IF($C$4="Bear",C10,IF($C$4="Bull",E10,D10))</f>
        <v>0.13</v>
      </c>
    </row>
    <row r="11" customFormat="false" ht="15" hidden="false" customHeight="true" outlineLevel="0" collapsed="false">
      <c r="A11" s="9" t="s">
        <v>135</v>
      </c>
      <c r="B11" s="29" t="s">
        <v>131</v>
      </c>
      <c r="C11" s="30" t="n">
        <v>0.08</v>
      </c>
      <c r="D11" s="30" t="n">
        <v>0.11</v>
      </c>
      <c r="E11" s="30" t="n">
        <v>0.14</v>
      </c>
      <c r="F11" s="31" t="n">
        <f aca="false">IF($C$4="Bear",C11,IF($C$4="Bull",E11,D11))</f>
        <v>0.11</v>
      </c>
    </row>
    <row r="12" customFormat="false" ht="15" hidden="false" customHeight="true" outlineLevel="0" collapsed="false">
      <c r="A12" s="9" t="s">
        <v>136</v>
      </c>
      <c r="B12" s="29" t="s">
        <v>137</v>
      </c>
      <c r="C12" s="32" t="n">
        <v>5</v>
      </c>
      <c r="D12" s="32" t="n">
        <v>5</v>
      </c>
      <c r="E12" s="32" t="n">
        <v>5</v>
      </c>
      <c r="F12" s="33" t="n">
        <f aca="false">IF($C$4="Bear",C12,IF($C$4="Bull",E12,D12))</f>
        <v>5</v>
      </c>
    </row>
    <row r="13" customFormat="false" ht="15" hidden="false" customHeight="true" outlineLevel="0" collapsed="false">
      <c r="A13" s="9" t="s">
        <v>138</v>
      </c>
      <c r="B13" s="29" t="s">
        <v>139</v>
      </c>
      <c r="C13" s="32" t="n">
        <v>6</v>
      </c>
      <c r="D13" s="32" t="n">
        <v>5</v>
      </c>
      <c r="E13" s="32" t="n">
        <v>4.5</v>
      </c>
      <c r="F13" s="33" t="n">
        <f aca="false">IF($C$4="Bear",C13,IF($C$4="Bull",E13,D13))</f>
        <v>5</v>
      </c>
    </row>
    <row r="14" customFormat="false" ht="15" hidden="false" customHeight="true" outlineLevel="0" collapsed="false">
      <c r="A14" s="9" t="s">
        <v>140</v>
      </c>
      <c r="B14" s="29" t="s">
        <v>139</v>
      </c>
      <c r="C14" s="32" t="n">
        <v>4.5</v>
      </c>
      <c r="D14" s="32" t="n">
        <v>4</v>
      </c>
      <c r="E14" s="32" t="n">
        <v>3.6</v>
      </c>
      <c r="F14" s="33" t="n">
        <f aca="false">IF($C$4="Bear",C14,IF($C$4="Bull",E14,D14))</f>
        <v>4</v>
      </c>
    </row>
    <row r="15" customFormat="false" ht="15" hidden="false" customHeight="true" outlineLevel="0" collapsed="false">
      <c r="A15" s="9" t="s">
        <v>141</v>
      </c>
      <c r="B15" s="29" t="s">
        <v>139</v>
      </c>
      <c r="C15" s="32" t="n">
        <v>3.5</v>
      </c>
      <c r="D15" s="32" t="n">
        <v>3</v>
      </c>
      <c r="E15" s="32" t="n">
        <v>2.7</v>
      </c>
      <c r="F15" s="33" t="n">
        <f aca="false">IF($C$4="Bear",C15,IF($C$4="Bull",E15,D15))</f>
        <v>3</v>
      </c>
    </row>
    <row r="16" customFormat="false" ht="15" hidden="false" customHeight="true" outlineLevel="0" collapsed="false">
      <c r="A16" s="9" t="s">
        <v>142</v>
      </c>
      <c r="B16" s="29" t="s">
        <v>139</v>
      </c>
      <c r="C16" s="32" t="n">
        <v>2.8</v>
      </c>
      <c r="D16" s="32" t="n">
        <v>2.4</v>
      </c>
      <c r="E16" s="32" t="n">
        <v>2.1</v>
      </c>
      <c r="F16" s="33" t="n">
        <f aca="false">IF($C$4="Bear",C16,IF($C$4="Bull",E16,D16))</f>
        <v>2.4</v>
      </c>
    </row>
    <row r="17" customFormat="false" ht="15" hidden="false" customHeight="true" outlineLevel="0" collapsed="false">
      <c r="A17" s="9" t="s">
        <v>143</v>
      </c>
      <c r="B17" s="29" t="s">
        <v>139</v>
      </c>
      <c r="C17" s="32" t="n">
        <v>2.2</v>
      </c>
      <c r="D17" s="32" t="n">
        <v>1.9</v>
      </c>
      <c r="E17" s="32" t="n">
        <v>1.7</v>
      </c>
      <c r="F17" s="33" t="n">
        <f aca="false">IF($C$4="Bear",C17,IF($C$4="Bull",E17,D17))</f>
        <v>1.9</v>
      </c>
    </row>
    <row r="18" customFormat="false" ht="15" hidden="false" customHeight="true" outlineLevel="0" collapsed="false">
      <c r="A18" s="9" t="s">
        <v>144</v>
      </c>
      <c r="B18" s="29" t="s">
        <v>131</v>
      </c>
      <c r="C18" s="30" t="n">
        <v>0.18</v>
      </c>
      <c r="D18" s="30" t="n">
        <v>0.22</v>
      </c>
      <c r="E18" s="30" t="n">
        <v>0.26</v>
      </c>
      <c r="F18" s="31" t="n">
        <f aca="false">IF($C$4="Bear",C18,IF($C$4="Bull",E18,D18))</f>
        <v>0.22</v>
      </c>
    </row>
    <row r="19" customFormat="false" ht="15" hidden="false" customHeight="true" outlineLevel="0" collapsed="false">
      <c r="A19" s="9" t="s">
        <v>145</v>
      </c>
      <c r="B19" s="29" t="s">
        <v>131</v>
      </c>
      <c r="C19" s="30" t="n">
        <v>0.1</v>
      </c>
      <c r="D19" s="30" t="n">
        <v>0.18</v>
      </c>
      <c r="E19" s="30" t="n">
        <v>0.28</v>
      </c>
      <c r="F19" s="31" t="n">
        <f aca="false">IF($C$4="Bear",C19,IF($C$4="Bull",E19,D19))</f>
        <v>0.18</v>
      </c>
    </row>
    <row r="20" customFormat="false" ht="15" hidden="false" customHeight="true" outlineLevel="0" collapsed="false">
      <c r="A20" s="9" t="s">
        <v>146</v>
      </c>
      <c r="B20" s="29" t="s">
        <v>139</v>
      </c>
      <c r="C20" s="32" t="n">
        <v>6</v>
      </c>
      <c r="D20" s="32" t="n">
        <v>5</v>
      </c>
      <c r="E20" s="32" t="n">
        <v>4.3</v>
      </c>
      <c r="F20" s="33" t="n">
        <f aca="false">IF($C$4="Bear",C20,IF($C$4="Bull",E20,D20))</f>
        <v>5</v>
      </c>
    </row>
    <row r="21" customFormat="false" ht="15" hidden="false" customHeight="true" outlineLevel="0" collapsed="false">
      <c r="A21" s="9" t="s">
        <v>147</v>
      </c>
      <c r="B21" s="29" t="s">
        <v>137</v>
      </c>
      <c r="C21" s="32" t="n">
        <v>10</v>
      </c>
      <c r="D21" s="32" t="n">
        <v>8</v>
      </c>
      <c r="E21" s="32" t="n">
        <v>6</v>
      </c>
      <c r="F21" s="33" t="n">
        <f aca="false">IF($C$4="Bear",C21,IF($C$4="Bull",E21,D21))</f>
        <v>8</v>
      </c>
    </row>
    <row r="22" customFormat="false" ht="15" hidden="false" customHeight="true" outlineLevel="0" collapsed="false">
      <c r="A22" s="9" t="s">
        <v>148</v>
      </c>
      <c r="B22" s="29" t="s">
        <v>9</v>
      </c>
      <c r="C22" s="32" t="n">
        <v>2</v>
      </c>
      <c r="D22" s="32" t="n">
        <v>2</v>
      </c>
      <c r="E22" s="32" t="n">
        <v>2</v>
      </c>
      <c r="F22" s="33" t="n">
        <f aca="false">IF($C$4="Bear",C22,IF($C$4="Bull",E22,D22))</f>
        <v>2</v>
      </c>
    </row>
    <row r="24" customFormat="false" ht="15" hidden="false" customHeight="true" outlineLevel="0" collapsed="false">
      <c r="A24" s="34" t="s">
        <v>149</v>
      </c>
    </row>
  </sheetData>
  <mergeCells count="2">
    <mergeCell ref="A1:F1"/>
    <mergeCell ref="A2:F2"/>
  </mergeCells>
  <dataValidations count="1">
    <dataValidation allowBlank="false" errorStyle="stop" operator="between" showDropDown="false" showErrorMessage="false" showInputMessage="false" sqref="C4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4"/>
  </cols>
  <sheetData>
    <row r="1" customFormat="false" ht="30" hidden="false" customHeight="true" outlineLevel="0" collapsed="false">
      <c r="A1" s="2" t="s">
        <v>150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151</v>
      </c>
      <c r="B2" s="3"/>
      <c r="C2" s="3"/>
      <c r="D2" s="3"/>
      <c r="E2" s="3"/>
      <c r="F2" s="3"/>
      <c r="G2" s="3"/>
      <c r="H2" s="3"/>
      <c r="I2" s="3"/>
    </row>
    <row r="4" customFormat="false" ht="21.75" hidden="false" customHeight="true" outlineLevel="0" collapsed="false">
      <c r="A4" s="7" t="s">
        <v>152</v>
      </c>
      <c r="B4" s="7" t="s">
        <v>153</v>
      </c>
      <c r="C4" s="7" t="s">
        <v>154</v>
      </c>
      <c r="D4" s="7" t="s">
        <v>155</v>
      </c>
      <c r="E4" s="7" t="s">
        <v>156</v>
      </c>
      <c r="F4" s="7" t="s">
        <v>157</v>
      </c>
      <c r="G4" s="7" t="s">
        <v>158</v>
      </c>
      <c r="H4" s="7" t="s">
        <v>159</v>
      </c>
      <c r="I4" s="7" t="s">
        <v>160</v>
      </c>
    </row>
    <row r="5" customFormat="false" ht="15" hidden="false" customHeight="true" outlineLevel="0" collapsed="false">
      <c r="A5" s="35" t="s">
        <v>161</v>
      </c>
      <c r="B5" s="35" t="s">
        <v>162</v>
      </c>
      <c r="C5" s="35" t="s">
        <v>163</v>
      </c>
      <c r="D5" s="35" t="s">
        <v>162</v>
      </c>
      <c r="E5" s="35" t="s">
        <v>164</v>
      </c>
      <c r="F5" s="35" t="s">
        <v>165</v>
      </c>
      <c r="G5" s="36" t="n">
        <v>23171</v>
      </c>
      <c r="H5" s="37" t="n">
        <v>4677</v>
      </c>
      <c r="I5" s="38" t="n">
        <f aca="false">G5*H5/10000000</f>
        <v>10.8370767</v>
      </c>
    </row>
    <row r="6" customFormat="false" ht="15" hidden="false" customHeight="true" outlineLevel="0" collapsed="false">
      <c r="A6" s="35" t="s">
        <v>166</v>
      </c>
      <c r="B6" s="35" t="s">
        <v>162</v>
      </c>
      <c r="C6" s="35" t="s">
        <v>163</v>
      </c>
      <c r="D6" s="35" t="s">
        <v>162</v>
      </c>
      <c r="E6" s="35" t="s">
        <v>164</v>
      </c>
      <c r="F6" s="35" t="s">
        <v>165</v>
      </c>
      <c r="G6" s="36" t="n">
        <v>21402</v>
      </c>
      <c r="H6" s="37" t="n">
        <v>4320</v>
      </c>
      <c r="I6" s="38" t="n">
        <f aca="false">G6*H6/10000000</f>
        <v>9.245664</v>
      </c>
    </row>
    <row r="7" customFormat="false" ht="15" hidden="false" customHeight="true" outlineLevel="0" collapsed="false">
      <c r="A7" s="35" t="s">
        <v>167</v>
      </c>
      <c r="B7" s="35" t="s">
        <v>168</v>
      </c>
      <c r="C7" s="35" t="s">
        <v>169</v>
      </c>
      <c r="D7" s="35" t="s">
        <v>170</v>
      </c>
      <c r="E7" s="35" t="s">
        <v>164</v>
      </c>
      <c r="F7" s="35" t="s">
        <v>165</v>
      </c>
      <c r="G7" s="36" t="n">
        <v>17111</v>
      </c>
      <c r="H7" s="37" t="n">
        <v>3989</v>
      </c>
      <c r="I7" s="38" t="n">
        <f aca="false">G7*H7/10000000</f>
        <v>6.8255779</v>
      </c>
    </row>
    <row r="8" customFormat="false" ht="15" hidden="false" customHeight="true" outlineLevel="0" collapsed="false">
      <c r="A8" s="35" t="s">
        <v>171</v>
      </c>
      <c r="B8" s="35" t="s">
        <v>168</v>
      </c>
      <c r="C8" s="35" t="s">
        <v>169</v>
      </c>
      <c r="D8" s="35" t="s">
        <v>170</v>
      </c>
      <c r="E8" s="35" t="s">
        <v>164</v>
      </c>
      <c r="F8" s="35" t="s">
        <v>165</v>
      </c>
      <c r="G8" s="36" t="n">
        <v>21794</v>
      </c>
      <c r="H8" s="37" t="n">
        <v>4444</v>
      </c>
      <c r="I8" s="38" t="n">
        <f aca="false">G8*H8/10000000</f>
        <v>9.6852536</v>
      </c>
    </row>
    <row r="9" customFormat="false" ht="15" hidden="false" customHeight="true" outlineLevel="0" collapsed="false">
      <c r="A9" s="35" t="s">
        <v>172</v>
      </c>
      <c r="B9" s="35" t="s">
        <v>168</v>
      </c>
      <c r="C9" s="35" t="s">
        <v>169</v>
      </c>
      <c r="D9" s="35" t="s">
        <v>170</v>
      </c>
      <c r="E9" s="35" t="s">
        <v>164</v>
      </c>
      <c r="F9" s="35" t="s">
        <v>165</v>
      </c>
      <c r="G9" s="36" t="n">
        <v>17050</v>
      </c>
      <c r="H9" s="37" t="n">
        <v>3896</v>
      </c>
      <c r="I9" s="38" t="n">
        <f aca="false">G9*H9/10000000</f>
        <v>6.64268</v>
      </c>
    </row>
    <row r="10" customFormat="false" ht="15" hidden="false" customHeight="true" outlineLevel="0" collapsed="false">
      <c r="A10" s="35" t="s">
        <v>173</v>
      </c>
      <c r="B10" s="35" t="s">
        <v>162</v>
      </c>
      <c r="C10" s="35" t="s">
        <v>163</v>
      </c>
      <c r="D10" s="35" t="s">
        <v>162</v>
      </c>
      <c r="E10" s="35" t="s">
        <v>164</v>
      </c>
      <c r="F10" s="35" t="s">
        <v>165</v>
      </c>
      <c r="G10" s="36" t="n">
        <v>18970</v>
      </c>
      <c r="H10" s="37" t="n">
        <v>3945</v>
      </c>
      <c r="I10" s="38" t="n">
        <f aca="false">G10*H10/10000000</f>
        <v>7.483665</v>
      </c>
    </row>
    <row r="11" customFormat="false" ht="15" hidden="false" customHeight="true" outlineLevel="0" collapsed="false">
      <c r="A11" s="35" t="s">
        <v>174</v>
      </c>
      <c r="B11" s="35" t="s">
        <v>175</v>
      </c>
      <c r="C11" s="35" t="s">
        <v>176</v>
      </c>
      <c r="D11" s="35" t="s">
        <v>177</v>
      </c>
      <c r="E11" s="35" t="s">
        <v>164</v>
      </c>
      <c r="F11" s="35" t="s">
        <v>165</v>
      </c>
      <c r="G11" s="36" t="n">
        <v>22825</v>
      </c>
      <c r="H11" s="37" t="n">
        <v>4629</v>
      </c>
      <c r="I11" s="38" t="n">
        <f aca="false">G11*H11/10000000</f>
        <v>10.5656925</v>
      </c>
    </row>
    <row r="12" customFormat="false" ht="15" hidden="false" customHeight="true" outlineLevel="0" collapsed="false">
      <c r="A12" s="35" t="s">
        <v>178</v>
      </c>
      <c r="B12" s="35" t="s">
        <v>168</v>
      </c>
      <c r="C12" s="35" t="s">
        <v>169</v>
      </c>
      <c r="D12" s="35" t="s">
        <v>170</v>
      </c>
      <c r="E12" s="35" t="s">
        <v>164</v>
      </c>
      <c r="F12" s="35" t="s">
        <v>165</v>
      </c>
      <c r="G12" s="36" t="n">
        <v>24394</v>
      </c>
      <c r="H12" s="37" t="n">
        <v>3842</v>
      </c>
      <c r="I12" s="38" t="n">
        <f aca="false">G12*H12/10000000</f>
        <v>9.3721748</v>
      </c>
    </row>
    <row r="13" customFormat="false" ht="15" hidden="false" customHeight="true" outlineLevel="0" collapsed="false">
      <c r="A13" s="35" t="s">
        <v>179</v>
      </c>
      <c r="B13" s="35" t="s">
        <v>168</v>
      </c>
      <c r="C13" s="35" t="s">
        <v>169</v>
      </c>
      <c r="D13" s="35" t="s">
        <v>170</v>
      </c>
      <c r="E13" s="35" t="s">
        <v>164</v>
      </c>
      <c r="F13" s="35" t="s">
        <v>165</v>
      </c>
      <c r="G13" s="36" t="n">
        <v>20490</v>
      </c>
      <c r="H13" s="37" t="n">
        <v>4787</v>
      </c>
      <c r="I13" s="38" t="n">
        <f aca="false">G13*H13/10000000</f>
        <v>9.808563</v>
      </c>
    </row>
    <row r="14" customFormat="false" ht="15" hidden="false" customHeight="true" outlineLevel="0" collapsed="false">
      <c r="A14" s="35" t="s">
        <v>180</v>
      </c>
      <c r="B14" s="35" t="s">
        <v>162</v>
      </c>
      <c r="C14" s="35" t="s">
        <v>163</v>
      </c>
      <c r="D14" s="35" t="s">
        <v>162</v>
      </c>
      <c r="E14" s="35" t="s">
        <v>164</v>
      </c>
      <c r="F14" s="35" t="s">
        <v>165</v>
      </c>
      <c r="G14" s="36" t="n">
        <v>24713</v>
      </c>
      <c r="H14" s="37" t="n">
        <v>4556</v>
      </c>
      <c r="I14" s="38" t="n">
        <f aca="false">G14*H14/10000000</f>
        <v>11.2592428</v>
      </c>
    </row>
    <row r="15" customFormat="false" ht="15" hidden="false" customHeight="true" outlineLevel="0" collapsed="false">
      <c r="A15" s="35" t="s">
        <v>181</v>
      </c>
      <c r="B15" s="35" t="s">
        <v>168</v>
      </c>
      <c r="C15" s="35" t="s">
        <v>169</v>
      </c>
      <c r="D15" s="35" t="s">
        <v>170</v>
      </c>
      <c r="E15" s="35" t="s">
        <v>164</v>
      </c>
      <c r="F15" s="35" t="s">
        <v>165</v>
      </c>
      <c r="G15" s="36" t="n">
        <v>24650</v>
      </c>
      <c r="H15" s="37" t="n">
        <v>3961</v>
      </c>
      <c r="I15" s="38" t="n">
        <f aca="false">G15*H15/10000000</f>
        <v>9.763865</v>
      </c>
    </row>
    <row r="16" customFormat="false" ht="15" hidden="false" customHeight="true" outlineLevel="0" collapsed="false">
      <c r="A16" s="35" t="s">
        <v>182</v>
      </c>
      <c r="B16" s="35" t="s">
        <v>168</v>
      </c>
      <c r="C16" s="35" t="s">
        <v>169</v>
      </c>
      <c r="D16" s="35" t="s">
        <v>170</v>
      </c>
      <c r="E16" s="35" t="s">
        <v>164</v>
      </c>
      <c r="F16" s="35" t="s">
        <v>165</v>
      </c>
      <c r="G16" s="36" t="n">
        <v>14245</v>
      </c>
      <c r="H16" s="37" t="n">
        <v>4651</v>
      </c>
      <c r="I16" s="38" t="n">
        <f aca="false">G16*H16/10000000</f>
        <v>6.6253495</v>
      </c>
    </row>
    <row r="17" customFormat="false" ht="15" hidden="false" customHeight="true" outlineLevel="0" collapsed="false">
      <c r="A17" s="35" t="s">
        <v>183</v>
      </c>
      <c r="B17" s="35" t="s">
        <v>168</v>
      </c>
      <c r="C17" s="35" t="s">
        <v>169</v>
      </c>
      <c r="D17" s="35" t="s">
        <v>170</v>
      </c>
      <c r="E17" s="35" t="s">
        <v>164</v>
      </c>
      <c r="F17" s="35" t="s">
        <v>165</v>
      </c>
      <c r="G17" s="36" t="n">
        <v>15034</v>
      </c>
      <c r="H17" s="37" t="n">
        <v>3860</v>
      </c>
      <c r="I17" s="38" t="n">
        <f aca="false">G17*H17/10000000</f>
        <v>5.803124</v>
      </c>
    </row>
    <row r="18" customFormat="false" ht="15" hidden="false" customHeight="true" outlineLevel="0" collapsed="false">
      <c r="A18" s="35" t="s">
        <v>184</v>
      </c>
      <c r="B18" s="35" t="s">
        <v>175</v>
      </c>
      <c r="C18" s="35" t="s">
        <v>176</v>
      </c>
      <c r="D18" s="35" t="s">
        <v>177</v>
      </c>
      <c r="E18" s="35" t="s">
        <v>164</v>
      </c>
      <c r="F18" s="35" t="s">
        <v>165</v>
      </c>
      <c r="G18" s="36" t="n">
        <v>17116</v>
      </c>
      <c r="H18" s="37" t="n">
        <v>4700</v>
      </c>
      <c r="I18" s="38" t="n">
        <f aca="false">G18*H18/10000000</f>
        <v>8.04452</v>
      </c>
    </row>
    <row r="19" customFormat="false" ht="15" hidden="false" customHeight="true" outlineLevel="0" collapsed="false">
      <c r="A19" s="35" t="s">
        <v>185</v>
      </c>
      <c r="B19" s="35" t="s">
        <v>175</v>
      </c>
      <c r="C19" s="35" t="s">
        <v>176</v>
      </c>
      <c r="D19" s="35" t="s">
        <v>177</v>
      </c>
      <c r="E19" s="35" t="s">
        <v>164</v>
      </c>
      <c r="F19" s="35" t="s">
        <v>165</v>
      </c>
      <c r="G19" s="36" t="n">
        <v>23824</v>
      </c>
      <c r="H19" s="37" t="n">
        <v>3830</v>
      </c>
      <c r="I19" s="38" t="n">
        <f aca="false">G19*H19/10000000</f>
        <v>9.124592</v>
      </c>
    </row>
    <row r="20" customFormat="false" ht="15" hidden="false" customHeight="true" outlineLevel="0" collapsed="false">
      <c r="A20" s="35" t="s">
        <v>186</v>
      </c>
      <c r="B20" s="35" t="s">
        <v>162</v>
      </c>
      <c r="C20" s="35" t="s">
        <v>163</v>
      </c>
      <c r="D20" s="35" t="s">
        <v>162</v>
      </c>
      <c r="E20" s="35" t="s">
        <v>164</v>
      </c>
      <c r="F20" s="35" t="s">
        <v>165</v>
      </c>
      <c r="G20" s="36" t="n">
        <v>19345</v>
      </c>
      <c r="H20" s="37" t="n">
        <v>4251</v>
      </c>
      <c r="I20" s="38" t="n">
        <f aca="false">G20*H20/10000000</f>
        <v>8.2235595</v>
      </c>
    </row>
    <row r="21" customFormat="false" ht="15" hidden="false" customHeight="true" outlineLevel="0" collapsed="false">
      <c r="A21" s="35" t="s">
        <v>187</v>
      </c>
      <c r="B21" s="35" t="s">
        <v>168</v>
      </c>
      <c r="C21" s="35" t="s">
        <v>169</v>
      </c>
      <c r="D21" s="35" t="s">
        <v>170</v>
      </c>
      <c r="E21" s="35" t="s">
        <v>164</v>
      </c>
      <c r="F21" s="35" t="s">
        <v>165</v>
      </c>
      <c r="G21" s="36" t="n">
        <v>17200</v>
      </c>
      <c r="H21" s="37" t="n">
        <v>4331</v>
      </c>
      <c r="I21" s="38" t="n">
        <f aca="false">G21*H21/10000000</f>
        <v>7.44932</v>
      </c>
    </row>
    <row r="22" customFormat="false" ht="15" hidden="false" customHeight="true" outlineLevel="0" collapsed="false">
      <c r="A22" s="35" t="s">
        <v>188</v>
      </c>
      <c r="B22" s="35" t="s">
        <v>175</v>
      </c>
      <c r="C22" s="35" t="s">
        <v>176</v>
      </c>
      <c r="D22" s="35" t="s">
        <v>177</v>
      </c>
      <c r="E22" s="35" t="s">
        <v>164</v>
      </c>
      <c r="F22" s="35" t="s">
        <v>165</v>
      </c>
      <c r="G22" s="36" t="n">
        <v>24490</v>
      </c>
      <c r="H22" s="37" t="n">
        <v>4101</v>
      </c>
      <c r="I22" s="38" t="n">
        <f aca="false">G22*H22/10000000</f>
        <v>10.043349</v>
      </c>
    </row>
    <row r="23" customFormat="false" ht="15" hidden="false" customHeight="true" outlineLevel="0" collapsed="false">
      <c r="A23" s="35" t="s">
        <v>189</v>
      </c>
      <c r="B23" s="35" t="s">
        <v>162</v>
      </c>
      <c r="C23" s="35" t="s">
        <v>163</v>
      </c>
      <c r="D23" s="35" t="s">
        <v>162</v>
      </c>
      <c r="E23" s="35" t="s">
        <v>164</v>
      </c>
      <c r="F23" s="35" t="s">
        <v>165</v>
      </c>
      <c r="G23" s="36" t="n">
        <v>14075</v>
      </c>
      <c r="H23" s="37" t="n">
        <v>4478</v>
      </c>
      <c r="I23" s="38" t="n">
        <f aca="false">G23*H23/10000000</f>
        <v>6.302785</v>
      </c>
    </row>
    <row r="24" customFormat="false" ht="15" hidden="false" customHeight="true" outlineLevel="0" collapsed="false">
      <c r="A24" s="35" t="s">
        <v>190</v>
      </c>
      <c r="B24" s="35" t="s">
        <v>175</v>
      </c>
      <c r="C24" s="35" t="s">
        <v>176</v>
      </c>
      <c r="D24" s="35" t="s">
        <v>177</v>
      </c>
      <c r="E24" s="35" t="s">
        <v>164</v>
      </c>
      <c r="F24" s="35" t="s">
        <v>165</v>
      </c>
      <c r="G24" s="36" t="n">
        <v>21492</v>
      </c>
      <c r="H24" s="37" t="n">
        <v>4470</v>
      </c>
      <c r="I24" s="38" t="n">
        <f aca="false">G24*H24/10000000</f>
        <v>9.606924</v>
      </c>
    </row>
    <row r="25" customFormat="false" ht="15" hidden="false" customHeight="true" outlineLevel="0" collapsed="false">
      <c r="A25" s="35" t="s">
        <v>191</v>
      </c>
      <c r="B25" s="35" t="s">
        <v>162</v>
      </c>
      <c r="C25" s="35" t="s">
        <v>163</v>
      </c>
      <c r="D25" s="35" t="s">
        <v>162</v>
      </c>
      <c r="E25" s="35" t="s">
        <v>164</v>
      </c>
      <c r="F25" s="35" t="s">
        <v>165</v>
      </c>
      <c r="G25" s="36" t="n">
        <v>20664</v>
      </c>
      <c r="H25" s="37" t="n">
        <v>4364</v>
      </c>
      <c r="I25" s="38" t="n">
        <f aca="false">G25*H25/10000000</f>
        <v>9.0177696</v>
      </c>
    </row>
    <row r="26" customFormat="false" ht="15" hidden="false" customHeight="true" outlineLevel="0" collapsed="false">
      <c r="A26" s="35" t="s">
        <v>192</v>
      </c>
      <c r="B26" s="35" t="s">
        <v>175</v>
      </c>
      <c r="C26" s="35" t="s">
        <v>176</v>
      </c>
      <c r="D26" s="35" t="s">
        <v>177</v>
      </c>
      <c r="E26" s="35" t="s">
        <v>164</v>
      </c>
      <c r="F26" s="35" t="s">
        <v>165</v>
      </c>
      <c r="G26" s="36" t="n">
        <v>25596</v>
      </c>
      <c r="H26" s="37" t="n">
        <v>4060</v>
      </c>
      <c r="I26" s="38" t="n">
        <f aca="false">G26*H26/10000000</f>
        <v>10.391976</v>
      </c>
    </row>
    <row r="27" customFormat="false" ht="15" hidden="false" customHeight="true" outlineLevel="0" collapsed="false">
      <c r="A27" s="35" t="s">
        <v>193</v>
      </c>
      <c r="B27" s="35" t="s">
        <v>162</v>
      </c>
      <c r="C27" s="35" t="s">
        <v>163</v>
      </c>
      <c r="D27" s="35" t="s">
        <v>162</v>
      </c>
      <c r="E27" s="35" t="s">
        <v>164</v>
      </c>
      <c r="F27" s="35" t="s">
        <v>165</v>
      </c>
      <c r="G27" s="36" t="n">
        <v>17762</v>
      </c>
      <c r="H27" s="37" t="n">
        <v>4325</v>
      </c>
      <c r="I27" s="38" t="n">
        <f aca="false">G27*H27/10000000</f>
        <v>7.682065</v>
      </c>
    </row>
    <row r="28" customFormat="false" ht="15" hidden="false" customHeight="true" outlineLevel="0" collapsed="false">
      <c r="A28" s="35" t="s">
        <v>194</v>
      </c>
      <c r="B28" s="35" t="s">
        <v>162</v>
      </c>
      <c r="C28" s="35" t="s">
        <v>163</v>
      </c>
      <c r="D28" s="35" t="s">
        <v>162</v>
      </c>
      <c r="E28" s="35" t="s">
        <v>164</v>
      </c>
      <c r="F28" s="35" t="s">
        <v>165</v>
      </c>
      <c r="G28" s="36" t="n">
        <v>14487</v>
      </c>
      <c r="H28" s="37" t="n">
        <v>3871</v>
      </c>
      <c r="I28" s="38" t="n">
        <f aca="false">G28*H28/10000000</f>
        <v>5.6079177</v>
      </c>
    </row>
    <row r="29" customFormat="false" ht="15" hidden="false" customHeight="true" outlineLevel="0" collapsed="false">
      <c r="A29" s="35" t="s">
        <v>195</v>
      </c>
      <c r="B29" s="35" t="s">
        <v>168</v>
      </c>
      <c r="C29" s="35" t="s">
        <v>169</v>
      </c>
      <c r="D29" s="35" t="s">
        <v>170</v>
      </c>
      <c r="E29" s="35" t="s">
        <v>164</v>
      </c>
      <c r="F29" s="35" t="s">
        <v>165</v>
      </c>
      <c r="G29" s="36" t="n">
        <v>15768</v>
      </c>
      <c r="H29" s="37" t="n">
        <v>4210</v>
      </c>
      <c r="I29" s="38" t="n">
        <f aca="false">G29*H29/10000000</f>
        <v>6.638328</v>
      </c>
    </row>
    <row r="30" customFormat="false" ht="15" hidden="false" customHeight="true" outlineLevel="0" collapsed="false">
      <c r="A30" s="35" t="s">
        <v>196</v>
      </c>
      <c r="B30" s="35" t="s">
        <v>175</v>
      </c>
      <c r="C30" s="35" t="s">
        <v>176</v>
      </c>
      <c r="D30" s="35" t="s">
        <v>177</v>
      </c>
      <c r="E30" s="35" t="s">
        <v>164</v>
      </c>
      <c r="F30" s="35" t="s">
        <v>165</v>
      </c>
      <c r="G30" s="36" t="n">
        <v>18766</v>
      </c>
      <c r="H30" s="37" t="n">
        <v>4195</v>
      </c>
      <c r="I30" s="38" t="n">
        <f aca="false">G30*H30/10000000</f>
        <v>7.872337</v>
      </c>
    </row>
    <row r="31" customFormat="false" ht="15" hidden="false" customHeight="true" outlineLevel="0" collapsed="false">
      <c r="A31" s="35" t="s">
        <v>197</v>
      </c>
      <c r="B31" s="35" t="s">
        <v>175</v>
      </c>
      <c r="C31" s="35" t="s">
        <v>176</v>
      </c>
      <c r="D31" s="35" t="s">
        <v>177</v>
      </c>
      <c r="E31" s="35" t="s">
        <v>164</v>
      </c>
      <c r="F31" s="35" t="s">
        <v>165</v>
      </c>
      <c r="G31" s="36" t="n">
        <v>14276</v>
      </c>
      <c r="H31" s="37" t="n">
        <v>4667</v>
      </c>
      <c r="I31" s="38" t="n">
        <f aca="false">G31*H31/10000000</f>
        <v>6.6626092</v>
      </c>
    </row>
    <row r="32" customFormat="false" ht="15" hidden="false" customHeight="true" outlineLevel="0" collapsed="false">
      <c r="A32" s="35" t="s">
        <v>198</v>
      </c>
      <c r="B32" s="35" t="s">
        <v>168</v>
      </c>
      <c r="C32" s="35" t="s">
        <v>169</v>
      </c>
      <c r="D32" s="35" t="s">
        <v>170</v>
      </c>
      <c r="E32" s="35" t="s">
        <v>164</v>
      </c>
      <c r="F32" s="35" t="s">
        <v>165</v>
      </c>
      <c r="G32" s="36" t="n">
        <v>14008</v>
      </c>
      <c r="H32" s="37" t="n">
        <v>4018</v>
      </c>
      <c r="I32" s="38" t="n">
        <f aca="false">G32*H32/10000000</f>
        <v>5.6284144</v>
      </c>
    </row>
    <row r="33" customFormat="false" ht="15" hidden="false" customHeight="true" outlineLevel="0" collapsed="false">
      <c r="A33" s="35" t="s">
        <v>199</v>
      </c>
      <c r="B33" s="35" t="s">
        <v>175</v>
      </c>
      <c r="C33" s="35" t="s">
        <v>176</v>
      </c>
      <c r="D33" s="35" t="s">
        <v>177</v>
      </c>
      <c r="E33" s="35" t="s">
        <v>164</v>
      </c>
      <c r="F33" s="35" t="s">
        <v>165</v>
      </c>
      <c r="G33" s="36" t="n">
        <v>14857</v>
      </c>
      <c r="H33" s="37" t="n">
        <v>4281</v>
      </c>
      <c r="I33" s="38" t="n">
        <f aca="false">G33*H33/10000000</f>
        <v>6.3602817</v>
      </c>
    </row>
    <row r="34" customFormat="false" ht="15" hidden="false" customHeight="true" outlineLevel="0" collapsed="false">
      <c r="A34" s="35" t="s">
        <v>200</v>
      </c>
      <c r="B34" s="35" t="s">
        <v>162</v>
      </c>
      <c r="C34" s="35" t="s">
        <v>163</v>
      </c>
      <c r="D34" s="35" t="s">
        <v>162</v>
      </c>
      <c r="E34" s="35" t="s">
        <v>164</v>
      </c>
      <c r="F34" s="35" t="s">
        <v>165</v>
      </c>
      <c r="G34" s="36" t="n">
        <v>25614</v>
      </c>
      <c r="H34" s="37" t="n">
        <v>4206</v>
      </c>
      <c r="I34" s="38" t="n">
        <f aca="false">G34*H34/10000000</f>
        <v>10.7732484</v>
      </c>
    </row>
    <row r="35" customFormat="false" ht="15" hidden="false" customHeight="true" outlineLevel="0" collapsed="false">
      <c r="A35" s="35" t="s">
        <v>201</v>
      </c>
      <c r="B35" s="35" t="s">
        <v>162</v>
      </c>
      <c r="C35" s="35" t="s">
        <v>163</v>
      </c>
      <c r="D35" s="35" t="s">
        <v>162</v>
      </c>
      <c r="E35" s="35" t="s">
        <v>164</v>
      </c>
      <c r="F35" s="35" t="s">
        <v>165</v>
      </c>
      <c r="G35" s="36" t="n">
        <v>15196</v>
      </c>
      <c r="H35" s="37" t="n">
        <v>4379</v>
      </c>
      <c r="I35" s="38" t="n">
        <f aca="false">G35*H35/10000000</f>
        <v>6.6543284</v>
      </c>
    </row>
    <row r="36" customFormat="false" ht="15" hidden="false" customHeight="true" outlineLevel="0" collapsed="false">
      <c r="A36" s="35" t="s">
        <v>202</v>
      </c>
      <c r="B36" s="35" t="s">
        <v>168</v>
      </c>
      <c r="C36" s="35" t="s">
        <v>169</v>
      </c>
      <c r="D36" s="35" t="s">
        <v>170</v>
      </c>
      <c r="E36" s="35" t="s">
        <v>164</v>
      </c>
      <c r="F36" s="35" t="s">
        <v>165</v>
      </c>
      <c r="G36" s="36" t="n">
        <v>17252</v>
      </c>
      <c r="H36" s="37" t="n">
        <v>4597</v>
      </c>
      <c r="I36" s="38" t="n">
        <f aca="false">G36*H36/10000000</f>
        <v>7.9307444</v>
      </c>
    </row>
    <row r="37" customFormat="false" ht="15" hidden="false" customHeight="true" outlineLevel="0" collapsed="false">
      <c r="A37" s="35" t="s">
        <v>203</v>
      </c>
      <c r="B37" s="35" t="s">
        <v>168</v>
      </c>
      <c r="C37" s="35" t="s">
        <v>169</v>
      </c>
      <c r="D37" s="35" t="s">
        <v>170</v>
      </c>
      <c r="E37" s="35" t="s">
        <v>164</v>
      </c>
      <c r="F37" s="35" t="s">
        <v>165</v>
      </c>
      <c r="G37" s="36" t="n">
        <v>18420</v>
      </c>
      <c r="H37" s="37" t="n">
        <v>4144</v>
      </c>
      <c r="I37" s="38" t="n">
        <f aca="false">G37*H37/10000000</f>
        <v>7.633248</v>
      </c>
    </row>
    <row r="38" customFormat="false" ht="15" hidden="false" customHeight="true" outlineLevel="0" collapsed="false">
      <c r="A38" s="35" t="s">
        <v>204</v>
      </c>
      <c r="B38" s="35" t="s">
        <v>175</v>
      </c>
      <c r="C38" s="35" t="s">
        <v>176</v>
      </c>
      <c r="D38" s="35" t="s">
        <v>177</v>
      </c>
      <c r="E38" s="35" t="s">
        <v>164</v>
      </c>
      <c r="F38" s="35" t="s">
        <v>165</v>
      </c>
      <c r="G38" s="36" t="n">
        <v>19098</v>
      </c>
      <c r="H38" s="37" t="n">
        <v>4140</v>
      </c>
      <c r="I38" s="38" t="n">
        <f aca="false">G38*H38/10000000</f>
        <v>7.906572</v>
      </c>
    </row>
    <row r="39" customFormat="false" ht="15" hidden="false" customHeight="true" outlineLevel="0" collapsed="false">
      <c r="A39" s="35" t="s">
        <v>205</v>
      </c>
      <c r="B39" s="35" t="s">
        <v>175</v>
      </c>
      <c r="C39" s="35" t="s">
        <v>176</v>
      </c>
      <c r="D39" s="35" t="s">
        <v>177</v>
      </c>
      <c r="E39" s="35" t="s">
        <v>164</v>
      </c>
      <c r="F39" s="35" t="s">
        <v>165</v>
      </c>
      <c r="G39" s="36" t="n">
        <v>20718</v>
      </c>
      <c r="H39" s="37" t="n">
        <v>4576</v>
      </c>
      <c r="I39" s="38" t="n">
        <f aca="false">G39*H39/10000000</f>
        <v>9.4805568</v>
      </c>
    </row>
    <row r="40" customFormat="false" ht="15" hidden="false" customHeight="true" outlineLevel="0" collapsed="false">
      <c r="A40" s="35" t="s">
        <v>206</v>
      </c>
      <c r="B40" s="35" t="s">
        <v>175</v>
      </c>
      <c r="C40" s="35" t="s">
        <v>176</v>
      </c>
      <c r="D40" s="35" t="s">
        <v>177</v>
      </c>
      <c r="E40" s="35" t="s">
        <v>164</v>
      </c>
      <c r="F40" s="35" t="s">
        <v>165</v>
      </c>
      <c r="G40" s="36" t="n">
        <v>16205</v>
      </c>
      <c r="H40" s="37" t="n">
        <v>4052</v>
      </c>
      <c r="I40" s="38" t="n">
        <f aca="false">G40*H40/10000000</f>
        <v>6.566266</v>
      </c>
    </row>
    <row r="41" customFormat="false" ht="15" hidden="false" customHeight="true" outlineLevel="0" collapsed="false">
      <c r="A41" s="35" t="s">
        <v>207</v>
      </c>
      <c r="B41" s="35" t="s">
        <v>168</v>
      </c>
      <c r="C41" s="35" t="s">
        <v>169</v>
      </c>
      <c r="D41" s="35" t="s">
        <v>170</v>
      </c>
      <c r="E41" s="35" t="s">
        <v>164</v>
      </c>
      <c r="F41" s="35" t="s">
        <v>165</v>
      </c>
      <c r="G41" s="36" t="n">
        <v>15655</v>
      </c>
      <c r="H41" s="37" t="n">
        <v>3811</v>
      </c>
      <c r="I41" s="38" t="n">
        <f aca="false">G41*H41/10000000</f>
        <v>5.9661205</v>
      </c>
    </row>
    <row r="42" customFormat="false" ht="15" hidden="false" customHeight="true" outlineLevel="0" collapsed="false">
      <c r="A42" s="35" t="s">
        <v>208</v>
      </c>
      <c r="B42" s="35" t="s">
        <v>175</v>
      </c>
      <c r="C42" s="35" t="s">
        <v>176</v>
      </c>
      <c r="D42" s="35" t="s">
        <v>177</v>
      </c>
      <c r="E42" s="35" t="s">
        <v>164</v>
      </c>
      <c r="F42" s="35" t="s">
        <v>165</v>
      </c>
      <c r="G42" s="36" t="n">
        <v>21617</v>
      </c>
      <c r="H42" s="37" t="n">
        <v>4616</v>
      </c>
      <c r="I42" s="38" t="n">
        <f aca="false">G42*H42/10000000</f>
        <v>9.9784072</v>
      </c>
    </row>
    <row r="43" customFormat="false" ht="15" hidden="false" customHeight="true" outlineLevel="0" collapsed="false">
      <c r="A43" s="35" t="s">
        <v>209</v>
      </c>
      <c r="B43" s="35" t="s">
        <v>162</v>
      </c>
      <c r="C43" s="35" t="s">
        <v>163</v>
      </c>
      <c r="D43" s="35" t="s">
        <v>162</v>
      </c>
      <c r="E43" s="35" t="s">
        <v>164</v>
      </c>
      <c r="F43" s="35" t="s">
        <v>165</v>
      </c>
      <c r="G43" s="36" t="n">
        <v>16911</v>
      </c>
      <c r="H43" s="37" t="n">
        <v>4498</v>
      </c>
      <c r="I43" s="38" t="n">
        <f aca="false">G43*H43/10000000</f>
        <v>7.6065678</v>
      </c>
    </row>
    <row r="44" customFormat="false" ht="15" hidden="false" customHeight="true" outlineLevel="0" collapsed="false">
      <c r="A44" s="35" t="s">
        <v>210</v>
      </c>
      <c r="B44" s="35" t="s">
        <v>168</v>
      </c>
      <c r="C44" s="35" t="s">
        <v>169</v>
      </c>
      <c r="D44" s="35" t="s">
        <v>170</v>
      </c>
      <c r="E44" s="35" t="s">
        <v>164</v>
      </c>
      <c r="F44" s="35" t="s">
        <v>165</v>
      </c>
      <c r="G44" s="36" t="n">
        <v>17086</v>
      </c>
      <c r="H44" s="37" t="n">
        <v>4258</v>
      </c>
      <c r="I44" s="38" t="n">
        <f aca="false">G44*H44/10000000</f>
        <v>7.2752188</v>
      </c>
    </row>
    <row r="45" customFormat="false" ht="15" hidden="false" customHeight="true" outlineLevel="0" collapsed="false">
      <c r="A45" s="35" t="s">
        <v>211</v>
      </c>
      <c r="B45" s="35" t="s">
        <v>212</v>
      </c>
      <c r="C45" s="35" t="s">
        <v>213</v>
      </c>
      <c r="D45" s="35" t="s">
        <v>214</v>
      </c>
      <c r="E45" s="35" t="s">
        <v>215</v>
      </c>
      <c r="F45" s="35" t="s">
        <v>216</v>
      </c>
      <c r="G45" s="36" t="n">
        <v>9562</v>
      </c>
      <c r="H45" s="37" t="n">
        <v>2849</v>
      </c>
      <c r="I45" s="38" t="n">
        <f aca="false">G45*H45/10000000</f>
        <v>2.7242138</v>
      </c>
    </row>
    <row r="46" customFormat="false" ht="15" hidden="false" customHeight="true" outlineLevel="0" collapsed="false">
      <c r="A46" s="35" t="s">
        <v>217</v>
      </c>
      <c r="B46" s="35" t="s">
        <v>218</v>
      </c>
      <c r="C46" s="35" t="s">
        <v>219</v>
      </c>
      <c r="D46" s="35" t="s">
        <v>220</v>
      </c>
      <c r="E46" s="35" t="s">
        <v>215</v>
      </c>
      <c r="F46" s="35" t="s">
        <v>216</v>
      </c>
      <c r="G46" s="36" t="n">
        <v>11434</v>
      </c>
      <c r="H46" s="37" t="n">
        <v>2759</v>
      </c>
      <c r="I46" s="38" t="n">
        <f aca="false">G46*H46/10000000</f>
        <v>3.1546406</v>
      </c>
    </row>
    <row r="47" customFormat="false" ht="15" hidden="false" customHeight="true" outlineLevel="0" collapsed="false">
      <c r="A47" s="35" t="s">
        <v>221</v>
      </c>
      <c r="B47" s="35" t="s">
        <v>222</v>
      </c>
      <c r="C47" s="35" t="s">
        <v>223</v>
      </c>
      <c r="D47" s="35" t="s">
        <v>224</v>
      </c>
      <c r="E47" s="35" t="s">
        <v>215</v>
      </c>
      <c r="F47" s="35" t="s">
        <v>216</v>
      </c>
      <c r="G47" s="36" t="n">
        <v>8954</v>
      </c>
      <c r="H47" s="37" t="n">
        <v>2504</v>
      </c>
      <c r="I47" s="38" t="n">
        <f aca="false">G47*H47/10000000</f>
        <v>2.2420816</v>
      </c>
    </row>
    <row r="48" customFormat="false" ht="15" hidden="false" customHeight="true" outlineLevel="0" collapsed="false">
      <c r="A48" s="35" t="s">
        <v>225</v>
      </c>
      <c r="B48" s="35" t="s">
        <v>222</v>
      </c>
      <c r="C48" s="35" t="s">
        <v>223</v>
      </c>
      <c r="D48" s="35" t="s">
        <v>224</v>
      </c>
      <c r="E48" s="35" t="s">
        <v>215</v>
      </c>
      <c r="F48" s="35" t="s">
        <v>216</v>
      </c>
      <c r="G48" s="36" t="n">
        <v>9743</v>
      </c>
      <c r="H48" s="37" t="n">
        <v>2100</v>
      </c>
      <c r="I48" s="38" t="n">
        <f aca="false">G48*H48/10000000</f>
        <v>2.04603</v>
      </c>
    </row>
    <row r="49" customFormat="false" ht="15" hidden="false" customHeight="true" outlineLevel="0" collapsed="false">
      <c r="A49" s="35" t="s">
        <v>226</v>
      </c>
      <c r="B49" s="35" t="s">
        <v>222</v>
      </c>
      <c r="C49" s="35" t="s">
        <v>223</v>
      </c>
      <c r="D49" s="35" t="s">
        <v>224</v>
      </c>
      <c r="E49" s="35" t="s">
        <v>215</v>
      </c>
      <c r="F49" s="35" t="s">
        <v>216</v>
      </c>
      <c r="G49" s="36" t="n">
        <v>14581</v>
      </c>
      <c r="H49" s="37" t="n">
        <v>2706</v>
      </c>
      <c r="I49" s="38" t="n">
        <f aca="false">G49*H49/10000000</f>
        <v>3.9456186</v>
      </c>
    </row>
    <row r="50" customFormat="false" ht="15" hidden="false" customHeight="true" outlineLevel="0" collapsed="false">
      <c r="A50" s="35" t="s">
        <v>227</v>
      </c>
      <c r="B50" s="35" t="s">
        <v>222</v>
      </c>
      <c r="C50" s="35" t="s">
        <v>223</v>
      </c>
      <c r="D50" s="35" t="s">
        <v>224</v>
      </c>
      <c r="E50" s="35" t="s">
        <v>215</v>
      </c>
      <c r="F50" s="35" t="s">
        <v>216</v>
      </c>
      <c r="G50" s="36" t="n">
        <v>8160</v>
      </c>
      <c r="H50" s="37" t="n">
        <v>2315</v>
      </c>
      <c r="I50" s="38" t="n">
        <f aca="false">G50*H50/10000000</f>
        <v>1.88904</v>
      </c>
    </row>
    <row r="51" customFormat="false" ht="15" hidden="false" customHeight="true" outlineLevel="0" collapsed="false">
      <c r="A51" s="35" t="s">
        <v>228</v>
      </c>
      <c r="B51" s="35" t="s">
        <v>218</v>
      </c>
      <c r="C51" s="35" t="s">
        <v>219</v>
      </c>
      <c r="D51" s="35" t="s">
        <v>220</v>
      </c>
      <c r="E51" s="35" t="s">
        <v>215</v>
      </c>
      <c r="F51" s="35" t="s">
        <v>216</v>
      </c>
      <c r="G51" s="36" t="n">
        <v>11229</v>
      </c>
      <c r="H51" s="37" t="n">
        <v>2716</v>
      </c>
      <c r="I51" s="38" t="n">
        <f aca="false">G51*H51/10000000</f>
        <v>3.0497964</v>
      </c>
    </row>
    <row r="52" customFormat="false" ht="15" hidden="false" customHeight="true" outlineLevel="0" collapsed="false">
      <c r="A52" s="35" t="s">
        <v>229</v>
      </c>
      <c r="B52" s="35" t="s">
        <v>212</v>
      </c>
      <c r="C52" s="35" t="s">
        <v>213</v>
      </c>
      <c r="D52" s="35" t="s">
        <v>214</v>
      </c>
      <c r="E52" s="35" t="s">
        <v>215</v>
      </c>
      <c r="F52" s="35" t="s">
        <v>216</v>
      </c>
      <c r="G52" s="36" t="n">
        <v>12726</v>
      </c>
      <c r="H52" s="37" t="n">
        <v>2202</v>
      </c>
      <c r="I52" s="38" t="n">
        <f aca="false">G52*H52/10000000</f>
        <v>2.8022652</v>
      </c>
    </row>
    <row r="53" customFormat="false" ht="15" hidden="false" customHeight="true" outlineLevel="0" collapsed="false">
      <c r="A53" s="35" t="s">
        <v>230</v>
      </c>
      <c r="B53" s="35" t="s">
        <v>218</v>
      </c>
      <c r="C53" s="35" t="s">
        <v>219</v>
      </c>
      <c r="D53" s="35" t="s">
        <v>220</v>
      </c>
      <c r="E53" s="35" t="s">
        <v>215</v>
      </c>
      <c r="F53" s="35" t="s">
        <v>216</v>
      </c>
      <c r="G53" s="36" t="n">
        <v>9198</v>
      </c>
      <c r="H53" s="37" t="n">
        <v>2318</v>
      </c>
      <c r="I53" s="38" t="n">
        <f aca="false">G53*H53/10000000</f>
        <v>2.1320964</v>
      </c>
    </row>
    <row r="54" customFormat="false" ht="15" hidden="false" customHeight="true" outlineLevel="0" collapsed="false">
      <c r="A54" s="35" t="s">
        <v>231</v>
      </c>
      <c r="B54" s="35" t="s">
        <v>222</v>
      </c>
      <c r="C54" s="35" t="s">
        <v>223</v>
      </c>
      <c r="D54" s="35" t="s">
        <v>224</v>
      </c>
      <c r="E54" s="35" t="s">
        <v>215</v>
      </c>
      <c r="F54" s="35" t="s">
        <v>216</v>
      </c>
      <c r="G54" s="36" t="n">
        <v>10115</v>
      </c>
      <c r="H54" s="37" t="n">
        <v>2109</v>
      </c>
      <c r="I54" s="38" t="n">
        <f aca="false">G54*H54/10000000</f>
        <v>2.1332535</v>
      </c>
    </row>
    <row r="55" customFormat="false" ht="15" hidden="false" customHeight="true" outlineLevel="0" collapsed="false">
      <c r="A55" s="35" t="s">
        <v>232</v>
      </c>
      <c r="B55" s="35" t="s">
        <v>212</v>
      </c>
      <c r="C55" s="35" t="s">
        <v>213</v>
      </c>
      <c r="D55" s="35" t="s">
        <v>214</v>
      </c>
      <c r="E55" s="35" t="s">
        <v>215</v>
      </c>
      <c r="F55" s="35" t="s">
        <v>216</v>
      </c>
      <c r="G55" s="36" t="n">
        <v>10694</v>
      </c>
      <c r="H55" s="37" t="n">
        <v>2403</v>
      </c>
      <c r="I55" s="38" t="n">
        <f aca="false">G55*H55/10000000</f>
        <v>2.5697682</v>
      </c>
    </row>
    <row r="56" customFormat="false" ht="15" hidden="false" customHeight="true" outlineLevel="0" collapsed="false">
      <c r="A56" s="35" t="s">
        <v>233</v>
      </c>
      <c r="B56" s="35" t="s">
        <v>222</v>
      </c>
      <c r="C56" s="35" t="s">
        <v>223</v>
      </c>
      <c r="D56" s="35" t="s">
        <v>224</v>
      </c>
      <c r="E56" s="35" t="s">
        <v>215</v>
      </c>
      <c r="F56" s="35" t="s">
        <v>216</v>
      </c>
      <c r="G56" s="36" t="n">
        <v>8601</v>
      </c>
      <c r="H56" s="37" t="n">
        <v>2176</v>
      </c>
      <c r="I56" s="38" t="n">
        <f aca="false">G56*H56/10000000</f>
        <v>1.8715776</v>
      </c>
    </row>
    <row r="57" customFormat="false" ht="15" hidden="false" customHeight="true" outlineLevel="0" collapsed="false">
      <c r="A57" s="35" t="s">
        <v>234</v>
      </c>
      <c r="B57" s="35" t="s">
        <v>218</v>
      </c>
      <c r="C57" s="35" t="s">
        <v>219</v>
      </c>
      <c r="D57" s="35" t="s">
        <v>220</v>
      </c>
      <c r="E57" s="35" t="s">
        <v>215</v>
      </c>
      <c r="F57" s="35" t="s">
        <v>216</v>
      </c>
      <c r="G57" s="36" t="n">
        <v>9709</v>
      </c>
      <c r="H57" s="37" t="n">
        <v>2696</v>
      </c>
      <c r="I57" s="38" t="n">
        <f aca="false">G57*H57/10000000</f>
        <v>2.6175464</v>
      </c>
    </row>
    <row r="58" customFormat="false" ht="15" hidden="false" customHeight="true" outlineLevel="0" collapsed="false">
      <c r="A58" s="35" t="s">
        <v>235</v>
      </c>
      <c r="B58" s="35" t="s">
        <v>212</v>
      </c>
      <c r="C58" s="35" t="s">
        <v>213</v>
      </c>
      <c r="D58" s="35" t="s">
        <v>214</v>
      </c>
      <c r="E58" s="35" t="s">
        <v>215</v>
      </c>
      <c r="F58" s="35" t="s">
        <v>216</v>
      </c>
      <c r="G58" s="36" t="n">
        <v>9990</v>
      </c>
      <c r="H58" s="37" t="n">
        <v>2115</v>
      </c>
      <c r="I58" s="38" t="n">
        <f aca="false">G58*H58/10000000</f>
        <v>2.112885</v>
      </c>
    </row>
    <row r="59" customFormat="false" ht="15" hidden="false" customHeight="true" outlineLevel="0" collapsed="false">
      <c r="A59" s="35" t="s">
        <v>236</v>
      </c>
      <c r="B59" s="35" t="s">
        <v>212</v>
      </c>
      <c r="C59" s="35" t="s">
        <v>213</v>
      </c>
      <c r="D59" s="35" t="s">
        <v>214</v>
      </c>
      <c r="E59" s="35" t="s">
        <v>215</v>
      </c>
      <c r="F59" s="35" t="s">
        <v>216</v>
      </c>
      <c r="G59" s="36" t="n">
        <v>11020</v>
      </c>
      <c r="H59" s="37" t="n">
        <v>2480</v>
      </c>
      <c r="I59" s="38" t="n">
        <f aca="false">G59*H59/10000000</f>
        <v>2.73296</v>
      </c>
    </row>
    <row r="60" customFormat="false" ht="15" hidden="false" customHeight="true" outlineLevel="0" collapsed="false">
      <c r="A60" s="35" t="s">
        <v>237</v>
      </c>
      <c r="B60" s="35" t="s">
        <v>212</v>
      </c>
      <c r="C60" s="35" t="s">
        <v>213</v>
      </c>
      <c r="D60" s="35" t="s">
        <v>214</v>
      </c>
      <c r="E60" s="35" t="s">
        <v>215</v>
      </c>
      <c r="F60" s="35" t="s">
        <v>216</v>
      </c>
      <c r="G60" s="36" t="n">
        <v>11712</v>
      </c>
      <c r="H60" s="37" t="n">
        <v>2230</v>
      </c>
      <c r="I60" s="38" t="n">
        <f aca="false">G60*H60/10000000</f>
        <v>2.611776</v>
      </c>
    </row>
    <row r="61" customFormat="false" ht="15" hidden="false" customHeight="true" outlineLevel="0" collapsed="false">
      <c r="A61" s="35" t="s">
        <v>238</v>
      </c>
      <c r="B61" s="35" t="s">
        <v>212</v>
      </c>
      <c r="C61" s="35" t="s">
        <v>213</v>
      </c>
      <c r="D61" s="35" t="s">
        <v>214</v>
      </c>
      <c r="E61" s="35" t="s">
        <v>215</v>
      </c>
      <c r="F61" s="35" t="s">
        <v>216</v>
      </c>
      <c r="G61" s="36" t="n">
        <v>11962</v>
      </c>
      <c r="H61" s="37" t="n">
        <v>2688</v>
      </c>
      <c r="I61" s="38" t="n">
        <f aca="false">G61*H61/10000000</f>
        <v>3.2153856</v>
      </c>
    </row>
    <row r="62" customFormat="false" ht="15" hidden="false" customHeight="true" outlineLevel="0" collapsed="false">
      <c r="A62" s="35" t="s">
        <v>239</v>
      </c>
      <c r="B62" s="35" t="s">
        <v>218</v>
      </c>
      <c r="C62" s="35" t="s">
        <v>219</v>
      </c>
      <c r="D62" s="35" t="s">
        <v>220</v>
      </c>
      <c r="E62" s="35" t="s">
        <v>215</v>
      </c>
      <c r="F62" s="35" t="s">
        <v>216</v>
      </c>
      <c r="G62" s="36" t="n">
        <v>11162</v>
      </c>
      <c r="H62" s="37" t="n">
        <v>2287</v>
      </c>
      <c r="I62" s="38" t="n">
        <f aca="false">G62*H62/10000000</f>
        <v>2.5527494</v>
      </c>
    </row>
    <row r="63" customFormat="false" ht="15" hidden="false" customHeight="true" outlineLevel="0" collapsed="false">
      <c r="A63" s="35" t="s">
        <v>240</v>
      </c>
      <c r="B63" s="35" t="s">
        <v>212</v>
      </c>
      <c r="C63" s="35" t="s">
        <v>213</v>
      </c>
      <c r="D63" s="35" t="s">
        <v>214</v>
      </c>
      <c r="E63" s="35" t="s">
        <v>215</v>
      </c>
      <c r="F63" s="35" t="s">
        <v>216</v>
      </c>
      <c r="G63" s="36" t="n">
        <v>9262</v>
      </c>
      <c r="H63" s="37" t="n">
        <v>2418</v>
      </c>
      <c r="I63" s="38" t="n">
        <f aca="false">G63*H63/10000000</f>
        <v>2.2395516</v>
      </c>
    </row>
    <row r="64" customFormat="false" ht="15" hidden="false" customHeight="true" outlineLevel="0" collapsed="false">
      <c r="A64" s="35" t="s">
        <v>241</v>
      </c>
      <c r="B64" s="35" t="s">
        <v>218</v>
      </c>
      <c r="C64" s="35" t="s">
        <v>219</v>
      </c>
      <c r="D64" s="35" t="s">
        <v>220</v>
      </c>
      <c r="E64" s="35" t="s">
        <v>215</v>
      </c>
      <c r="F64" s="35" t="s">
        <v>216</v>
      </c>
      <c r="G64" s="36" t="n">
        <v>14699</v>
      </c>
      <c r="H64" s="37" t="n">
        <v>2725</v>
      </c>
      <c r="I64" s="38" t="n">
        <f aca="false">G64*H64/10000000</f>
        <v>4.0054775</v>
      </c>
    </row>
    <row r="65" customFormat="false" ht="15" hidden="false" customHeight="true" outlineLevel="0" collapsed="false">
      <c r="A65" s="35" t="s">
        <v>242</v>
      </c>
      <c r="B65" s="35" t="s">
        <v>218</v>
      </c>
      <c r="C65" s="35" t="s">
        <v>219</v>
      </c>
      <c r="D65" s="35" t="s">
        <v>220</v>
      </c>
      <c r="E65" s="35" t="s">
        <v>215</v>
      </c>
      <c r="F65" s="35" t="s">
        <v>216</v>
      </c>
      <c r="G65" s="36" t="n">
        <v>13942</v>
      </c>
      <c r="H65" s="37" t="n">
        <v>2294</v>
      </c>
      <c r="I65" s="38" t="n">
        <f aca="false">G65*H65/10000000</f>
        <v>3.1982948</v>
      </c>
    </row>
    <row r="66" customFormat="false" ht="15" hidden="false" customHeight="true" outlineLevel="0" collapsed="false">
      <c r="A66" s="35" t="s">
        <v>243</v>
      </c>
      <c r="B66" s="35" t="s">
        <v>218</v>
      </c>
      <c r="C66" s="35" t="s">
        <v>219</v>
      </c>
      <c r="D66" s="35" t="s">
        <v>220</v>
      </c>
      <c r="E66" s="35" t="s">
        <v>215</v>
      </c>
      <c r="F66" s="35" t="s">
        <v>216</v>
      </c>
      <c r="G66" s="36" t="n">
        <v>14057</v>
      </c>
      <c r="H66" s="37" t="n">
        <v>2744</v>
      </c>
      <c r="I66" s="38" t="n">
        <f aca="false">G66*H66/10000000</f>
        <v>3.8572408</v>
      </c>
    </row>
    <row r="67" customFormat="false" ht="15" hidden="false" customHeight="true" outlineLevel="0" collapsed="false">
      <c r="A67" s="35" t="s">
        <v>244</v>
      </c>
      <c r="B67" s="35" t="s">
        <v>212</v>
      </c>
      <c r="C67" s="35" t="s">
        <v>213</v>
      </c>
      <c r="D67" s="35" t="s">
        <v>214</v>
      </c>
      <c r="E67" s="35" t="s">
        <v>215</v>
      </c>
      <c r="F67" s="35" t="s">
        <v>216</v>
      </c>
      <c r="G67" s="36" t="n">
        <v>9610</v>
      </c>
      <c r="H67" s="37" t="n">
        <v>2803</v>
      </c>
      <c r="I67" s="38" t="n">
        <f aca="false">G67*H67/10000000</f>
        <v>2.693683</v>
      </c>
    </row>
    <row r="68" customFormat="false" ht="15" hidden="false" customHeight="true" outlineLevel="0" collapsed="false">
      <c r="A68" s="35" t="s">
        <v>245</v>
      </c>
      <c r="B68" s="35" t="s">
        <v>222</v>
      </c>
      <c r="C68" s="35" t="s">
        <v>223</v>
      </c>
      <c r="D68" s="35" t="s">
        <v>224</v>
      </c>
      <c r="E68" s="35" t="s">
        <v>215</v>
      </c>
      <c r="F68" s="35" t="s">
        <v>216</v>
      </c>
      <c r="G68" s="36" t="n">
        <v>11952</v>
      </c>
      <c r="H68" s="37" t="n">
        <v>2718</v>
      </c>
      <c r="I68" s="38" t="n">
        <f aca="false">G68*H68/10000000</f>
        <v>3.2485536</v>
      </c>
    </row>
    <row r="69" customFormat="false" ht="15" hidden="false" customHeight="true" outlineLevel="0" collapsed="false">
      <c r="A69" s="35" t="s">
        <v>246</v>
      </c>
      <c r="B69" s="35" t="s">
        <v>218</v>
      </c>
      <c r="C69" s="35" t="s">
        <v>219</v>
      </c>
      <c r="D69" s="35" t="s">
        <v>220</v>
      </c>
      <c r="E69" s="35" t="s">
        <v>215</v>
      </c>
      <c r="F69" s="35" t="s">
        <v>216</v>
      </c>
      <c r="G69" s="36" t="n">
        <v>11452</v>
      </c>
      <c r="H69" s="37" t="n">
        <v>2148</v>
      </c>
      <c r="I69" s="38" t="n">
        <f aca="false">G69*H69/10000000</f>
        <v>2.4598896</v>
      </c>
    </row>
    <row r="70" customFormat="false" ht="15" hidden="false" customHeight="true" outlineLevel="0" collapsed="false">
      <c r="A70" s="35" t="s">
        <v>247</v>
      </c>
      <c r="B70" s="35" t="s">
        <v>218</v>
      </c>
      <c r="C70" s="35" t="s">
        <v>219</v>
      </c>
      <c r="D70" s="35" t="s">
        <v>220</v>
      </c>
      <c r="E70" s="35" t="s">
        <v>215</v>
      </c>
      <c r="F70" s="35" t="s">
        <v>216</v>
      </c>
      <c r="G70" s="36" t="n">
        <v>8893</v>
      </c>
      <c r="H70" s="37" t="n">
        <v>2139</v>
      </c>
      <c r="I70" s="38" t="n">
        <f aca="false">G70*H70/10000000</f>
        <v>1.9022127</v>
      </c>
    </row>
    <row r="71" customFormat="false" ht="15" hidden="false" customHeight="true" outlineLevel="0" collapsed="false">
      <c r="A71" s="35" t="s">
        <v>248</v>
      </c>
      <c r="B71" s="35" t="s">
        <v>212</v>
      </c>
      <c r="C71" s="35" t="s">
        <v>213</v>
      </c>
      <c r="D71" s="35" t="s">
        <v>214</v>
      </c>
      <c r="E71" s="35" t="s">
        <v>215</v>
      </c>
      <c r="F71" s="35" t="s">
        <v>216</v>
      </c>
      <c r="G71" s="36" t="n">
        <v>10090</v>
      </c>
      <c r="H71" s="37" t="n">
        <v>2344</v>
      </c>
      <c r="I71" s="38" t="n">
        <f aca="false">G71*H71/10000000</f>
        <v>2.365096</v>
      </c>
    </row>
    <row r="72" customFormat="false" ht="15" hidden="false" customHeight="true" outlineLevel="0" collapsed="false">
      <c r="A72" s="35" t="s">
        <v>249</v>
      </c>
      <c r="B72" s="35" t="s">
        <v>212</v>
      </c>
      <c r="C72" s="35" t="s">
        <v>213</v>
      </c>
      <c r="D72" s="35" t="s">
        <v>214</v>
      </c>
      <c r="E72" s="35" t="s">
        <v>215</v>
      </c>
      <c r="F72" s="35" t="s">
        <v>216</v>
      </c>
      <c r="G72" s="36" t="n">
        <v>13771</v>
      </c>
      <c r="H72" s="37" t="n">
        <v>2501</v>
      </c>
      <c r="I72" s="38" t="n">
        <f aca="false">G72*H72/10000000</f>
        <v>3.4441271</v>
      </c>
    </row>
    <row r="73" customFormat="false" ht="15" hidden="false" customHeight="true" outlineLevel="0" collapsed="false">
      <c r="A73" s="35" t="s">
        <v>250</v>
      </c>
      <c r="B73" s="35" t="s">
        <v>222</v>
      </c>
      <c r="C73" s="35" t="s">
        <v>223</v>
      </c>
      <c r="D73" s="35" t="s">
        <v>224</v>
      </c>
      <c r="E73" s="35" t="s">
        <v>215</v>
      </c>
      <c r="F73" s="35" t="s">
        <v>216</v>
      </c>
      <c r="G73" s="36" t="n">
        <v>11447</v>
      </c>
      <c r="H73" s="37" t="n">
        <v>2710</v>
      </c>
      <c r="I73" s="38" t="n">
        <f aca="false">G73*H73/10000000</f>
        <v>3.102137</v>
      </c>
    </row>
    <row r="74" customFormat="false" ht="15" hidden="false" customHeight="true" outlineLevel="0" collapsed="false">
      <c r="A74" s="35" t="s">
        <v>251</v>
      </c>
      <c r="B74" s="35" t="s">
        <v>222</v>
      </c>
      <c r="C74" s="35" t="s">
        <v>223</v>
      </c>
      <c r="D74" s="35" t="s">
        <v>224</v>
      </c>
      <c r="E74" s="35" t="s">
        <v>215</v>
      </c>
      <c r="F74" s="35" t="s">
        <v>216</v>
      </c>
      <c r="G74" s="36" t="n">
        <v>10403</v>
      </c>
      <c r="H74" s="37" t="n">
        <v>2632</v>
      </c>
      <c r="I74" s="38" t="n">
        <f aca="false">G74*H74/10000000</f>
        <v>2.7380696</v>
      </c>
    </row>
    <row r="75" customFormat="false" ht="15" hidden="false" customHeight="true" outlineLevel="0" collapsed="false">
      <c r="A75" s="35" t="s">
        <v>252</v>
      </c>
      <c r="B75" s="35" t="s">
        <v>218</v>
      </c>
      <c r="C75" s="35" t="s">
        <v>219</v>
      </c>
      <c r="D75" s="35" t="s">
        <v>220</v>
      </c>
      <c r="E75" s="35" t="s">
        <v>215</v>
      </c>
      <c r="F75" s="35" t="s">
        <v>216</v>
      </c>
      <c r="G75" s="36" t="n">
        <v>13901</v>
      </c>
      <c r="H75" s="37" t="n">
        <v>2170</v>
      </c>
      <c r="I75" s="38" t="n">
        <f aca="false">G75*H75/10000000</f>
        <v>3.016517</v>
      </c>
    </row>
    <row r="76" customFormat="false" ht="15" hidden="false" customHeight="true" outlineLevel="0" collapsed="false">
      <c r="A76" s="35" t="s">
        <v>253</v>
      </c>
      <c r="B76" s="35" t="s">
        <v>218</v>
      </c>
      <c r="C76" s="35" t="s">
        <v>219</v>
      </c>
      <c r="D76" s="35" t="s">
        <v>220</v>
      </c>
      <c r="E76" s="35" t="s">
        <v>215</v>
      </c>
      <c r="F76" s="35" t="s">
        <v>216</v>
      </c>
      <c r="G76" s="36" t="n">
        <v>9871</v>
      </c>
      <c r="H76" s="37" t="n">
        <v>2590</v>
      </c>
      <c r="I76" s="38" t="n">
        <f aca="false">G76*H76/10000000</f>
        <v>2.556589</v>
      </c>
    </row>
    <row r="77" customFormat="false" ht="15" hidden="false" customHeight="true" outlineLevel="0" collapsed="false">
      <c r="A77" s="35" t="s">
        <v>254</v>
      </c>
      <c r="B77" s="35" t="s">
        <v>212</v>
      </c>
      <c r="C77" s="35" t="s">
        <v>213</v>
      </c>
      <c r="D77" s="35" t="s">
        <v>214</v>
      </c>
      <c r="E77" s="35" t="s">
        <v>215</v>
      </c>
      <c r="F77" s="35" t="s">
        <v>216</v>
      </c>
      <c r="G77" s="36" t="n">
        <v>13353</v>
      </c>
      <c r="H77" s="37" t="n">
        <v>2730</v>
      </c>
      <c r="I77" s="38" t="n">
        <f aca="false">G77*H77/10000000</f>
        <v>3.645369</v>
      </c>
    </row>
    <row r="78" customFormat="false" ht="15" hidden="false" customHeight="true" outlineLevel="0" collapsed="false">
      <c r="A78" s="35" t="s">
        <v>255</v>
      </c>
      <c r="B78" s="35" t="s">
        <v>212</v>
      </c>
      <c r="C78" s="35" t="s">
        <v>213</v>
      </c>
      <c r="D78" s="35" t="s">
        <v>214</v>
      </c>
      <c r="E78" s="35" t="s">
        <v>215</v>
      </c>
      <c r="F78" s="35" t="s">
        <v>216</v>
      </c>
      <c r="G78" s="36" t="n">
        <v>8607</v>
      </c>
      <c r="H78" s="37" t="n">
        <v>2386</v>
      </c>
      <c r="I78" s="38" t="n">
        <f aca="false">G78*H78/10000000</f>
        <v>2.0536302</v>
      </c>
    </row>
    <row r="79" customFormat="false" ht="15" hidden="false" customHeight="true" outlineLevel="0" collapsed="false">
      <c r="A79" s="35" t="s">
        <v>256</v>
      </c>
      <c r="B79" s="35" t="s">
        <v>218</v>
      </c>
      <c r="C79" s="35" t="s">
        <v>219</v>
      </c>
      <c r="D79" s="35" t="s">
        <v>220</v>
      </c>
      <c r="E79" s="35" t="s">
        <v>215</v>
      </c>
      <c r="F79" s="35" t="s">
        <v>216</v>
      </c>
      <c r="G79" s="36" t="n">
        <v>9670</v>
      </c>
      <c r="H79" s="37" t="n">
        <v>2866</v>
      </c>
      <c r="I79" s="38" t="n">
        <f aca="false">G79*H79/10000000</f>
        <v>2.771422</v>
      </c>
    </row>
    <row r="80" customFormat="false" ht="15" hidden="false" customHeight="true" outlineLevel="0" collapsed="false">
      <c r="A80" s="35" t="s">
        <v>257</v>
      </c>
      <c r="B80" s="35" t="s">
        <v>218</v>
      </c>
      <c r="C80" s="35" t="s">
        <v>219</v>
      </c>
      <c r="D80" s="35" t="s">
        <v>220</v>
      </c>
      <c r="E80" s="35" t="s">
        <v>215</v>
      </c>
      <c r="F80" s="35" t="s">
        <v>216</v>
      </c>
      <c r="G80" s="36" t="n">
        <v>8566</v>
      </c>
      <c r="H80" s="37" t="n">
        <v>2375</v>
      </c>
      <c r="I80" s="38" t="n">
        <f aca="false">G80*H80/10000000</f>
        <v>2.034425</v>
      </c>
    </row>
    <row r="81" customFormat="false" ht="15" hidden="false" customHeight="true" outlineLevel="0" collapsed="false">
      <c r="A81" s="35" t="s">
        <v>258</v>
      </c>
      <c r="B81" s="35" t="s">
        <v>222</v>
      </c>
      <c r="C81" s="35" t="s">
        <v>223</v>
      </c>
      <c r="D81" s="35" t="s">
        <v>224</v>
      </c>
      <c r="E81" s="35" t="s">
        <v>215</v>
      </c>
      <c r="F81" s="35" t="s">
        <v>216</v>
      </c>
      <c r="G81" s="36" t="n">
        <v>11651</v>
      </c>
      <c r="H81" s="37" t="n">
        <v>2355</v>
      </c>
      <c r="I81" s="38" t="n">
        <f aca="false">G81*H81/10000000</f>
        <v>2.7438105</v>
      </c>
    </row>
    <row r="82" customFormat="false" ht="15" hidden="false" customHeight="true" outlineLevel="0" collapsed="false">
      <c r="A82" s="35" t="s">
        <v>259</v>
      </c>
      <c r="B82" s="35" t="s">
        <v>218</v>
      </c>
      <c r="C82" s="35" t="s">
        <v>219</v>
      </c>
      <c r="D82" s="35" t="s">
        <v>220</v>
      </c>
      <c r="E82" s="35" t="s">
        <v>215</v>
      </c>
      <c r="F82" s="35" t="s">
        <v>216</v>
      </c>
      <c r="G82" s="36" t="n">
        <v>8381</v>
      </c>
      <c r="H82" s="37" t="n">
        <v>2280</v>
      </c>
      <c r="I82" s="38" t="n">
        <f aca="false">G82*H82/10000000</f>
        <v>1.910868</v>
      </c>
    </row>
    <row r="83" customFormat="false" ht="15" hidden="false" customHeight="true" outlineLevel="0" collapsed="false">
      <c r="A83" s="35" t="s">
        <v>260</v>
      </c>
      <c r="B83" s="35" t="s">
        <v>222</v>
      </c>
      <c r="C83" s="35" t="s">
        <v>223</v>
      </c>
      <c r="D83" s="35" t="s">
        <v>224</v>
      </c>
      <c r="E83" s="35" t="s">
        <v>215</v>
      </c>
      <c r="F83" s="35" t="s">
        <v>216</v>
      </c>
      <c r="G83" s="36" t="n">
        <v>11021</v>
      </c>
      <c r="H83" s="37" t="n">
        <v>2643</v>
      </c>
      <c r="I83" s="38" t="n">
        <f aca="false">G83*H83/10000000</f>
        <v>2.9128503</v>
      </c>
    </row>
    <row r="84" customFormat="false" ht="15" hidden="false" customHeight="true" outlineLevel="0" collapsed="false">
      <c r="A84" s="35" t="s">
        <v>261</v>
      </c>
      <c r="B84" s="35" t="s">
        <v>212</v>
      </c>
      <c r="C84" s="35" t="s">
        <v>213</v>
      </c>
      <c r="D84" s="35" t="s">
        <v>214</v>
      </c>
      <c r="E84" s="35" t="s">
        <v>215</v>
      </c>
      <c r="F84" s="35" t="s">
        <v>216</v>
      </c>
      <c r="G84" s="36" t="n">
        <v>9077</v>
      </c>
      <c r="H84" s="37" t="n">
        <v>2194</v>
      </c>
      <c r="I84" s="38" t="n">
        <f aca="false">G84*H84/10000000</f>
        <v>1.9914938</v>
      </c>
    </row>
    <row r="85" customFormat="false" ht="15" hidden="false" customHeight="true" outlineLevel="0" collapsed="false">
      <c r="A85" s="35" t="s">
        <v>262</v>
      </c>
      <c r="B85" s="35" t="s">
        <v>263</v>
      </c>
      <c r="C85" s="35" t="s">
        <v>264</v>
      </c>
      <c r="D85" s="35" t="s">
        <v>265</v>
      </c>
      <c r="E85" s="35" t="s">
        <v>266</v>
      </c>
      <c r="F85" s="35" t="s">
        <v>267</v>
      </c>
      <c r="G85" s="36" t="n">
        <v>4566</v>
      </c>
      <c r="H85" s="37" t="n">
        <v>1661</v>
      </c>
      <c r="I85" s="38" t="n">
        <f aca="false">G85*H85/10000000</f>
        <v>0.7584126</v>
      </c>
    </row>
    <row r="86" customFormat="false" ht="15" hidden="false" customHeight="true" outlineLevel="0" collapsed="false">
      <c r="A86" s="35" t="s">
        <v>268</v>
      </c>
      <c r="B86" s="35" t="s">
        <v>263</v>
      </c>
      <c r="C86" s="35" t="s">
        <v>264</v>
      </c>
      <c r="D86" s="35" t="s">
        <v>265</v>
      </c>
      <c r="E86" s="35" t="s">
        <v>266</v>
      </c>
      <c r="F86" s="35" t="s">
        <v>267</v>
      </c>
      <c r="G86" s="36" t="n">
        <v>6690</v>
      </c>
      <c r="H86" s="37" t="n">
        <v>1734</v>
      </c>
      <c r="I86" s="38" t="n">
        <f aca="false">G86*H86/10000000</f>
        <v>1.160046</v>
      </c>
    </row>
    <row r="87" customFormat="false" ht="15" hidden="false" customHeight="true" outlineLevel="0" collapsed="false">
      <c r="A87" s="35" t="s">
        <v>269</v>
      </c>
      <c r="B87" s="35" t="s">
        <v>270</v>
      </c>
      <c r="C87" s="35" t="s">
        <v>271</v>
      </c>
      <c r="D87" s="35" t="s">
        <v>272</v>
      </c>
      <c r="E87" s="35" t="s">
        <v>266</v>
      </c>
      <c r="F87" s="35" t="s">
        <v>267</v>
      </c>
      <c r="G87" s="36" t="n">
        <v>7878</v>
      </c>
      <c r="H87" s="37" t="n">
        <v>1343</v>
      </c>
      <c r="I87" s="38" t="n">
        <f aca="false">G87*H87/10000000</f>
        <v>1.0580154</v>
      </c>
    </row>
    <row r="88" customFormat="false" ht="15" hidden="false" customHeight="true" outlineLevel="0" collapsed="false">
      <c r="A88" s="35" t="s">
        <v>273</v>
      </c>
      <c r="B88" s="35" t="s">
        <v>270</v>
      </c>
      <c r="C88" s="35" t="s">
        <v>271</v>
      </c>
      <c r="D88" s="35" t="s">
        <v>272</v>
      </c>
      <c r="E88" s="35" t="s">
        <v>266</v>
      </c>
      <c r="F88" s="35" t="s">
        <v>267</v>
      </c>
      <c r="G88" s="36" t="n">
        <v>4143</v>
      </c>
      <c r="H88" s="37" t="n">
        <v>1218</v>
      </c>
      <c r="I88" s="38" t="n">
        <f aca="false">G88*H88/10000000</f>
        <v>0.5046174</v>
      </c>
    </row>
    <row r="89" customFormat="false" ht="15" hidden="false" customHeight="true" outlineLevel="0" collapsed="false">
      <c r="A89" s="35" t="s">
        <v>274</v>
      </c>
      <c r="B89" s="35" t="s">
        <v>263</v>
      </c>
      <c r="C89" s="35" t="s">
        <v>264</v>
      </c>
      <c r="D89" s="35" t="s">
        <v>265</v>
      </c>
      <c r="E89" s="35" t="s">
        <v>266</v>
      </c>
      <c r="F89" s="35" t="s">
        <v>267</v>
      </c>
      <c r="G89" s="36" t="n">
        <v>7728</v>
      </c>
      <c r="H89" s="37" t="n">
        <v>1566</v>
      </c>
      <c r="I89" s="38" t="n">
        <f aca="false">G89*H89/10000000</f>
        <v>1.2102048</v>
      </c>
    </row>
    <row r="90" customFormat="false" ht="15" hidden="false" customHeight="true" outlineLevel="0" collapsed="false">
      <c r="A90" s="35" t="s">
        <v>275</v>
      </c>
      <c r="B90" s="35" t="s">
        <v>270</v>
      </c>
      <c r="C90" s="35" t="s">
        <v>271</v>
      </c>
      <c r="D90" s="35" t="s">
        <v>272</v>
      </c>
      <c r="E90" s="35" t="s">
        <v>266</v>
      </c>
      <c r="F90" s="35" t="s">
        <v>267</v>
      </c>
      <c r="G90" s="36" t="n">
        <v>5277</v>
      </c>
      <c r="H90" s="37" t="n">
        <v>1234</v>
      </c>
      <c r="I90" s="38" t="n">
        <f aca="false">G90*H90/10000000</f>
        <v>0.6511818</v>
      </c>
    </row>
    <row r="91" customFormat="false" ht="15" hidden="false" customHeight="true" outlineLevel="0" collapsed="false">
      <c r="A91" s="35" t="s">
        <v>276</v>
      </c>
      <c r="B91" s="35" t="s">
        <v>277</v>
      </c>
      <c r="C91" s="35" t="s">
        <v>278</v>
      </c>
      <c r="D91" s="35" t="s">
        <v>279</v>
      </c>
      <c r="E91" s="35" t="s">
        <v>266</v>
      </c>
      <c r="F91" s="35" t="s">
        <v>267</v>
      </c>
      <c r="G91" s="36" t="n">
        <v>6450</v>
      </c>
      <c r="H91" s="37" t="n">
        <v>1276</v>
      </c>
      <c r="I91" s="38" t="n">
        <f aca="false">G91*H91/10000000</f>
        <v>0.82302</v>
      </c>
    </row>
    <row r="92" customFormat="false" ht="15" hidden="false" customHeight="true" outlineLevel="0" collapsed="false">
      <c r="A92" s="35" t="s">
        <v>280</v>
      </c>
      <c r="B92" s="35" t="s">
        <v>263</v>
      </c>
      <c r="C92" s="35" t="s">
        <v>264</v>
      </c>
      <c r="D92" s="35" t="s">
        <v>265</v>
      </c>
      <c r="E92" s="35" t="s">
        <v>266</v>
      </c>
      <c r="F92" s="35" t="s">
        <v>267</v>
      </c>
      <c r="G92" s="36" t="n">
        <v>4275</v>
      </c>
      <c r="H92" s="37" t="n">
        <v>1518</v>
      </c>
      <c r="I92" s="38" t="n">
        <f aca="false">G92*H92/10000000</f>
        <v>0.648945</v>
      </c>
    </row>
    <row r="93" customFormat="false" ht="15" hidden="false" customHeight="true" outlineLevel="0" collapsed="false">
      <c r="A93" s="35" t="s">
        <v>281</v>
      </c>
      <c r="B93" s="35" t="s">
        <v>263</v>
      </c>
      <c r="C93" s="35" t="s">
        <v>264</v>
      </c>
      <c r="D93" s="35" t="s">
        <v>265</v>
      </c>
      <c r="E93" s="35" t="s">
        <v>266</v>
      </c>
      <c r="F93" s="35" t="s">
        <v>267</v>
      </c>
      <c r="G93" s="36" t="n">
        <v>4559</v>
      </c>
      <c r="H93" s="37" t="n">
        <v>1274</v>
      </c>
      <c r="I93" s="38" t="n">
        <f aca="false">G93*H93/10000000</f>
        <v>0.5808166</v>
      </c>
    </row>
    <row r="94" customFormat="false" ht="15" hidden="false" customHeight="true" outlineLevel="0" collapsed="false">
      <c r="A94" s="35" t="s">
        <v>282</v>
      </c>
      <c r="B94" s="35" t="s">
        <v>277</v>
      </c>
      <c r="C94" s="35" t="s">
        <v>278</v>
      </c>
      <c r="D94" s="35" t="s">
        <v>279</v>
      </c>
      <c r="E94" s="35" t="s">
        <v>266</v>
      </c>
      <c r="F94" s="35" t="s">
        <v>267</v>
      </c>
      <c r="G94" s="36" t="n">
        <v>5855</v>
      </c>
      <c r="H94" s="37" t="n">
        <v>1759</v>
      </c>
      <c r="I94" s="38" t="n">
        <f aca="false">G94*H94/10000000</f>
        <v>1.0298945</v>
      </c>
    </row>
    <row r="95" customFormat="false" ht="15" hidden="false" customHeight="true" outlineLevel="0" collapsed="false">
      <c r="A95" s="35" t="s">
        <v>283</v>
      </c>
      <c r="B95" s="35" t="s">
        <v>263</v>
      </c>
      <c r="C95" s="35" t="s">
        <v>264</v>
      </c>
      <c r="D95" s="35" t="s">
        <v>265</v>
      </c>
      <c r="E95" s="35" t="s">
        <v>266</v>
      </c>
      <c r="F95" s="35" t="s">
        <v>267</v>
      </c>
      <c r="G95" s="36" t="n">
        <v>7018</v>
      </c>
      <c r="H95" s="37" t="n">
        <v>1245</v>
      </c>
      <c r="I95" s="38" t="n">
        <f aca="false">G95*H95/10000000</f>
        <v>0.873741</v>
      </c>
    </row>
    <row r="96" customFormat="false" ht="15" hidden="false" customHeight="true" outlineLevel="0" collapsed="false">
      <c r="A96" s="35" t="s">
        <v>284</v>
      </c>
      <c r="B96" s="35" t="s">
        <v>270</v>
      </c>
      <c r="C96" s="35" t="s">
        <v>271</v>
      </c>
      <c r="D96" s="35" t="s">
        <v>272</v>
      </c>
      <c r="E96" s="35" t="s">
        <v>266</v>
      </c>
      <c r="F96" s="35" t="s">
        <v>267</v>
      </c>
      <c r="G96" s="36" t="n">
        <v>7019</v>
      </c>
      <c r="H96" s="37" t="n">
        <v>1332</v>
      </c>
      <c r="I96" s="38" t="n">
        <f aca="false">G96*H96/10000000</f>
        <v>0.9349308</v>
      </c>
    </row>
    <row r="97" customFormat="false" ht="15" hidden="false" customHeight="true" outlineLevel="0" collapsed="false">
      <c r="A97" s="35" t="s">
        <v>285</v>
      </c>
      <c r="B97" s="35" t="s">
        <v>263</v>
      </c>
      <c r="C97" s="35" t="s">
        <v>264</v>
      </c>
      <c r="D97" s="35" t="s">
        <v>265</v>
      </c>
      <c r="E97" s="35" t="s">
        <v>266</v>
      </c>
      <c r="F97" s="35" t="s">
        <v>267</v>
      </c>
      <c r="G97" s="36" t="n">
        <v>5441</v>
      </c>
      <c r="H97" s="37" t="n">
        <v>1286</v>
      </c>
      <c r="I97" s="38" t="n">
        <f aca="false">G97*H97/10000000</f>
        <v>0.6997126</v>
      </c>
    </row>
    <row r="98" customFormat="false" ht="15" hidden="false" customHeight="true" outlineLevel="0" collapsed="false">
      <c r="A98" s="35" t="s">
        <v>286</v>
      </c>
      <c r="B98" s="35" t="s">
        <v>270</v>
      </c>
      <c r="C98" s="35" t="s">
        <v>271</v>
      </c>
      <c r="D98" s="35" t="s">
        <v>272</v>
      </c>
      <c r="E98" s="35" t="s">
        <v>266</v>
      </c>
      <c r="F98" s="35" t="s">
        <v>267</v>
      </c>
      <c r="G98" s="36" t="n">
        <v>5938</v>
      </c>
      <c r="H98" s="37" t="n">
        <v>1279</v>
      </c>
      <c r="I98" s="38" t="n">
        <f aca="false">G98*H98/10000000</f>
        <v>0.7594702</v>
      </c>
    </row>
    <row r="99" customFormat="false" ht="15" hidden="false" customHeight="true" outlineLevel="0" collapsed="false">
      <c r="A99" s="35" t="s">
        <v>287</v>
      </c>
      <c r="B99" s="35" t="s">
        <v>263</v>
      </c>
      <c r="C99" s="35" t="s">
        <v>264</v>
      </c>
      <c r="D99" s="35" t="s">
        <v>265</v>
      </c>
      <c r="E99" s="35" t="s">
        <v>266</v>
      </c>
      <c r="F99" s="35" t="s">
        <v>267</v>
      </c>
      <c r="G99" s="36" t="n">
        <v>7867</v>
      </c>
      <c r="H99" s="37" t="n">
        <v>1230</v>
      </c>
      <c r="I99" s="38" t="n">
        <f aca="false">G99*H99/10000000</f>
        <v>0.967641</v>
      </c>
    </row>
    <row r="100" customFormat="false" ht="15" hidden="false" customHeight="true" outlineLevel="0" collapsed="false">
      <c r="A100" s="35" t="s">
        <v>288</v>
      </c>
      <c r="B100" s="35" t="s">
        <v>263</v>
      </c>
      <c r="C100" s="35" t="s">
        <v>264</v>
      </c>
      <c r="D100" s="35" t="s">
        <v>265</v>
      </c>
      <c r="E100" s="35" t="s">
        <v>266</v>
      </c>
      <c r="F100" s="35" t="s">
        <v>267</v>
      </c>
      <c r="G100" s="36" t="n">
        <v>6346</v>
      </c>
      <c r="H100" s="37" t="n">
        <v>1214</v>
      </c>
      <c r="I100" s="38" t="n">
        <f aca="false">G100*H100/10000000</f>
        <v>0.7704044</v>
      </c>
    </row>
    <row r="101" customFormat="false" ht="15" hidden="false" customHeight="true" outlineLevel="0" collapsed="false">
      <c r="A101" s="35" t="s">
        <v>289</v>
      </c>
      <c r="B101" s="35" t="s">
        <v>270</v>
      </c>
      <c r="C101" s="35" t="s">
        <v>271</v>
      </c>
      <c r="D101" s="35" t="s">
        <v>272</v>
      </c>
      <c r="E101" s="35" t="s">
        <v>266</v>
      </c>
      <c r="F101" s="35" t="s">
        <v>267</v>
      </c>
      <c r="G101" s="36" t="n">
        <v>6712</v>
      </c>
      <c r="H101" s="37" t="n">
        <v>1591</v>
      </c>
      <c r="I101" s="38" t="n">
        <f aca="false">G101*H101/10000000</f>
        <v>1.0678792</v>
      </c>
    </row>
    <row r="102" customFormat="false" ht="15" hidden="false" customHeight="true" outlineLevel="0" collapsed="false">
      <c r="A102" s="35" t="s">
        <v>290</v>
      </c>
      <c r="B102" s="35" t="s">
        <v>263</v>
      </c>
      <c r="C102" s="35" t="s">
        <v>264</v>
      </c>
      <c r="D102" s="35" t="s">
        <v>265</v>
      </c>
      <c r="E102" s="35" t="s">
        <v>266</v>
      </c>
      <c r="F102" s="35" t="s">
        <v>267</v>
      </c>
      <c r="G102" s="36" t="n">
        <v>6386</v>
      </c>
      <c r="H102" s="37" t="n">
        <v>1212</v>
      </c>
      <c r="I102" s="38" t="n">
        <f aca="false">G102*H102/10000000</f>
        <v>0.7739832</v>
      </c>
    </row>
    <row r="103" customFormat="false" ht="15" hidden="false" customHeight="true" outlineLevel="0" collapsed="false">
      <c r="A103" s="35" t="s">
        <v>291</v>
      </c>
      <c r="B103" s="35" t="s">
        <v>270</v>
      </c>
      <c r="C103" s="35" t="s">
        <v>271</v>
      </c>
      <c r="D103" s="35" t="s">
        <v>272</v>
      </c>
      <c r="E103" s="35" t="s">
        <v>266</v>
      </c>
      <c r="F103" s="35" t="s">
        <v>267</v>
      </c>
      <c r="G103" s="36" t="n">
        <v>4295</v>
      </c>
      <c r="H103" s="37" t="n">
        <v>1282</v>
      </c>
      <c r="I103" s="38" t="n">
        <f aca="false">G103*H103/10000000</f>
        <v>0.550619</v>
      </c>
    </row>
    <row r="104" customFormat="false" ht="15" hidden="false" customHeight="true" outlineLevel="0" collapsed="false">
      <c r="A104" s="35" t="s">
        <v>292</v>
      </c>
      <c r="B104" s="35" t="s">
        <v>277</v>
      </c>
      <c r="C104" s="35" t="s">
        <v>278</v>
      </c>
      <c r="D104" s="35" t="s">
        <v>279</v>
      </c>
      <c r="E104" s="35" t="s">
        <v>266</v>
      </c>
      <c r="F104" s="35" t="s">
        <v>267</v>
      </c>
      <c r="G104" s="36" t="n">
        <v>6619</v>
      </c>
      <c r="H104" s="37" t="n">
        <v>1318</v>
      </c>
      <c r="I104" s="38" t="n">
        <f aca="false">G104*H104/10000000</f>
        <v>0.8723842</v>
      </c>
    </row>
    <row r="105" customFormat="false" ht="15" hidden="false" customHeight="true" outlineLevel="0" collapsed="false">
      <c r="A105" s="35" t="s">
        <v>293</v>
      </c>
      <c r="B105" s="35" t="s">
        <v>263</v>
      </c>
      <c r="C105" s="35" t="s">
        <v>264</v>
      </c>
      <c r="D105" s="35" t="s">
        <v>265</v>
      </c>
      <c r="E105" s="35" t="s">
        <v>266</v>
      </c>
      <c r="F105" s="35" t="s">
        <v>267</v>
      </c>
      <c r="G105" s="36" t="n">
        <v>7603</v>
      </c>
      <c r="H105" s="37" t="n">
        <v>1626</v>
      </c>
      <c r="I105" s="38" t="n">
        <f aca="false">G105*H105/10000000</f>
        <v>1.2362478</v>
      </c>
    </row>
    <row r="106" customFormat="false" ht="15" hidden="false" customHeight="true" outlineLevel="0" collapsed="false">
      <c r="A106" s="35" t="s">
        <v>294</v>
      </c>
      <c r="B106" s="35" t="s">
        <v>270</v>
      </c>
      <c r="C106" s="35" t="s">
        <v>271</v>
      </c>
      <c r="D106" s="35" t="s">
        <v>272</v>
      </c>
      <c r="E106" s="35" t="s">
        <v>266</v>
      </c>
      <c r="F106" s="35" t="s">
        <v>267</v>
      </c>
      <c r="G106" s="36" t="n">
        <v>5352</v>
      </c>
      <c r="H106" s="37" t="n">
        <v>1597</v>
      </c>
      <c r="I106" s="38" t="n">
        <f aca="false">G106*H106/10000000</f>
        <v>0.8547144</v>
      </c>
    </row>
    <row r="107" customFormat="false" ht="15" hidden="false" customHeight="true" outlineLevel="0" collapsed="false">
      <c r="A107" s="35" t="s">
        <v>295</v>
      </c>
      <c r="B107" s="35" t="s">
        <v>270</v>
      </c>
      <c r="C107" s="35" t="s">
        <v>271</v>
      </c>
      <c r="D107" s="35" t="s">
        <v>272</v>
      </c>
      <c r="E107" s="35" t="s">
        <v>266</v>
      </c>
      <c r="F107" s="35" t="s">
        <v>267</v>
      </c>
      <c r="G107" s="36" t="n">
        <v>6843</v>
      </c>
      <c r="H107" s="37" t="n">
        <v>1794</v>
      </c>
      <c r="I107" s="38" t="n">
        <f aca="false">G107*H107/10000000</f>
        <v>1.2276342</v>
      </c>
    </row>
    <row r="108" customFormat="false" ht="15" hidden="false" customHeight="true" outlineLevel="0" collapsed="false">
      <c r="A108" s="35" t="s">
        <v>296</v>
      </c>
      <c r="B108" s="35" t="s">
        <v>263</v>
      </c>
      <c r="C108" s="35" t="s">
        <v>264</v>
      </c>
      <c r="D108" s="35" t="s">
        <v>265</v>
      </c>
      <c r="E108" s="35" t="s">
        <v>266</v>
      </c>
      <c r="F108" s="35" t="s">
        <v>267</v>
      </c>
      <c r="G108" s="36" t="n">
        <v>5804</v>
      </c>
      <c r="H108" s="37" t="n">
        <v>1673</v>
      </c>
      <c r="I108" s="38" t="n">
        <f aca="false">G108*H108/10000000</f>
        <v>0.9710092</v>
      </c>
    </row>
    <row r="109" customFormat="false" ht="15" hidden="false" customHeight="true" outlineLevel="0" collapsed="false">
      <c r="A109" s="35" t="s">
        <v>297</v>
      </c>
      <c r="B109" s="35" t="s">
        <v>270</v>
      </c>
      <c r="C109" s="35" t="s">
        <v>271</v>
      </c>
      <c r="D109" s="35" t="s">
        <v>272</v>
      </c>
      <c r="E109" s="35" t="s">
        <v>266</v>
      </c>
      <c r="F109" s="35" t="s">
        <v>267</v>
      </c>
      <c r="G109" s="36" t="n">
        <v>4343</v>
      </c>
      <c r="H109" s="37" t="n">
        <v>1731</v>
      </c>
      <c r="I109" s="38" t="n">
        <f aca="false">G109*H109/10000000</f>
        <v>0.7517733</v>
      </c>
    </row>
    <row r="110" customFormat="false" ht="15" hidden="false" customHeight="true" outlineLevel="0" collapsed="false">
      <c r="A110" s="35" t="s">
        <v>298</v>
      </c>
      <c r="B110" s="35" t="s">
        <v>270</v>
      </c>
      <c r="C110" s="35" t="s">
        <v>271</v>
      </c>
      <c r="D110" s="35" t="s">
        <v>272</v>
      </c>
      <c r="E110" s="35" t="s">
        <v>266</v>
      </c>
      <c r="F110" s="35" t="s">
        <v>267</v>
      </c>
      <c r="G110" s="36" t="n">
        <v>4122</v>
      </c>
      <c r="H110" s="37" t="n">
        <v>1517</v>
      </c>
      <c r="I110" s="38" t="n">
        <f aca="false">G110*H110/10000000</f>
        <v>0.6253074</v>
      </c>
    </row>
    <row r="111" customFormat="false" ht="15" hidden="false" customHeight="true" outlineLevel="0" collapsed="false">
      <c r="A111" s="35" t="s">
        <v>299</v>
      </c>
      <c r="B111" s="35" t="s">
        <v>270</v>
      </c>
      <c r="C111" s="35" t="s">
        <v>271</v>
      </c>
      <c r="D111" s="35" t="s">
        <v>272</v>
      </c>
      <c r="E111" s="35" t="s">
        <v>266</v>
      </c>
      <c r="F111" s="35" t="s">
        <v>267</v>
      </c>
      <c r="G111" s="36" t="n">
        <v>4359</v>
      </c>
      <c r="H111" s="37" t="n">
        <v>1692</v>
      </c>
      <c r="I111" s="38" t="n">
        <f aca="false">G111*H111/10000000</f>
        <v>0.7375428</v>
      </c>
    </row>
    <row r="112" customFormat="false" ht="15" hidden="false" customHeight="true" outlineLevel="0" collapsed="false">
      <c r="A112" s="35" t="s">
        <v>300</v>
      </c>
      <c r="B112" s="35" t="s">
        <v>277</v>
      </c>
      <c r="C112" s="35" t="s">
        <v>278</v>
      </c>
      <c r="D112" s="35" t="s">
        <v>279</v>
      </c>
      <c r="E112" s="35" t="s">
        <v>266</v>
      </c>
      <c r="F112" s="35" t="s">
        <v>267</v>
      </c>
      <c r="G112" s="36" t="n">
        <v>4942</v>
      </c>
      <c r="H112" s="37" t="n">
        <v>1315</v>
      </c>
      <c r="I112" s="38" t="n">
        <f aca="false">G112*H112/10000000</f>
        <v>0.649873</v>
      </c>
    </row>
    <row r="113" customFormat="false" ht="15" hidden="false" customHeight="true" outlineLevel="0" collapsed="false">
      <c r="A113" s="35" t="s">
        <v>301</v>
      </c>
      <c r="B113" s="35" t="s">
        <v>263</v>
      </c>
      <c r="C113" s="35" t="s">
        <v>264</v>
      </c>
      <c r="D113" s="35" t="s">
        <v>265</v>
      </c>
      <c r="E113" s="35" t="s">
        <v>266</v>
      </c>
      <c r="F113" s="35" t="s">
        <v>267</v>
      </c>
      <c r="G113" s="36" t="n">
        <v>7194</v>
      </c>
      <c r="H113" s="37" t="n">
        <v>1697</v>
      </c>
      <c r="I113" s="38" t="n">
        <f aca="false">G113*H113/10000000</f>
        <v>1.2208218</v>
      </c>
    </row>
    <row r="114" customFormat="false" ht="15" hidden="false" customHeight="true" outlineLevel="0" collapsed="false">
      <c r="A114" s="35" t="s">
        <v>302</v>
      </c>
      <c r="B114" s="35" t="s">
        <v>263</v>
      </c>
      <c r="C114" s="35" t="s">
        <v>264</v>
      </c>
      <c r="D114" s="35" t="s">
        <v>265</v>
      </c>
      <c r="E114" s="35" t="s">
        <v>266</v>
      </c>
      <c r="F114" s="35" t="s">
        <v>267</v>
      </c>
      <c r="G114" s="36" t="n">
        <v>7671</v>
      </c>
      <c r="H114" s="37" t="n">
        <v>1211</v>
      </c>
      <c r="I114" s="38" t="n">
        <f aca="false">G114*H114/10000000</f>
        <v>0.9289581</v>
      </c>
    </row>
    <row r="115" customFormat="false" ht="15" hidden="false" customHeight="true" outlineLevel="0" collapsed="false">
      <c r="A115" s="35" t="s">
        <v>303</v>
      </c>
      <c r="B115" s="35" t="s">
        <v>263</v>
      </c>
      <c r="C115" s="35" t="s">
        <v>264</v>
      </c>
      <c r="D115" s="35" t="s">
        <v>265</v>
      </c>
      <c r="E115" s="35" t="s">
        <v>266</v>
      </c>
      <c r="F115" s="35" t="s">
        <v>267</v>
      </c>
      <c r="G115" s="36" t="n">
        <v>5233</v>
      </c>
      <c r="H115" s="37" t="n">
        <v>1346</v>
      </c>
      <c r="I115" s="38" t="n">
        <f aca="false">G115*H115/10000000</f>
        <v>0.7043618</v>
      </c>
    </row>
    <row r="116" customFormat="false" ht="15" hidden="false" customHeight="true" outlineLevel="0" collapsed="false">
      <c r="A116" s="35" t="s">
        <v>304</v>
      </c>
      <c r="B116" s="35" t="s">
        <v>270</v>
      </c>
      <c r="C116" s="35" t="s">
        <v>271</v>
      </c>
      <c r="D116" s="35" t="s">
        <v>272</v>
      </c>
      <c r="E116" s="35" t="s">
        <v>266</v>
      </c>
      <c r="F116" s="35" t="s">
        <v>267</v>
      </c>
      <c r="G116" s="36" t="n">
        <v>6505</v>
      </c>
      <c r="H116" s="37" t="n">
        <v>1407</v>
      </c>
      <c r="I116" s="38" t="n">
        <f aca="false">G116*H116/10000000</f>
        <v>0.9152535</v>
      </c>
    </row>
    <row r="117" customFormat="false" ht="15" hidden="false" customHeight="true" outlineLevel="0" collapsed="false">
      <c r="A117" s="35" t="s">
        <v>305</v>
      </c>
      <c r="B117" s="35" t="s">
        <v>270</v>
      </c>
      <c r="C117" s="35" t="s">
        <v>271</v>
      </c>
      <c r="D117" s="35" t="s">
        <v>272</v>
      </c>
      <c r="E117" s="35" t="s">
        <v>266</v>
      </c>
      <c r="F117" s="35" t="s">
        <v>267</v>
      </c>
      <c r="G117" s="36" t="n">
        <v>4694</v>
      </c>
      <c r="H117" s="37" t="n">
        <v>1550</v>
      </c>
      <c r="I117" s="38" t="n">
        <f aca="false">G117*H117/10000000</f>
        <v>0.72757</v>
      </c>
    </row>
    <row r="118" customFormat="false" ht="15" hidden="false" customHeight="true" outlineLevel="0" collapsed="false">
      <c r="A118" s="35" t="s">
        <v>306</v>
      </c>
      <c r="B118" s="35" t="s">
        <v>270</v>
      </c>
      <c r="C118" s="35" t="s">
        <v>271</v>
      </c>
      <c r="D118" s="35" t="s">
        <v>272</v>
      </c>
      <c r="E118" s="35" t="s">
        <v>266</v>
      </c>
      <c r="F118" s="35" t="s">
        <v>267</v>
      </c>
      <c r="G118" s="36" t="n">
        <v>7810</v>
      </c>
      <c r="H118" s="37" t="n">
        <v>1652</v>
      </c>
      <c r="I118" s="38" t="n">
        <f aca="false">G118*H118/10000000</f>
        <v>1.290212</v>
      </c>
    </row>
    <row r="119" customFormat="false" ht="15" hidden="false" customHeight="true" outlineLevel="0" collapsed="false">
      <c r="A119" s="35" t="s">
        <v>307</v>
      </c>
      <c r="B119" s="35" t="s">
        <v>263</v>
      </c>
      <c r="C119" s="35" t="s">
        <v>264</v>
      </c>
      <c r="D119" s="35" t="s">
        <v>265</v>
      </c>
      <c r="E119" s="35" t="s">
        <v>266</v>
      </c>
      <c r="F119" s="35" t="s">
        <v>267</v>
      </c>
      <c r="G119" s="36" t="n">
        <v>7652</v>
      </c>
      <c r="H119" s="37" t="n">
        <v>1447</v>
      </c>
      <c r="I119" s="38" t="n">
        <f aca="false">G119*H119/10000000</f>
        <v>1.1072444</v>
      </c>
    </row>
    <row r="120" customFormat="false" ht="15" hidden="false" customHeight="true" outlineLevel="0" collapsed="false">
      <c r="A120" s="35" t="s">
        <v>308</v>
      </c>
      <c r="B120" s="35" t="s">
        <v>263</v>
      </c>
      <c r="C120" s="35" t="s">
        <v>264</v>
      </c>
      <c r="D120" s="35" t="s">
        <v>265</v>
      </c>
      <c r="E120" s="35" t="s">
        <v>266</v>
      </c>
      <c r="F120" s="35" t="s">
        <v>267</v>
      </c>
      <c r="G120" s="36" t="n">
        <v>5657</v>
      </c>
      <c r="H120" s="37" t="n">
        <v>1456</v>
      </c>
      <c r="I120" s="38" t="n">
        <f aca="false">G120*H120/10000000</f>
        <v>0.8236592</v>
      </c>
    </row>
    <row r="121" customFormat="false" ht="15" hidden="false" customHeight="true" outlineLevel="0" collapsed="false">
      <c r="A121" s="35" t="s">
        <v>309</v>
      </c>
      <c r="B121" s="35" t="s">
        <v>277</v>
      </c>
      <c r="C121" s="35" t="s">
        <v>278</v>
      </c>
      <c r="D121" s="35" t="s">
        <v>279</v>
      </c>
      <c r="E121" s="35" t="s">
        <v>266</v>
      </c>
      <c r="F121" s="35" t="s">
        <v>267</v>
      </c>
      <c r="G121" s="36" t="n">
        <v>6597</v>
      </c>
      <c r="H121" s="37" t="n">
        <v>1641</v>
      </c>
      <c r="I121" s="38" t="n">
        <f aca="false">G121*H121/10000000</f>
        <v>1.0825677</v>
      </c>
    </row>
    <row r="122" customFormat="false" ht="15" hidden="false" customHeight="true" outlineLevel="0" collapsed="false">
      <c r="A122" s="35" t="s">
        <v>310</v>
      </c>
      <c r="B122" s="35" t="s">
        <v>277</v>
      </c>
      <c r="C122" s="35" t="s">
        <v>278</v>
      </c>
      <c r="D122" s="35" t="s">
        <v>279</v>
      </c>
      <c r="E122" s="35" t="s">
        <v>266</v>
      </c>
      <c r="F122" s="35" t="s">
        <v>267</v>
      </c>
      <c r="G122" s="36" t="n">
        <v>7605</v>
      </c>
      <c r="H122" s="37" t="n">
        <v>1419</v>
      </c>
      <c r="I122" s="38" t="n">
        <f aca="false">G122*H122/10000000</f>
        <v>1.0791495</v>
      </c>
    </row>
    <row r="123" customFormat="false" ht="15" hidden="false" customHeight="true" outlineLevel="0" collapsed="false">
      <c r="A123" s="35" t="s">
        <v>311</v>
      </c>
      <c r="B123" s="35" t="s">
        <v>263</v>
      </c>
      <c r="C123" s="35" t="s">
        <v>264</v>
      </c>
      <c r="D123" s="35" t="s">
        <v>265</v>
      </c>
      <c r="E123" s="35" t="s">
        <v>266</v>
      </c>
      <c r="F123" s="35" t="s">
        <v>267</v>
      </c>
      <c r="G123" s="36" t="n">
        <v>4899</v>
      </c>
      <c r="H123" s="37" t="n">
        <v>1797</v>
      </c>
      <c r="I123" s="38" t="n">
        <f aca="false">G123*H123/10000000</f>
        <v>0.8803503</v>
      </c>
    </row>
    <row r="124" customFormat="false" ht="15" hidden="false" customHeight="true" outlineLevel="0" collapsed="false">
      <c r="A124" s="35" t="s">
        <v>312</v>
      </c>
      <c r="B124" s="35" t="s">
        <v>263</v>
      </c>
      <c r="C124" s="35" t="s">
        <v>264</v>
      </c>
      <c r="D124" s="35" t="s">
        <v>265</v>
      </c>
      <c r="E124" s="35" t="s">
        <v>266</v>
      </c>
      <c r="F124" s="35" t="s">
        <v>267</v>
      </c>
      <c r="G124" s="36" t="n">
        <v>4859</v>
      </c>
      <c r="H124" s="37" t="n">
        <v>1339</v>
      </c>
      <c r="I124" s="38" t="n">
        <f aca="false">G124*H124/10000000</f>
        <v>0.6506201</v>
      </c>
    </row>
    <row r="125" customFormat="false" ht="15" hidden="false" customHeight="true" outlineLevel="0" collapsed="false">
      <c r="A125" s="35" t="s">
        <v>313</v>
      </c>
      <c r="B125" s="35" t="s">
        <v>314</v>
      </c>
      <c r="C125" s="35" t="s">
        <v>315</v>
      </c>
      <c r="D125" s="35" t="s">
        <v>316</v>
      </c>
      <c r="E125" s="35" t="s">
        <v>317</v>
      </c>
      <c r="F125" s="35" t="s">
        <v>318</v>
      </c>
      <c r="G125" s="36" t="n">
        <v>3016</v>
      </c>
      <c r="H125" s="37" t="n">
        <v>979</v>
      </c>
      <c r="I125" s="38" t="n">
        <f aca="false">G125*H125/10000000</f>
        <v>0.2952664</v>
      </c>
    </row>
    <row r="126" customFormat="false" ht="15" hidden="false" customHeight="true" outlineLevel="0" collapsed="false">
      <c r="A126" s="35" t="s">
        <v>319</v>
      </c>
      <c r="B126" s="35" t="s">
        <v>314</v>
      </c>
      <c r="C126" s="35" t="s">
        <v>315</v>
      </c>
      <c r="D126" s="35" t="s">
        <v>316</v>
      </c>
      <c r="E126" s="35" t="s">
        <v>317</v>
      </c>
      <c r="F126" s="35" t="s">
        <v>318</v>
      </c>
      <c r="G126" s="36" t="n">
        <v>3456</v>
      </c>
      <c r="H126" s="37" t="n">
        <v>832</v>
      </c>
      <c r="I126" s="38" t="n">
        <f aca="false">G126*H126/10000000</f>
        <v>0.2875392</v>
      </c>
    </row>
    <row r="127" customFormat="false" ht="15" hidden="false" customHeight="true" outlineLevel="0" collapsed="false">
      <c r="A127" s="35" t="s">
        <v>320</v>
      </c>
      <c r="B127" s="35" t="s">
        <v>321</v>
      </c>
      <c r="C127" s="35" t="s">
        <v>322</v>
      </c>
      <c r="D127" s="35" t="s">
        <v>323</v>
      </c>
      <c r="E127" s="35" t="s">
        <v>317</v>
      </c>
      <c r="F127" s="35" t="s">
        <v>318</v>
      </c>
      <c r="G127" s="36" t="n">
        <v>3683</v>
      </c>
      <c r="H127" s="37" t="n">
        <v>886</v>
      </c>
      <c r="I127" s="38" t="n">
        <f aca="false">G127*H127/10000000</f>
        <v>0.3263138</v>
      </c>
    </row>
    <row r="128" customFormat="false" ht="15" hidden="false" customHeight="true" outlineLevel="0" collapsed="false">
      <c r="A128" s="35" t="s">
        <v>324</v>
      </c>
      <c r="B128" s="35" t="s">
        <v>314</v>
      </c>
      <c r="C128" s="35" t="s">
        <v>315</v>
      </c>
      <c r="D128" s="35" t="s">
        <v>316</v>
      </c>
      <c r="E128" s="35" t="s">
        <v>317</v>
      </c>
      <c r="F128" s="35" t="s">
        <v>318</v>
      </c>
      <c r="G128" s="36" t="n">
        <v>2922</v>
      </c>
      <c r="H128" s="37" t="n">
        <v>1041</v>
      </c>
      <c r="I128" s="38" t="n">
        <f aca="false">G128*H128/10000000</f>
        <v>0.3041802</v>
      </c>
    </row>
    <row r="129" customFormat="false" ht="15" hidden="false" customHeight="true" outlineLevel="0" collapsed="false">
      <c r="A129" s="35" t="s">
        <v>325</v>
      </c>
      <c r="B129" s="35" t="s">
        <v>321</v>
      </c>
      <c r="C129" s="35" t="s">
        <v>322</v>
      </c>
      <c r="D129" s="35" t="s">
        <v>323</v>
      </c>
      <c r="E129" s="35" t="s">
        <v>317</v>
      </c>
      <c r="F129" s="35" t="s">
        <v>318</v>
      </c>
      <c r="G129" s="36" t="n">
        <v>3895</v>
      </c>
      <c r="H129" s="37" t="n">
        <v>909</v>
      </c>
      <c r="I129" s="38" t="n">
        <f aca="false">G129*H129/10000000</f>
        <v>0.3540555</v>
      </c>
    </row>
    <row r="130" customFormat="false" ht="15" hidden="false" customHeight="true" outlineLevel="0" collapsed="false">
      <c r="A130" s="35" t="s">
        <v>326</v>
      </c>
      <c r="B130" s="35" t="s">
        <v>321</v>
      </c>
      <c r="C130" s="35" t="s">
        <v>322</v>
      </c>
      <c r="D130" s="35" t="s">
        <v>323</v>
      </c>
      <c r="E130" s="35" t="s">
        <v>317</v>
      </c>
      <c r="F130" s="35" t="s">
        <v>318</v>
      </c>
      <c r="G130" s="36" t="n">
        <v>2783</v>
      </c>
      <c r="H130" s="37" t="n">
        <v>1120</v>
      </c>
      <c r="I130" s="38" t="n">
        <f aca="false">G130*H130/10000000</f>
        <v>0.311696</v>
      </c>
    </row>
    <row r="131" customFormat="false" ht="15" hidden="false" customHeight="true" outlineLevel="0" collapsed="false">
      <c r="A131" s="35" t="s">
        <v>327</v>
      </c>
      <c r="B131" s="35" t="s">
        <v>328</v>
      </c>
      <c r="C131" s="35" t="s">
        <v>329</v>
      </c>
      <c r="D131" s="35" t="s">
        <v>330</v>
      </c>
      <c r="E131" s="35" t="s">
        <v>317</v>
      </c>
      <c r="F131" s="35" t="s">
        <v>318</v>
      </c>
      <c r="G131" s="36" t="n">
        <v>3011</v>
      </c>
      <c r="H131" s="37" t="n">
        <v>1144</v>
      </c>
      <c r="I131" s="38" t="n">
        <f aca="false">G131*H131/10000000</f>
        <v>0.3444584</v>
      </c>
    </row>
    <row r="132" customFormat="false" ht="15" hidden="false" customHeight="true" outlineLevel="0" collapsed="false">
      <c r="A132" s="35" t="s">
        <v>331</v>
      </c>
      <c r="B132" s="35" t="s">
        <v>321</v>
      </c>
      <c r="C132" s="35" t="s">
        <v>322</v>
      </c>
      <c r="D132" s="35" t="s">
        <v>323</v>
      </c>
      <c r="E132" s="35" t="s">
        <v>317</v>
      </c>
      <c r="F132" s="35" t="s">
        <v>318</v>
      </c>
      <c r="G132" s="36" t="n">
        <v>3466</v>
      </c>
      <c r="H132" s="37" t="n">
        <v>1229</v>
      </c>
      <c r="I132" s="38" t="n">
        <f aca="false">G132*H132/10000000</f>
        <v>0.4259714</v>
      </c>
    </row>
    <row r="133" customFormat="false" ht="15" hidden="false" customHeight="true" outlineLevel="0" collapsed="false">
      <c r="A133" s="35" t="s">
        <v>332</v>
      </c>
      <c r="B133" s="35" t="s">
        <v>328</v>
      </c>
      <c r="C133" s="35" t="s">
        <v>329</v>
      </c>
      <c r="D133" s="35" t="s">
        <v>330</v>
      </c>
      <c r="E133" s="35" t="s">
        <v>317</v>
      </c>
      <c r="F133" s="35" t="s">
        <v>318</v>
      </c>
      <c r="G133" s="36" t="n">
        <v>2926</v>
      </c>
      <c r="H133" s="37" t="n">
        <v>964</v>
      </c>
      <c r="I133" s="38" t="n">
        <f aca="false">G133*H133/10000000</f>
        <v>0.2820664</v>
      </c>
    </row>
    <row r="134" customFormat="false" ht="15" hidden="false" customHeight="true" outlineLevel="0" collapsed="false">
      <c r="A134" s="35" t="s">
        <v>333</v>
      </c>
      <c r="B134" s="35" t="s">
        <v>314</v>
      </c>
      <c r="C134" s="35" t="s">
        <v>315</v>
      </c>
      <c r="D134" s="35" t="s">
        <v>316</v>
      </c>
      <c r="E134" s="35" t="s">
        <v>317</v>
      </c>
      <c r="F134" s="35" t="s">
        <v>318</v>
      </c>
      <c r="G134" s="36" t="n">
        <v>3697</v>
      </c>
      <c r="H134" s="37" t="n">
        <v>816</v>
      </c>
      <c r="I134" s="38" t="n">
        <f aca="false">G134*H134/10000000</f>
        <v>0.3016752</v>
      </c>
    </row>
    <row r="135" customFormat="false" ht="15" hidden="false" customHeight="true" outlineLevel="0" collapsed="false">
      <c r="A135" s="35" t="s">
        <v>334</v>
      </c>
      <c r="B135" s="35" t="s">
        <v>321</v>
      </c>
      <c r="C135" s="35" t="s">
        <v>322</v>
      </c>
      <c r="D135" s="35" t="s">
        <v>323</v>
      </c>
      <c r="E135" s="35" t="s">
        <v>317</v>
      </c>
      <c r="F135" s="35" t="s">
        <v>318</v>
      </c>
      <c r="G135" s="36" t="n">
        <v>3787</v>
      </c>
      <c r="H135" s="37" t="n">
        <v>1111</v>
      </c>
      <c r="I135" s="38" t="n">
        <f aca="false">G135*H135/10000000</f>
        <v>0.4207357</v>
      </c>
    </row>
    <row r="136" customFormat="false" ht="15" hidden="false" customHeight="true" outlineLevel="0" collapsed="false">
      <c r="A136" s="35" t="s">
        <v>335</v>
      </c>
      <c r="B136" s="35" t="s">
        <v>314</v>
      </c>
      <c r="C136" s="35" t="s">
        <v>315</v>
      </c>
      <c r="D136" s="35" t="s">
        <v>316</v>
      </c>
      <c r="E136" s="35" t="s">
        <v>317</v>
      </c>
      <c r="F136" s="35" t="s">
        <v>318</v>
      </c>
      <c r="G136" s="36" t="n">
        <v>3389</v>
      </c>
      <c r="H136" s="37" t="n">
        <v>1162</v>
      </c>
      <c r="I136" s="38" t="n">
        <f aca="false">G136*H136/10000000</f>
        <v>0.3938018</v>
      </c>
    </row>
    <row r="137" customFormat="false" ht="15" hidden="false" customHeight="true" outlineLevel="0" collapsed="false">
      <c r="A137" s="35" t="s">
        <v>336</v>
      </c>
      <c r="B137" s="35" t="s">
        <v>321</v>
      </c>
      <c r="C137" s="35" t="s">
        <v>322</v>
      </c>
      <c r="D137" s="35" t="s">
        <v>323</v>
      </c>
      <c r="E137" s="35" t="s">
        <v>317</v>
      </c>
      <c r="F137" s="35" t="s">
        <v>318</v>
      </c>
      <c r="G137" s="36" t="n">
        <v>3168</v>
      </c>
      <c r="H137" s="37" t="n">
        <v>981</v>
      </c>
      <c r="I137" s="38" t="n">
        <f aca="false">G137*H137/10000000</f>
        <v>0.3107808</v>
      </c>
    </row>
    <row r="138" customFormat="false" ht="15" hidden="false" customHeight="true" outlineLevel="0" collapsed="false">
      <c r="A138" s="35" t="s">
        <v>337</v>
      </c>
      <c r="B138" s="35" t="s">
        <v>321</v>
      </c>
      <c r="C138" s="35" t="s">
        <v>322</v>
      </c>
      <c r="D138" s="35" t="s">
        <v>323</v>
      </c>
      <c r="E138" s="35" t="s">
        <v>317</v>
      </c>
      <c r="F138" s="35" t="s">
        <v>318</v>
      </c>
      <c r="G138" s="36" t="n">
        <v>3329</v>
      </c>
      <c r="H138" s="37" t="n">
        <v>1205</v>
      </c>
      <c r="I138" s="38" t="n">
        <f aca="false">G138*H138/10000000</f>
        <v>0.4011445</v>
      </c>
    </row>
    <row r="139" customFormat="false" ht="15" hidden="false" customHeight="true" outlineLevel="0" collapsed="false">
      <c r="A139" s="35" t="s">
        <v>338</v>
      </c>
      <c r="B139" s="35" t="s">
        <v>328</v>
      </c>
      <c r="C139" s="35" t="s">
        <v>329</v>
      </c>
      <c r="D139" s="35" t="s">
        <v>330</v>
      </c>
      <c r="E139" s="35" t="s">
        <v>317</v>
      </c>
      <c r="F139" s="35" t="s">
        <v>318</v>
      </c>
      <c r="G139" s="36" t="n">
        <v>2039</v>
      </c>
      <c r="H139" s="37" t="n">
        <v>1128</v>
      </c>
      <c r="I139" s="38" t="n">
        <f aca="false">G139*H139/10000000</f>
        <v>0.2299992</v>
      </c>
    </row>
    <row r="140" customFormat="false" ht="15" hidden="false" customHeight="true" outlineLevel="0" collapsed="false">
      <c r="A140" s="35" t="s">
        <v>339</v>
      </c>
      <c r="B140" s="35" t="s">
        <v>314</v>
      </c>
      <c r="C140" s="35" t="s">
        <v>315</v>
      </c>
      <c r="D140" s="35" t="s">
        <v>316</v>
      </c>
      <c r="E140" s="35" t="s">
        <v>317</v>
      </c>
      <c r="F140" s="35" t="s">
        <v>318</v>
      </c>
      <c r="G140" s="36" t="n">
        <v>2829</v>
      </c>
      <c r="H140" s="37" t="n">
        <v>1032</v>
      </c>
      <c r="I140" s="38" t="n">
        <f aca="false">G140*H140/10000000</f>
        <v>0.2919528</v>
      </c>
    </row>
    <row r="141" customFormat="false" ht="15" hidden="false" customHeight="true" outlineLevel="0" collapsed="false">
      <c r="A141" s="35" t="s">
        <v>340</v>
      </c>
      <c r="B141" s="35" t="s">
        <v>314</v>
      </c>
      <c r="C141" s="35" t="s">
        <v>315</v>
      </c>
      <c r="D141" s="35" t="s">
        <v>316</v>
      </c>
      <c r="E141" s="35" t="s">
        <v>317</v>
      </c>
      <c r="F141" s="35" t="s">
        <v>318</v>
      </c>
      <c r="G141" s="36" t="n">
        <v>2050</v>
      </c>
      <c r="H141" s="37" t="n">
        <v>1193</v>
      </c>
      <c r="I141" s="38" t="n">
        <f aca="false">G141*H141/10000000</f>
        <v>0.244565</v>
      </c>
    </row>
    <row r="142" customFormat="false" ht="15" hidden="false" customHeight="true" outlineLevel="0" collapsed="false">
      <c r="A142" s="35" t="s">
        <v>341</v>
      </c>
      <c r="B142" s="35" t="s">
        <v>321</v>
      </c>
      <c r="C142" s="35" t="s">
        <v>322</v>
      </c>
      <c r="D142" s="35" t="s">
        <v>323</v>
      </c>
      <c r="E142" s="35" t="s">
        <v>317</v>
      </c>
      <c r="F142" s="35" t="s">
        <v>318</v>
      </c>
      <c r="G142" s="36" t="n">
        <v>2486</v>
      </c>
      <c r="H142" s="37" t="n">
        <v>1198</v>
      </c>
      <c r="I142" s="38" t="n">
        <f aca="false">G142*H142/10000000</f>
        <v>0.2978228</v>
      </c>
    </row>
    <row r="143" customFormat="false" ht="15" hidden="false" customHeight="true" outlineLevel="0" collapsed="false">
      <c r="A143" s="35" t="s">
        <v>342</v>
      </c>
      <c r="B143" s="35" t="s">
        <v>314</v>
      </c>
      <c r="C143" s="35" t="s">
        <v>315</v>
      </c>
      <c r="D143" s="35" t="s">
        <v>316</v>
      </c>
      <c r="E143" s="35" t="s">
        <v>317</v>
      </c>
      <c r="F143" s="35" t="s">
        <v>318</v>
      </c>
      <c r="G143" s="36" t="n">
        <v>3631</v>
      </c>
      <c r="H143" s="37" t="n">
        <v>824</v>
      </c>
      <c r="I143" s="38" t="n">
        <f aca="false">G143*H143/10000000</f>
        <v>0.2991944</v>
      </c>
    </row>
    <row r="144" customFormat="false" ht="15" hidden="false" customHeight="true" outlineLevel="0" collapsed="false">
      <c r="A144" s="35" t="s">
        <v>343</v>
      </c>
      <c r="B144" s="35" t="s">
        <v>328</v>
      </c>
      <c r="C144" s="35" t="s">
        <v>329</v>
      </c>
      <c r="D144" s="35" t="s">
        <v>330</v>
      </c>
      <c r="E144" s="35" t="s">
        <v>317</v>
      </c>
      <c r="F144" s="35" t="s">
        <v>318</v>
      </c>
      <c r="G144" s="36" t="n">
        <v>2236</v>
      </c>
      <c r="H144" s="37" t="n">
        <v>1028</v>
      </c>
      <c r="I144" s="38" t="n">
        <f aca="false">G144*H144/10000000</f>
        <v>0.2298608</v>
      </c>
    </row>
    <row r="145" customFormat="false" ht="15" hidden="false" customHeight="true" outlineLevel="0" collapsed="false">
      <c r="A145" s="35" t="s">
        <v>344</v>
      </c>
      <c r="B145" s="35" t="s">
        <v>314</v>
      </c>
      <c r="C145" s="35" t="s">
        <v>315</v>
      </c>
      <c r="D145" s="35" t="s">
        <v>316</v>
      </c>
      <c r="E145" s="35" t="s">
        <v>317</v>
      </c>
      <c r="F145" s="35" t="s">
        <v>318</v>
      </c>
      <c r="G145" s="36" t="n">
        <v>3290</v>
      </c>
      <c r="H145" s="37" t="n">
        <v>1074</v>
      </c>
      <c r="I145" s="38" t="n">
        <f aca="false">G145*H145/10000000</f>
        <v>0.353346</v>
      </c>
    </row>
    <row r="146" customFormat="false" ht="15" hidden="false" customHeight="true" outlineLevel="0" collapsed="false">
      <c r="A146" s="35" t="s">
        <v>345</v>
      </c>
      <c r="B146" s="35" t="s">
        <v>328</v>
      </c>
      <c r="C146" s="35" t="s">
        <v>329</v>
      </c>
      <c r="D146" s="35" t="s">
        <v>330</v>
      </c>
      <c r="E146" s="35" t="s">
        <v>317</v>
      </c>
      <c r="F146" s="35" t="s">
        <v>318</v>
      </c>
      <c r="G146" s="36" t="n">
        <v>3310</v>
      </c>
      <c r="H146" s="37" t="n">
        <v>1213</v>
      </c>
      <c r="I146" s="38" t="n">
        <f aca="false">G146*H146/10000000</f>
        <v>0.401503</v>
      </c>
    </row>
    <row r="147" customFormat="false" ht="15" hidden="false" customHeight="true" outlineLevel="0" collapsed="false">
      <c r="A147" s="35" t="s">
        <v>346</v>
      </c>
      <c r="B147" s="35" t="s">
        <v>321</v>
      </c>
      <c r="C147" s="35" t="s">
        <v>322</v>
      </c>
      <c r="D147" s="35" t="s">
        <v>323</v>
      </c>
      <c r="E147" s="35" t="s">
        <v>317</v>
      </c>
      <c r="F147" s="35" t="s">
        <v>318</v>
      </c>
      <c r="G147" s="36" t="n">
        <v>3962</v>
      </c>
      <c r="H147" s="37" t="n">
        <v>839</v>
      </c>
      <c r="I147" s="38" t="n">
        <f aca="false">G147*H147/10000000</f>
        <v>0.3324118</v>
      </c>
    </row>
    <row r="148" customFormat="false" ht="15" hidden="false" customHeight="true" outlineLevel="0" collapsed="false">
      <c r="A148" s="35" t="s">
        <v>347</v>
      </c>
      <c r="B148" s="35" t="s">
        <v>328</v>
      </c>
      <c r="C148" s="35" t="s">
        <v>329</v>
      </c>
      <c r="D148" s="35" t="s">
        <v>330</v>
      </c>
      <c r="E148" s="35" t="s">
        <v>317</v>
      </c>
      <c r="F148" s="35" t="s">
        <v>318</v>
      </c>
      <c r="G148" s="36" t="n">
        <v>2405</v>
      </c>
      <c r="H148" s="37" t="n">
        <v>902</v>
      </c>
      <c r="I148" s="38" t="n">
        <f aca="false">G148*H148/10000000</f>
        <v>0.216931</v>
      </c>
    </row>
    <row r="149" customFormat="false" ht="15" hidden="false" customHeight="true" outlineLevel="0" collapsed="false">
      <c r="A149" s="35" t="s">
        <v>348</v>
      </c>
      <c r="B149" s="35" t="s">
        <v>321</v>
      </c>
      <c r="C149" s="35" t="s">
        <v>322</v>
      </c>
      <c r="D149" s="35" t="s">
        <v>323</v>
      </c>
      <c r="E149" s="35" t="s">
        <v>317</v>
      </c>
      <c r="F149" s="35" t="s">
        <v>318</v>
      </c>
      <c r="G149" s="36" t="n">
        <v>2524</v>
      </c>
      <c r="H149" s="37" t="n">
        <v>891</v>
      </c>
      <c r="I149" s="38" t="n">
        <f aca="false">G149*H149/10000000</f>
        <v>0.2248884</v>
      </c>
    </row>
    <row r="150" customFormat="false" ht="15" hidden="false" customHeight="true" outlineLevel="0" collapsed="false">
      <c r="A150" s="35" t="s">
        <v>349</v>
      </c>
      <c r="B150" s="35" t="s">
        <v>328</v>
      </c>
      <c r="C150" s="35" t="s">
        <v>329</v>
      </c>
      <c r="D150" s="35" t="s">
        <v>330</v>
      </c>
      <c r="E150" s="35" t="s">
        <v>317</v>
      </c>
      <c r="F150" s="35" t="s">
        <v>318</v>
      </c>
      <c r="G150" s="36" t="n">
        <v>2022</v>
      </c>
      <c r="H150" s="37" t="n">
        <v>1186</v>
      </c>
      <c r="I150" s="38" t="n">
        <f aca="false">G150*H150/10000000</f>
        <v>0.2398092</v>
      </c>
    </row>
    <row r="151" customFormat="false" ht="15" hidden="false" customHeight="true" outlineLevel="0" collapsed="false">
      <c r="A151" s="35" t="s">
        <v>350</v>
      </c>
      <c r="B151" s="35" t="s">
        <v>321</v>
      </c>
      <c r="C151" s="35" t="s">
        <v>322</v>
      </c>
      <c r="D151" s="35" t="s">
        <v>323</v>
      </c>
      <c r="E151" s="35" t="s">
        <v>317</v>
      </c>
      <c r="F151" s="35" t="s">
        <v>318</v>
      </c>
      <c r="G151" s="36" t="n">
        <v>3095</v>
      </c>
      <c r="H151" s="37" t="n">
        <v>1165</v>
      </c>
      <c r="I151" s="38" t="n">
        <f aca="false">G151*H151/10000000</f>
        <v>0.3605675</v>
      </c>
    </row>
    <row r="152" customFormat="false" ht="15" hidden="false" customHeight="true" outlineLevel="0" collapsed="false">
      <c r="A152" s="35" t="s">
        <v>351</v>
      </c>
      <c r="B152" s="35" t="s">
        <v>314</v>
      </c>
      <c r="C152" s="35" t="s">
        <v>315</v>
      </c>
      <c r="D152" s="35" t="s">
        <v>316</v>
      </c>
      <c r="E152" s="35" t="s">
        <v>317</v>
      </c>
      <c r="F152" s="35" t="s">
        <v>318</v>
      </c>
      <c r="G152" s="36" t="n">
        <v>2366</v>
      </c>
      <c r="H152" s="37" t="n">
        <v>915</v>
      </c>
      <c r="I152" s="38" t="n">
        <f aca="false">G152*H152/10000000</f>
        <v>0.216489</v>
      </c>
    </row>
    <row r="153" customFormat="false" ht="15" hidden="false" customHeight="true" outlineLevel="0" collapsed="false">
      <c r="A153" s="35" t="s">
        <v>352</v>
      </c>
      <c r="B153" s="35" t="s">
        <v>321</v>
      </c>
      <c r="C153" s="35" t="s">
        <v>322</v>
      </c>
      <c r="D153" s="35" t="s">
        <v>323</v>
      </c>
      <c r="E153" s="35" t="s">
        <v>317</v>
      </c>
      <c r="F153" s="35" t="s">
        <v>318</v>
      </c>
      <c r="G153" s="36" t="n">
        <v>3594</v>
      </c>
      <c r="H153" s="37" t="n">
        <v>977</v>
      </c>
      <c r="I153" s="38" t="n">
        <f aca="false">G153*H153/10000000</f>
        <v>0.3511338</v>
      </c>
    </row>
    <row r="154" customFormat="false" ht="15" hidden="false" customHeight="true" outlineLevel="0" collapsed="false">
      <c r="A154" s="35" t="s">
        <v>353</v>
      </c>
      <c r="B154" s="35" t="s">
        <v>328</v>
      </c>
      <c r="C154" s="35" t="s">
        <v>329</v>
      </c>
      <c r="D154" s="35" t="s">
        <v>330</v>
      </c>
      <c r="E154" s="35" t="s">
        <v>317</v>
      </c>
      <c r="F154" s="35" t="s">
        <v>318</v>
      </c>
      <c r="G154" s="36" t="n">
        <v>3428</v>
      </c>
      <c r="H154" s="37" t="n">
        <v>1284</v>
      </c>
      <c r="I154" s="38" t="n">
        <f aca="false">G154*H154/10000000</f>
        <v>0.4401552</v>
      </c>
    </row>
    <row r="155" customFormat="false" ht="15" hidden="false" customHeight="true" outlineLevel="0" collapsed="false">
      <c r="A155" s="35" t="s">
        <v>354</v>
      </c>
      <c r="B155" s="35" t="s">
        <v>328</v>
      </c>
      <c r="C155" s="35" t="s">
        <v>329</v>
      </c>
      <c r="D155" s="35" t="s">
        <v>330</v>
      </c>
      <c r="E155" s="35" t="s">
        <v>317</v>
      </c>
      <c r="F155" s="35" t="s">
        <v>318</v>
      </c>
      <c r="G155" s="36" t="n">
        <v>3024</v>
      </c>
      <c r="H155" s="37" t="n">
        <v>1114</v>
      </c>
      <c r="I155" s="38" t="n">
        <f aca="false">G155*H155/10000000</f>
        <v>0.3368736</v>
      </c>
    </row>
    <row r="156" customFormat="false" ht="15" hidden="false" customHeight="true" outlineLevel="0" collapsed="false">
      <c r="A156" s="35" t="s">
        <v>355</v>
      </c>
      <c r="B156" s="35" t="s">
        <v>314</v>
      </c>
      <c r="C156" s="35" t="s">
        <v>315</v>
      </c>
      <c r="D156" s="35" t="s">
        <v>316</v>
      </c>
      <c r="E156" s="35" t="s">
        <v>317</v>
      </c>
      <c r="F156" s="35" t="s">
        <v>318</v>
      </c>
      <c r="G156" s="36" t="n">
        <v>2805</v>
      </c>
      <c r="H156" s="37" t="n">
        <v>1234</v>
      </c>
      <c r="I156" s="38" t="n">
        <f aca="false">G156*H156/10000000</f>
        <v>0.346137</v>
      </c>
    </row>
    <row r="157" customFormat="false" ht="15" hidden="false" customHeight="true" outlineLevel="0" collapsed="false">
      <c r="A157" s="35" t="s">
        <v>356</v>
      </c>
      <c r="B157" s="35" t="s">
        <v>328</v>
      </c>
      <c r="C157" s="35" t="s">
        <v>329</v>
      </c>
      <c r="D157" s="35" t="s">
        <v>330</v>
      </c>
      <c r="E157" s="35" t="s">
        <v>317</v>
      </c>
      <c r="F157" s="35" t="s">
        <v>318</v>
      </c>
      <c r="G157" s="36" t="n">
        <v>3855</v>
      </c>
      <c r="H157" s="37" t="n">
        <v>914</v>
      </c>
      <c r="I157" s="38" t="n">
        <f aca="false">G157*H157/10000000</f>
        <v>0.352347</v>
      </c>
    </row>
    <row r="158" customFormat="false" ht="15" hidden="false" customHeight="true" outlineLevel="0" collapsed="false">
      <c r="A158" s="35" t="s">
        <v>357</v>
      </c>
      <c r="B158" s="35" t="s">
        <v>314</v>
      </c>
      <c r="C158" s="35" t="s">
        <v>315</v>
      </c>
      <c r="D158" s="35" t="s">
        <v>316</v>
      </c>
      <c r="E158" s="35" t="s">
        <v>317</v>
      </c>
      <c r="F158" s="35" t="s">
        <v>318</v>
      </c>
      <c r="G158" s="36" t="n">
        <v>2840</v>
      </c>
      <c r="H158" s="37" t="n">
        <v>1277</v>
      </c>
      <c r="I158" s="38" t="n">
        <f aca="false">G158*H158/10000000</f>
        <v>0.362668</v>
      </c>
    </row>
    <row r="159" customFormat="false" ht="15" hidden="false" customHeight="true" outlineLevel="0" collapsed="false">
      <c r="A159" s="35" t="s">
        <v>358</v>
      </c>
      <c r="B159" s="35" t="s">
        <v>328</v>
      </c>
      <c r="C159" s="35" t="s">
        <v>329</v>
      </c>
      <c r="D159" s="35" t="s">
        <v>330</v>
      </c>
      <c r="E159" s="35" t="s">
        <v>317</v>
      </c>
      <c r="F159" s="35" t="s">
        <v>318</v>
      </c>
      <c r="G159" s="36" t="n">
        <v>2794</v>
      </c>
      <c r="H159" s="37" t="n">
        <v>866</v>
      </c>
      <c r="I159" s="38" t="n">
        <f aca="false">G159*H159/10000000</f>
        <v>0.2419604</v>
      </c>
    </row>
    <row r="160" customFormat="false" ht="15" hidden="false" customHeight="true" outlineLevel="0" collapsed="false">
      <c r="A160" s="35" t="s">
        <v>359</v>
      </c>
      <c r="B160" s="35" t="s">
        <v>321</v>
      </c>
      <c r="C160" s="35" t="s">
        <v>322</v>
      </c>
      <c r="D160" s="35" t="s">
        <v>323</v>
      </c>
      <c r="E160" s="35" t="s">
        <v>317</v>
      </c>
      <c r="F160" s="35" t="s">
        <v>318</v>
      </c>
      <c r="G160" s="36" t="n">
        <v>2928</v>
      </c>
      <c r="H160" s="37" t="n">
        <v>900</v>
      </c>
      <c r="I160" s="38" t="n">
        <f aca="false">G160*H160/10000000</f>
        <v>0.26352</v>
      </c>
    </row>
    <row r="161" customFormat="false" ht="15" hidden="false" customHeight="true" outlineLevel="0" collapsed="false">
      <c r="A161" s="35" t="s">
        <v>360</v>
      </c>
      <c r="B161" s="35" t="s">
        <v>328</v>
      </c>
      <c r="C161" s="35" t="s">
        <v>329</v>
      </c>
      <c r="D161" s="35" t="s">
        <v>330</v>
      </c>
      <c r="E161" s="35" t="s">
        <v>317</v>
      </c>
      <c r="F161" s="35" t="s">
        <v>318</v>
      </c>
      <c r="G161" s="36" t="n">
        <v>3817</v>
      </c>
      <c r="H161" s="37" t="n">
        <v>1265</v>
      </c>
      <c r="I161" s="38" t="n">
        <f aca="false">G161*H161/10000000</f>
        <v>0.4828505</v>
      </c>
    </row>
    <row r="162" customFormat="false" ht="15" hidden="false" customHeight="true" outlineLevel="0" collapsed="false">
      <c r="A162" s="35" t="s">
        <v>361</v>
      </c>
      <c r="B162" s="35" t="s">
        <v>314</v>
      </c>
      <c r="C162" s="35" t="s">
        <v>315</v>
      </c>
      <c r="D162" s="35" t="s">
        <v>316</v>
      </c>
      <c r="E162" s="35" t="s">
        <v>317</v>
      </c>
      <c r="F162" s="35" t="s">
        <v>318</v>
      </c>
      <c r="G162" s="36" t="n">
        <v>2771</v>
      </c>
      <c r="H162" s="37" t="n">
        <v>1081</v>
      </c>
      <c r="I162" s="38" t="n">
        <f aca="false">G162*H162/10000000</f>
        <v>0.2995451</v>
      </c>
    </row>
    <row r="163" customFormat="false" ht="15" hidden="false" customHeight="true" outlineLevel="0" collapsed="false">
      <c r="A163" s="35" t="s">
        <v>362</v>
      </c>
      <c r="B163" s="35" t="s">
        <v>328</v>
      </c>
      <c r="C163" s="35" t="s">
        <v>329</v>
      </c>
      <c r="D163" s="35" t="s">
        <v>330</v>
      </c>
      <c r="E163" s="35" t="s">
        <v>317</v>
      </c>
      <c r="F163" s="35" t="s">
        <v>318</v>
      </c>
      <c r="G163" s="36" t="n">
        <v>3336</v>
      </c>
      <c r="H163" s="37" t="n">
        <v>1250</v>
      </c>
      <c r="I163" s="38" t="n">
        <f aca="false">G163*H163/10000000</f>
        <v>0.417</v>
      </c>
    </row>
    <row r="164" customFormat="false" ht="15" hidden="false" customHeight="true" outlineLevel="0" collapsed="false">
      <c r="A164" s="35" t="s">
        <v>363</v>
      </c>
      <c r="B164" s="35" t="s">
        <v>328</v>
      </c>
      <c r="C164" s="35" t="s">
        <v>329</v>
      </c>
      <c r="D164" s="35" t="s">
        <v>330</v>
      </c>
      <c r="E164" s="35" t="s">
        <v>317</v>
      </c>
      <c r="F164" s="35" t="s">
        <v>318</v>
      </c>
      <c r="G164" s="36" t="n">
        <v>3631</v>
      </c>
      <c r="H164" s="37" t="n">
        <v>1219</v>
      </c>
      <c r="I164" s="38" t="n">
        <f aca="false">G164*H164/10000000</f>
        <v>0.4426189</v>
      </c>
    </row>
    <row r="165" customFormat="false" ht="15" hidden="false" customHeight="true" outlineLevel="0" collapsed="false">
      <c r="A165" s="35" t="s">
        <v>364</v>
      </c>
      <c r="B165" s="35" t="s">
        <v>365</v>
      </c>
      <c r="C165" s="35" t="s">
        <v>366</v>
      </c>
      <c r="D165" s="35" t="s">
        <v>367</v>
      </c>
      <c r="E165" s="35" t="s">
        <v>368</v>
      </c>
      <c r="F165" s="35" t="s">
        <v>318</v>
      </c>
      <c r="G165" s="36" t="n">
        <v>1849</v>
      </c>
      <c r="H165" s="37" t="n">
        <v>617</v>
      </c>
      <c r="I165" s="38" t="n">
        <f aca="false">G165*H165/10000000</f>
        <v>0.1140833</v>
      </c>
    </row>
    <row r="166" customFormat="false" ht="15" hidden="false" customHeight="true" outlineLevel="0" collapsed="false">
      <c r="A166" s="35" t="s">
        <v>369</v>
      </c>
      <c r="B166" s="35" t="s">
        <v>218</v>
      </c>
      <c r="C166" s="35" t="s">
        <v>370</v>
      </c>
      <c r="D166" s="35" t="s">
        <v>371</v>
      </c>
      <c r="E166" s="35" t="s">
        <v>368</v>
      </c>
      <c r="F166" s="35" t="s">
        <v>318</v>
      </c>
      <c r="G166" s="36" t="n">
        <v>1319</v>
      </c>
      <c r="H166" s="37" t="n">
        <v>500</v>
      </c>
      <c r="I166" s="38" t="n">
        <f aca="false">G166*H166/10000000</f>
        <v>0.06595</v>
      </c>
    </row>
    <row r="167" customFormat="false" ht="15" hidden="false" customHeight="true" outlineLevel="0" collapsed="false">
      <c r="A167" s="35" t="s">
        <v>372</v>
      </c>
      <c r="B167" s="35" t="s">
        <v>218</v>
      </c>
      <c r="C167" s="35" t="s">
        <v>370</v>
      </c>
      <c r="D167" s="35" t="s">
        <v>371</v>
      </c>
      <c r="E167" s="35" t="s">
        <v>368</v>
      </c>
      <c r="F167" s="35" t="s">
        <v>318</v>
      </c>
      <c r="G167" s="36" t="n">
        <v>1152</v>
      </c>
      <c r="H167" s="37" t="n">
        <v>559</v>
      </c>
      <c r="I167" s="38" t="n">
        <f aca="false">G167*H167/10000000</f>
        <v>0.0643968</v>
      </c>
    </row>
    <row r="168" customFormat="false" ht="15" hidden="false" customHeight="true" outlineLevel="0" collapsed="false">
      <c r="A168" s="35" t="s">
        <v>373</v>
      </c>
      <c r="B168" s="35" t="s">
        <v>270</v>
      </c>
      <c r="C168" s="35" t="s">
        <v>271</v>
      </c>
      <c r="D168" s="35" t="s">
        <v>272</v>
      </c>
      <c r="E168" s="35" t="s">
        <v>368</v>
      </c>
      <c r="F168" s="35" t="s">
        <v>318</v>
      </c>
      <c r="G168" s="36" t="n">
        <v>1699</v>
      </c>
      <c r="H168" s="37" t="n">
        <v>494</v>
      </c>
      <c r="I168" s="38" t="n">
        <f aca="false">G168*H168/10000000</f>
        <v>0.0839306</v>
      </c>
    </row>
    <row r="169" customFormat="false" ht="15" hidden="false" customHeight="true" outlineLevel="0" collapsed="false">
      <c r="A169" s="35" t="s">
        <v>374</v>
      </c>
      <c r="B169" s="35" t="s">
        <v>365</v>
      </c>
      <c r="C169" s="35" t="s">
        <v>366</v>
      </c>
      <c r="D169" s="35" t="s">
        <v>367</v>
      </c>
      <c r="E169" s="35" t="s">
        <v>368</v>
      </c>
      <c r="F169" s="35" t="s">
        <v>318</v>
      </c>
      <c r="G169" s="36" t="n">
        <v>1999</v>
      </c>
      <c r="H169" s="37" t="n">
        <v>614</v>
      </c>
      <c r="I169" s="38" t="n">
        <f aca="false">G169*H169/10000000</f>
        <v>0.1227386</v>
      </c>
    </row>
    <row r="170" customFormat="false" ht="15" hidden="false" customHeight="true" outlineLevel="0" collapsed="false">
      <c r="A170" s="35" t="s">
        <v>375</v>
      </c>
      <c r="B170" s="35" t="s">
        <v>365</v>
      </c>
      <c r="C170" s="35" t="s">
        <v>366</v>
      </c>
      <c r="D170" s="35" t="s">
        <v>367</v>
      </c>
      <c r="E170" s="35" t="s">
        <v>368</v>
      </c>
      <c r="F170" s="35" t="s">
        <v>318</v>
      </c>
      <c r="G170" s="36" t="n">
        <v>932</v>
      </c>
      <c r="H170" s="37" t="n">
        <v>628</v>
      </c>
      <c r="I170" s="38" t="n">
        <f aca="false">G170*H170/10000000</f>
        <v>0.0585296</v>
      </c>
    </row>
    <row r="171" customFormat="false" ht="15" hidden="false" customHeight="true" outlineLevel="0" collapsed="false">
      <c r="A171" s="35" t="s">
        <v>376</v>
      </c>
      <c r="B171" s="35" t="s">
        <v>218</v>
      </c>
      <c r="C171" s="35" t="s">
        <v>370</v>
      </c>
      <c r="D171" s="35" t="s">
        <v>371</v>
      </c>
      <c r="E171" s="35" t="s">
        <v>368</v>
      </c>
      <c r="F171" s="35" t="s">
        <v>318</v>
      </c>
      <c r="G171" s="36" t="n">
        <v>1069</v>
      </c>
      <c r="H171" s="37" t="n">
        <v>469</v>
      </c>
      <c r="I171" s="38" t="n">
        <f aca="false">G171*H171/10000000</f>
        <v>0.0501361</v>
      </c>
    </row>
    <row r="172" customFormat="false" ht="15" hidden="false" customHeight="true" outlineLevel="0" collapsed="false">
      <c r="A172" s="35" t="s">
        <v>377</v>
      </c>
      <c r="B172" s="35" t="s">
        <v>365</v>
      </c>
      <c r="C172" s="35" t="s">
        <v>366</v>
      </c>
      <c r="D172" s="35" t="s">
        <v>367</v>
      </c>
      <c r="E172" s="35" t="s">
        <v>368</v>
      </c>
      <c r="F172" s="35" t="s">
        <v>318</v>
      </c>
      <c r="G172" s="36" t="n">
        <v>1600</v>
      </c>
      <c r="H172" s="37" t="n">
        <v>731</v>
      </c>
      <c r="I172" s="38" t="n">
        <f aca="false">G172*H172/10000000</f>
        <v>0.11696</v>
      </c>
    </row>
    <row r="173" customFormat="false" ht="15" hidden="false" customHeight="true" outlineLevel="0" collapsed="false">
      <c r="A173" s="35" t="s">
        <v>378</v>
      </c>
      <c r="B173" s="35" t="s">
        <v>365</v>
      </c>
      <c r="C173" s="35" t="s">
        <v>366</v>
      </c>
      <c r="D173" s="35" t="s">
        <v>367</v>
      </c>
      <c r="E173" s="35" t="s">
        <v>368</v>
      </c>
      <c r="F173" s="35" t="s">
        <v>318</v>
      </c>
      <c r="G173" s="36" t="n">
        <v>1463</v>
      </c>
      <c r="H173" s="37" t="n">
        <v>699</v>
      </c>
      <c r="I173" s="38" t="n">
        <f aca="false">G173*H173/10000000</f>
        <v>0.1022637</v>
      </c>
    </row>
    <row r="174" customFormat="false" ht="15" hidden="false" customHeight="true" outlineLevel="0" collapsed="false">
      <c r="A174" s="35" t="s">
        <v>379</v>
      </c>
      <c r="B174" s="35" t="s">
        <v>270</v>
      </c>
      <c r="C174" s="35" t="s">
        <v>271</v>
      </c>
      <c r="D174" s="35" t="s">
        <v>272</v>
      </c>
      <c r="E174" s="35" t="s">
        <v>368</v>
      </c>
      <c r="F174" s="35" t="s">
        <v>318</v>
      </c>
      <c r="G174" s="36" t="n">
        <v>1347</v>
      </c>
      <c r="H174" s="37" t="n">
        <v>482</v>
      </c>
      <c r="I174" s="38" t="n">
        <f aca="false">G174*H174/10000000</f>
        <v>0.0649254</v>
      </c>
    </row>
    <row r="175" customFormat="false" ht="15" hidden="false" customHeight="true" outlineLevel="0" collapsed="false">
      <c r="A175" s="35" t="s">
        <v>380</v>
      </c>
      <c r="B175" s="35" t="s">
        <v>365</v>
      </c>
      <c r="C175" s="35" t="s">
        <v>366</v>
      </c>
      <c r="D175" s="35" t="s">
        <v>367</v>
      </c>
      <c r="E175" s="35" t="s">
        <v>368</v>
      </c>
      <c r="F175" s="35" t="s">
        <v>318</v>
      </c>
      <c r="G175" s="36" t="n">
        <v>971</v>
      </c>
      <c r="H175" s="37" t="n">
        <v>538</v>
      </c>
      <c r="I175" s="38" t="n">
        <f aca="false">G175*H175/10000000</f>
        <v>0.0522398</v>
      </c>
    </row>
    <row r="176" customFormat="false" ht="15" hidden="false" customHeight="true" outlineLevel="0" collapsed="false">
      <c r="A176" s="35" t="s">
        <v>381</v>
      </c>
      <c r="B176" s="35" t="s">
        <v>218</v>
      </c>
      <c r="C176" s="35" t="s">
        <v>370</v>
      </c>
      <c r="D176" s="35" t="s">
        <v>371</v>
      </c>
      <c r="E176" s="35" t="s">
        <v>368</v>
      </c>
      <c r="F176" s="35" t="s">
        <v>318</v>
      </c>
      <c r="G176" s="36" t="n">
        <v>1586</v>
      </c>
      <c r="H176" s="37" t="n">
        <v>521</v>
      </c>
      <c r="I176" s="38" t="n">
        <f aca="false">G176*H176/10000000</f>
        <v>0.0826306</v>
      </c>
    </row>
    <row r="177" customFormat="false" ht="15" hidden="false" customHeight="true" outlineLevel="0" collapsed="false">
      <c r="A177" s="35" t="s">
        <v>382</v>
      </c>
      <c r="B177" s="35" t="s">
        <v>365</v>
      </c>
      <c r="C177" s="35" t="s">
        <v>366</v>
      </c>
      <c r="D177" s="35" t="s">
        <v>367</v>
      </c>
      <c r="E177" s="35" t="s">
        <v>368</v>
      </c>
      <c r="F177" s="35" t="s">
        <v>318</v>
      </c>
      <c r="G177" s="36" t="n">
        <v>1204</v>
      </c>
      <c r="H177" s="37" t="n">
        <v>714</v>
      </c>
      <c r="I177" s="38" t="n">
        <f aca="false">G177*H177/10000000</f>
        <v>0.0859656</v>
      </c>
    </row>
    <row r="178" customFormat="false" ht="15" hidden="false" customHeight="true" outlineLevel="0" collapsed="false">
      <c r="A178" s="35" t="s">
        <v>383</v>
      </c>
      <c r="B178" s="35" t="s">
        <v>218</v>
      </c>
      <c r="C178" s="35" t="s">
        <v>370</v>
      </c>
      <c r="D178" s="35" t="s">
        <v>371</v>
      </c>
      <c r="E178" s="35" t="s">
        <v>368</v>
      </c>
      <c r="F178" s="35" t="s">
        <v>318</v>
      </c>
      <c r="G178" s="36" t="n">
        <v>1961</v>
      </c>
      <c r="H178" s="37" t="n">
        <v>675</v>
      </c>
      <c r="I178" s="38" t="n">
        <f aca="false">G178*H178/10000000</f>
        <v>0.1323675</v>
      </c>
    </row>
    <row r="179" customFormat="false" ht="15" hidden="false" customHeight="true" outlineLevel="0" collapsed="false">
      <c r="A179" s="35" t="s">
        <v>384</v>
      </c>
      <c r="B179" s="35" t="s">
        <v>365</v>
      </c>
      <c r="C179" s="35" t="s">
        <v>366</v>
      </c>
      <c r="D179" s="35" t="s">
        <v>367</v>
      </c>
      <c r="E179" s="35" t="s">
        <v>368</v>
      </c>
      <c r="F179" s="35" t="s">
        <v>318</v>
      </c>
      <c r="G179" s="36" t="n">
        <v>2085</v>
      </c>
      <c r="H179" s="37" t="n">
        <v>494</v>
      </c>
      <c r="I179" s="38" t="n">
        <f aca="false">G179*H179/10000000</f>
        <v>0.102999</v>
      </c>
    </row>
    <row r="180" customFormat="false" ht="15" hidden="false" customHeight="true" outlineLevel="0" collapsed="false">
      <c r="A180" s="35" t="s">
        <v>385</v>
      </c>
      <c r="B180" s="35" t="s">
        <v>270</v>
      </c>
      <c r="C180" s="35" t="s">
        <v>271</v>
      </c>
      <c r="D180" s="35" t="s">
        <v>272</v>
      </c>
      <c r="E180" s="35" t="s">
        <v>368</v>
      </c>
      <c r="F180" s="35" t="s">
        <v>318</v>
      </c>
      <c r="G180" s="36" t="n">
        <v>1799</v>
      </c>
      <c r="H180" s="37" t="n">
        <v>719</v>
      </c>
      <c r="I180" s="38" t="n">
        <f aca="false">G180*H180/10000000</f>
        <v>0.1293481</v>
      </c>
    </row>
    <row r="181" customFormat="false" ht="15" hidden="false" customHeight="true" outlineLevel="0" collapsed="false">
      <c r="A181" s="35" t="s">
        <v>386</v>
      </c>
      <c r="B181" s="35" t="s">
        <v>218</v>
      </c>
      <c r="C181" s="35" t="s">
        <v>370</v>
      </c>
      <c r="D181" s="35" t="s">
        <v>371</v>
      </c>
      <c r="E181" s="35" t="s">
        <v>368</v>
      </c>
      <c r="F181" s="35" t="s">
        <v>318</v>
      </c>
      <c r="G181" s="36" t="n">
        <v>1494</v>
      </c>
      <c r="H181" s="37" t="n">
        <v>737</v>
      </c>
      <c r="I181" s="38" t="n">
        <f aca="false">G181*H181/10000000</f>
        <v>0.1101078</v>
      </c>
    </row>
    <row r="182" customFormat="false" ht="15" hidden="false" customHeight="true" outlineLevel="0" collapsed="false">
      <c r="A182" s="35" t="s">
        <v>387</v>
      </c>
      <c r="B182" s="35" t="s">
        <v>218</v>
      </c>
      <c r="C182" s="35" t="s">
        <v>370</v>
      </c>
      <c r="D182" s="35" t="s">
        <v>371</v>
      </c>
      <c r="E182" s="35" t="s">
        <v>368</v>
      </c>
      <c r="F182" s="35" t="s">
        <v>318</v>
      </c>
      <c r="G182" s="36" t="n">
        <v>1236</v>
      </c>
      <c r="H182" s="37" t="n">
        <v>717</v>
      </c>
      <c r="I182" s="38" t="n">
        <f aca="false">G182*H182/10000000</f>
        <v>0.0886212</v>
      </c>
    </row>
    <row r="183" customFormat="false" ht="15" hidden="false" customHeight="true" outlineLevel="0" collapsed="false">
      <c r="A183" s="35" t="s">
        <v>388</v>
      </c>
      <c r="B183" s="35" t="s">
        <v>218</v>
      </c>
      <c r="C183" s="35" t="s">
        <v>370</v>
      </c>
      <c r="D183" s="35" t="s">
        <v>371</v>
      </c>
      <c r="E183" s="35" t="s">
        <v>368</v>
      </c>
      <c r="F183" s="35" t="s">
        <v>318</v>
      </c>
      <c r="G183" s="36" t="n">
        <v>2046</v>
      </c>
      <c r="H183" s="37" t="n">
        <v>581</v>
      </c>
      <c r="I183" s="38" t="n">
        <f aca="false">G183*H183/10000000</f>
        <v>0.1188726</v>
      </c>
    </row>
    <row r="184" customFormat="false" ht="15" hidden="false" customHeight="true" outlineLevel="0" collapsed="false">
      <c r="A184" s="35" t="s">
        <v>389</v>
      </c>
      <c r="B184" s="35" t="s">
        <v>365</v>
      </c>
      <c r="C184" s="35" t="s">
        <v>366</v>
      </c>
      <c r="D184" s="35" t="s">
        <v>367</v>
      </c>
      <c r="E184" s="35" t="s">
        <v>368</v>
      </c>
      <c r="F184" s="35" t="s">
        <v>318</v>
      </c>
      <c r="G184" s="36" t="n">
        <v>1680</v>
      </c>
      <c r="H184" s="37" t="n">
        <v>556</v>
      </c>
      <c r="I184" s="38" t="n">
        <f aca="false">G184*H184/10000000</f>
        <v>0.093408</v>
      </c>
    </row>
    <row r="185" customFormat="false" ht="15" hidden="false" customHeight="true" outlineLevel="0" collapsed="false">
      <c r="A185" s="35" t="s">
        <v>390</v>
      </c>
      <c r="B185" s="35" t="s">
        <v>365</v>
      </c>
      <c r="C185" s="35" t="s">
        <v>366</v>
      </c>
      <c r="D185" s="35" t="s">
        <v>367</v>
      </c>
      <c r="E185" s="35" t="s">
        <v>368</v>
      </c>
      <c r="F185" s="35" t="s">
        <v>318</v>
      </c>
      <c r="G185" s="36" t="n">
        <v>1189</v>
      </c>
      <c r="H185" s="37" t="n">
        <v>728</v>
      </c>
      <c r="I185" s="38" t="n">
        <f aca="false">G185*H185/10000000</f>
        <v>0.0865592</v>
      </c>
    </row>
    <row r="186" customFormat="false" ht="15" hidden="false" customHeight="true" outlineLevel="0" collapsed="false">
      <c r="A186" s="35" t="s">
        <v>391</v>
      </c>
      <c r="B186" s="35" t="s">
        <v>218</v>
      </c>
      <c r="C186" s="35" t="s">
        <v>370</v>
      </c>
      <c r="D186" s="35" t="s">
        <v>371</v>
      </c>
      <c r="E186" s="35" t="s">
        <v>368</v>
      </c>
      <c r="F186" s="35" t="s">
        <v>318</v>
      </c>
      <c r="G186" s="36" t="n">
        <v>1459</v>
      </c>
      <c r="H186" s="37" t="n">
        <v>743</v>
      </c>
      <c r="I186" s="38" t="n">
        <f aca="false">G186*H186/10000000</f>
        <v>0.1084037</v>
      </c>
    </row>
    <row r="187" customFormat="false" ht="15" hidden="false" customHeight="true" outlineLevel="0" collapsed="false">
      <c r="A187" s="35" t="s">
        <v>392</v>
      </c>
      <c r="B187" s="35" t="s">
        <v>365</v>
      </c>
      <c r="C187" s="35" t="s">
        <v>366</v>
      </c>
      <c r="D187" s="35" t="s">
        <v>367</v>
      </c>
      <c r="E187" s="35" t="s">
        <v>368</v>
      </c>
      <c r="F187" s="35" t="s">
        <v>318</v>
      </c>
      <c r="G187" s="36" t="n">
        <v>1311</v>
      </c>
      <c r="H187" s="37" t="n">
        <v>660</v>
      </c>
      <c r="I187" s="38" t="n">
        <f aca="false">G187*H187/10000000</f>
        <v>0.086526</v>
      </c>
    </row>
    <row r="188" customFormat="false" ht="15" hidden="false" customHeight="true" outlineLevel="0" collapsed="false">
      <c r="A188" s="35" t="s">
        <v>393</v>
      </c>
      <c r="B188" s="35" t="s">
        <v>218</v>
      </c>
      <c r="C188" s="35" t="s">
        <v>370</v>
      </c>
      <c r="D188" s="35" t="s">
        <v>371</v>
      </c>
      <c r="E188" s="35" t="s">
        <v>368</v>
      </c>
      <c r="F188" s="35" t="s">
        <v>318</v>
      </c>
      <c r="G188" s="36" t="n">
        <v>1134</v>
      </c>
      <c r="H188" s="37" t="n">
        <v>707</v>
      </c>
      <c r="I188" s="38" t="n">
        <f aca="false">G188*H188/10000000</f>
        <v>0.0801738</v>
      </c>
    </row>
    <row r="189" customFormat="false" ht="15" hidden="false" customHeight="true" outlineLevel="0" collapsed="false">
      <c r="A189" s="35" t="s">
        <v>394</v>
      </c>
      <c r="B189" s="35" t="s">
        <v>270</v>
      </c>
      <c r="C189" s="35" t="s">
        <v>271</v>
      </c>
      <c r="D189" s="35" t="s">
        <v>272</v>
      </c>
      <c r="E189" s="35" t="s">
        <v>368</v>
      </c>
      <c r="F189" s="35" t="s">
        <v>318</v>
      </c>
      <c r="G189" s="36" t="n">
        <v>2139</v>
      </c>
      <c r="H189" s="37" t="n">
        <v>643</v>
      </c>
      <c r="I189" s="38" t="n">
        <f aca="false">G189*H189/10000000</f>
        <v>0.1375377</v>
      </c>
    </row>
    <row r="190" customFormat="false" ht="15" hidden="false" customHeight="true" outlineLevel="0" collapsed="false">
      <c r="A190" s="35" t="s">
        <v>395</v>
      </c>
      <c r="B190" s="35" t="s">
        <v>270</v>
      </c>
      <c r="C190" s="35" t="s">
        <v>271</v>
      </c>
      <c r="D190" s="35" t="s">
        <v>272</v>
      </c>
      <c r="E190" s="35" t="s">
        <v>368</v>
      </c>
      <c r="F190" s="35" t="s">
        <v>318</v>
      </c>
      <c r="G190" s="36" t="n">
        <v>2002</v>
      </c>
      <c r="H190" s="37" t="n">
        <v>472</v>
      </c>
      <c r="I190" s="38" t="n">
        <f aca="false">G190*H190/10000000</f>
        <v>0.0944944</v>
      </c>
    </row>
    <row r="191" customFormat="false" ht="15" hidden="false" customHeight="true" outlineLevel="0" collapsed="false">
      <c r="A191" s="35" t="s">
        <v>396</v>
      </c>
      <c r="B191" s="35" t="s">
        <v>218</v>
      </c>
      <c r="C191" s="35" t="s">
        <v>370</v>
      </c>
      <c r="D191" s="35" t="s">
        <v>371</v>
      </c>
      <c r="E191" s="35" t="s">
        <v>368</v>
      </c>
      <c r="F191" s="35" t="s">
        <v>318</v>
      </c>
      <c r="G191" s="36" t="n">
        <v>1720</v>
      </c>
      <c r="H191" s="37" t="n">
        <v>728</v>
      </c>
      <c r="I191" s="38" t="n">
        <f aca="false">G191*H191/10000000</f>
        <v>0.125216</v>
      </c>
    </row>
    <row r="192" customFormat="false" ht="15" hidden="false" customHeight="true" outlineLevel="0" collapsed="false">
      <c r="A192" s="35" t="s">
        <v>397</v>
      </c>
      <c r="B192" s="35" t="s">
        <v>218</v>
      </c>
      <c r="C192" s="35" t="s">
        <v>370</v>
      </c>
      <c r="D192" s="35" t="s">
        <v>371</v>
      </c>
      <c r="E192" s="35" t="s">
        <v>368</v>
      </c>
      <c r="F192" s="35" t="s">
        <v>318</v>
      </c>
      <c r="G192" s="36" t="n">
        <v>1149</v>
      </c>
      <c r="H192" s="37" t="n">
        <v>701</v>
      </c>
      <c r="I192" s="38" t="n">
        <f aca="false">G192*H192/10000000</f>
        <v>0.0805449</v>
      </c>
    </row>
    <row r="193" customFormat="false" ht="15" hidden="false" customHeight="true" outlineLevel="0" collapsed="false">
      <c r="A193" s="35" t="s">
        <v>398</v>
      </c>
      <c r="B193" s="35" t="s">
        <v>270</v>
      </c>
      <c r="C193" s="35" t="s">
        <v>271</v>
      </c>
      <c r="D193" s="35" t="s">
        <v>272</v>
      </c>
      <c r="E193" s="35" t="s">
        <v>368</v>
      </c>
      <c r="F193" s="35" t="s">
        <v>318</v>
      </c>
      <c r="G193" s="36" t="n">
        <v>1241</v>
      </c>
      <c r="H193" s="37" t="n">
        <v>483</v>
      </c>
      <c r="I193" s="38" t="n">
        <f aca="false">G193*H193/10000000</f>
        <v>0.0599403</v>
      </c>
    </row>
    <row r="194" customFormat="false" ht="15" hidden="false" customHeight="true" outlineLevel="0" collapsed="false">
      <c r="A194" s="35" t="s">
        <v>399</v>
      </c>
      <c r="B194" s="35" t="s">
        <v>218</v>
      </c>
      <c r="C194" s="35" t="s">
        <v>370</v>
      </c>
      <c r="D194" s="35" t="s">
        <v>371</v>
      </c>
      <c r="E194" s="35" t="s">
        <v>368</v>
      </c>
      <c r="F194" s="35" t="s">
        <v>318</v>
      </c>
      <c r="G194" s="36" t="n">
        <v>1839</v>
      </c>
      <c r="H194" s="37" t="n">
        <v>661</v>
      </c>
      <c r="I194" s="38" t="n">
        <f aca="false">G194*H194/10000000</f>
        <v>0.1215579</v>
      </c>
    </row>
    <row r="195" customFormat="false" ht="15" hidden="false" customHeight="true" outlineLevel="0" collapsed="false">
      <c r="A195" s="35" t="s">
        <v>400</v>
      </c>
      <c r="B195" s="35" t="s">
        <v>365</v>
      </c>
      <c r="C195" s="35" t="s">
        <v>366</v>
      </c>
      <c r="D195" s="35" t="s">
        <v>367</v>
      </c>
      <c r="E195" s="35" t="s">
        <v>368</v>
      </c>
      <c r="F195" s="35" t="s">
        <v>318</v>
      </c>
      <c r="G195" s="36" t="n">
        <v>1451</v>
      </c>
      <c r="H195" s="37" t="n">
        <v>576</v>
      </c>
      <c r="I195" s="38" t="n">
        <f aca="false">G195*H195/10000000</f>
        <v>0.0835776</v>
      </c>
    </row>
    <row r="196" customFormat="false" ht="15" hidden="false" customHeight="true" outlineLevel="0" collapsed="false">
      <c r="A196" s="35" t="s">
        <v>401</v>
      </c>
      <c r="B196" s="35" t="s">
        <v>365</v>
      </c>
      <c r="C196" s="35" t="s">
        <v>366</v>
      </c>
      <c r="D196" s="35" t="s">
        <v>367</v>
      </c>
      <c r="E196" s="35" t="s">
        <v>368</v>
      </c>
      <c r="F196" s="35" t="s">
        <v>318</v>
      </c>
      <c r="G196" s="36" t="n">
        <v>1909</v>
      </c>
      <c r="H196" s="37" t="n">
        <v>515</v>
      </c>
      <c r="I196" s="38" t="n">
        <f aca="false">G196*H196/10000000</f>
        <v>0.0983135</v>
      </c>
    </row>
    <row r="197" customFormat="false" ht="15" hidden="false" customHeight="true" outlineLevel="0" collapsed="false">
      <c r="A197" s="35" t="s">
        <v>402</v>
      </c>
      <c r="B197" s="35" t="s">
        <v>365</v>
      </c>
      <c r="C197" s="35" t="s">
        <v>366</v>
      </c>
      <c r="D197" s="35" t="s">
        <v>367</v>
      </c>
      <c r="E197" s="35" t="s">
        <v>368</v>
      </c>
      <c r="F197" s="35" t="s">
        <v>318</v>
      </c>
      <c r="G197" s="36" t="n">
        <v>1788</v>
      </c>
      <c r="H197" s="37" t="n">
        <v>693</v>
      </c>
      <c r="I197" s="38" t="n">
        <f aca="false">G197*H197/10000000</f>
        <v>0.1239084</v>
      </c>
    </row>
    <row r="198" customFormat="false" ht="15" hidden="false" customHeight="true" outlineLevel="0" collapsed="false">
      <c r="A198" s="35" t="s">
        <v>403</v>
      </c>
      <c r="B198" s="35" t="s">
        <v>218</v>
      </c>
      <c r="C198" s="35" t="s">
        <v>370</v>
      </c>
      <c r="D198" s="35" t="s">
        <v>371</v>
      </c>
      <c r="E198" s="35" t="s">
        <v>368</v>
      </c>
      <c r="F198" s="35" t="s">
        <v>318</v>
      </c>
      <c r="G198" s="36" t="n">
        <v>1549</v>
      </c>
      <c r="H198" s="37" t="n">
        <v>505</v>
      </c>
      <c r="I198" s="38" t="n">
        <f aca="false">G198*H198/10000000</f>
        <v>0.0782245</v>
      </c>
    </row>
    <row r="199" customFormat="false" ht="15" hidden="false" customHeight="true" outlineLevel="0" collapsed="false">
      <c r="A199" s="35" t="s">
        <v>404</v>
      </c>
      <c r="B199" s="35" t="s">
        <v>270</v>
      </c>
      <c r="C199" s="35" t="s">
        <v>271</v>
      </c>
      <c r="D199" s="35" t="s">
        <v>272</v>
      </c>
      <c r="E199" s="35" t="s">
        <v>368</v>
      </c>
      <c r="F199" s="35" t="s">
        <v>318</v>
      </c>
      <c r="G199" s="36" t="n">
        <v>1759</v>
      </c>
      <c r="H199" s="37" t="n">
        <v>465</v>
      </c>
      <c r="I199" s="38" t="n">
        <f aca="false">G199*H199/10000000</f>
        <v>0.0817935</v>
      </c>
    </row>
    <row r="200" customFormat="false" ht="15" hidden="false" customHeight="true" outlineLevel="0" collapsed="false">
      <c r="A200" s="35" t="s">
        <v>405</v>
      </c>
      <c r="B200" s="35" t="s">
        <v>365</v>
      </c>
      <c r="C200" s="35" t="s">
        <v>366</v>
      </c>
      <c r="D200" s="35" t="s">
        <v>367</v>
      </c>
      <c r="E200" s="35" t="s">
        <v>368</v>
      </c>
      <c r="F200" s="35" t="s">
        <v>318</v>
      </c>
      <c r="G200" s="36" t="n">
        <v>1165</v>
      </c>
      <c r="H200" s="37" t="n">
        <v>461</v>
      </c>
      <c r="I200" s="38" t="n">
        <f aca="false">G200*H200/10000000</f>
        <v>0.0537065</v>
      </c>
    </row>
    <row r="201" customFormat="false" ht="15" hidden="false" customHeight="true" outlineLevel="0" collapsed="false">
      <c r="A201" s="35" t="s">
        <v>406</v>
      </c>
      <c r="B201" s="35" t="s">
        <v>270</v>
      </c>
      <c r="C201" s="35" t="s">
        <v>271</v>
      </c>
      <c r="D201" s="35" t="s">
        <v>272</v>
      </c>
      <c r="E201" s="35" t="s">
        <v>368</v>
      </c>
      <c r="F201" s="35" t="s">
        <v>318</v>
      </c>
      <c r="G201" s="36" t="n">
        <v>1297</v>
      </c>
      <c r="H201" s="37" t="n">
        <v>529</v>
      </c>
      <c r="I201" s="38" t="n">
        <f aca="false">G201*H201/10000000</f>
        <v>0.0686113</v>
      </c>
    </row>
    <row r="202" customFormat="false" ht="15" hidden="false" customHeight="true" outlineLevel="0" collapsed="false">
      <c r="A202" s="35" t="s">
        <v>407</v>
      </c>
      <c r="B202" s="35" t="s">
        <v>270</v>
      </c>
      <c r="C202" s="35" t="s">
        <v>271</v>
      </c>
      <c r="D202" s="35" t="s">
        <v>272</v>
      </c>
      <c r="E202" s="35" t="s">
        <v>368</v>
      </c>
      <c r="F202" s="35" t="s">
        <v>318</v>
      </c>
      <c r="G202" s="36" t="n">
        <v>924</v>
      </c>
      <c r="H202" s="37" t="n">
        <v>595</v>
      </c>
      <c r="I202" s="38" t="n">
        <f aca="false">G202*H202/10000000</f>
        <v>0.054978</v>
      </c>
    </row>
    <row r="203" customFormat="false" ht="15" hidden="false" customHeight="true" outlineLevel="0" collapsed="false">
      <c r="A203" s="35" t="s">
        <v>408</v>
      </c>
      <c r="B203" s="35" t="s">
        <v>365</v>
      </c>
      <c r="C203" s="35" t="s">
        <v>366</v>
      </c>
      <c r="D203" s="35" t="s">
        <v>367</v>
      </c>
      <c r="E203" s="35" t="s">
        <v>368</v>
      </c>
      <c r="F203" s="35" t="s">
        <v>318</v>
      </c>
      <c r="G203" s="36" t="n">
        <v>1627</v>
      </c>
      <c r="H203" s="37" t="n">
        <v>575</v>
      </c>
      <c r="I203" s="38" t="n">
        <f aca="false">G203*H203/10000000</f>
        <v>0.0935525</v>
      </c>
    </row>
    <row r="204" customFormat="false" ht="15" hidden="false" customHeight="true" outlineLevel="0" collapsed="false">
      <c r="A204" s="35" t="s">
        <v>409</v>
      </c>
      <c r="B204" s="35" t="s">
        <v>218</v>
      </c>
      <c r="C204" s="35" t="s">
        <v>370</v>
      </c>
      <c r="D204" s="35" t="s">
        <v>371</v>
      </c>
      <c r="E204" s="35" t="s">
        <v>368</v>
      </c>
      <c r="F204" s="35" t="s">
        <v>318</v>
      </c>
      <c r="G204" s="36" t="n">
        <v>1921</v>
      </c>
      <c r="H204" s="37" t="n">
        <v>503</v>
      </c>
      <c r="I204" s="38" t="n">
        <f aca="false">G204*H204/10000000</f>
        <v>0.0966263</v>
      </c>
    </row>
    <row r="206" customFormat="false" ht="15" hidden="false" customHeight="true" outlineLevel="0" collapsed="false">
      <c r="A206" s="34" t="s">
        <v>410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8"/>
  </cols>
  <sheetData>
    <row r="1" customFormat="false" ht="30" hidden="false" customHeight="true" outlineLevel="0" collapsed="false">
      <c r="A1" s="2" t="s">
        <v>411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412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7" t="s">
        <v>413</v>
      </c>
      <c r="B4" s="7" t="s">
        <v>153</v>
      </c>
      <c r="C4" s="7" t="s">
        <v>156</v>
      </c>
      <c r="D4" s="7" t="s">
        <v>157</v>
      </c>
      <c r="E4" s="7" t="s">
        <v>158</v>
      </c>
      <c r="F4" s="7" t="s">
        <v>414</v>
      </c>
    </row>
    <row r="5" customFormat="false" ht="15" hidden="false" customHeight="true" outlineLevel="0" collapsed="false">
      <c r="A5" s="35" t="s">
        <v>177</v>
      </c>
      <c r="B5" s="35" t="s">
        <v>175</v>
      </c>
      <c r="C5" s="35" t="s">
        <v>164</v>
      </c>
      <c r="D5" s="35" t="s">
        <v>165</v>
      </c>
      <c r="E5" s="35" t="n">
        <v>20400000</v>
      </c>
      <c r="F5" s="35" t="n">
        <v>9800</v>
      </c>
    </row>
    <row r="6" customFormat="false" ht="15" hidden="false" customHeight="true" outlineLevel="0" collapsed="false">
      <c r="A6" s="35" t="s">
        <v>162</v>
      </c>
      <c r="B6" s="35" t="s">
        <v>162</v>
      </c>
      <c r="C6" s="35" t="s">
        <v>164</v>
      </c>
      <c r="D6" s="35" t="s">
        <v>165</v>
      </c>
      <c r="E6" s="35" t="n">
        <v>19800000</v>
      </c>
      <c r="F6" s="35" t="n">
        <v>9400</v>
      </c>
    </row>
    <row r="7" customFormat="false" ht="15" hidden="false" customHeight="true" outlineLevel="0" collapsed="false">
      <c r="A7" s="35" t="s">
        <v>220</v>
      </c>
      <c r="B7" s="35" t="s">
        <v>218</v>
      </c>
      <c r="C7" s="35" t="s">
        <v>215</v>
      </c>
      <c r="D7" s="35" t="s">
        <v>216</v>
      </c>
      <c r="E7" s="35" t="n">
        <v>3300000</v>
      </c>
      <c r="F7" s="35" t="n">
        <v>1250</v>
      </c>
    </row>
    <row r="8" customFormat="false" ht="15" hidden="false" customHeight="true" outlineLevel="0" collapsed="false">
      <c r="A8" s="35" t="s">
        <v>224</v>
      </c>
      <c r="B8" s="35" t="s">
        <v>222</v>
      </c>
      <c r="C8" s="35" t="s">
        <v>215</v>
      </c>
      <c r="D8" s="35" t="s">
        <v>415</v>
      </c>
      <c r="E8" s="35" t="n">
        <v>4100000</v>
      </c>
      <c r="F8" s="35" t="n">
        <v>1480</v>
      </c>
    </row>
    <row r="9" customFormat="false" ht="15" hidden="false" customHeight="true" outlineLevel="0" collapsed="false">
      <c r="A9" s="35" t="s">
        <v>279</v>
      </c>
      <c r="B9" s="35" t="s">
        <v>277</v>
      </c>
      <c r="C9" s="35" t="s">
        <v>266</v>
      </c>
      <c r="D9" s="35" t="s">
        <v>267</v>
      </c>
      <c r="E9" s="35" t="n">
        <v>810000</v>
      </c>
      <c r="F9" s="35" t="n">
        <v>260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4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8" min="7" style="1" width="16"/>
  </cols>
  <sheetData>
    <row r="1" customFormat="false" ht="30" hidden="false" customHeight="true" outlineLevel="0" collapsed="false">
      <c r="A1" s="2" t="s">
        <v>416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417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7" t="s">
        <v>153</v>
      </c>
      <c r="B4" s="7" t="s">
        <v>418</v>
      </c>
      <c r="C4" s="7" t="s">
        <v>158</v>
      </c>
      <c r="D4" s="7" t="s">
        <v>419</v>
      </c>
      <c r="E4" s="7" t="s">
        <v>420</v>
      </c>
      <c r="F4" s="7" t="s">
        <v>421</v>
      </c>
      <c r="G4" s="7" t="s">
        <v>422</v>
      </c>
      <c r="H4" s="7" t="s">
        <v>423</v>
      </c>
    </row>
    <row r="5" customFormat="false" ht="15" hidden="false" customHeight="true" outlineLevel="0" collapsed="false">
      <c r="A5" s="35" t="s">
        <v>175</v>
      </c>
      <c r="B5" s="35" t="s">
        <v>424</v>
      </c>
      <c r="C5" s="35" t="n">
        <v>126000000</v>
      </c>
      <c r="D5" s="35" t="n">
        <v>4200000</v>
      </c>
      <c r="E5" s="35" t="n">
        <v>333000</v>
      </c>
      <c r="F5" s="35" t="n">
        <v>4500</v>
      </c>
      <c r="G5" s="35" t="n">
        <v>3400</v>
      </c>
      <c r="H5" s="35" t="n">
        <v>900</v>
      </c>
    </row>
    <row r="6" customFormat="false" ht="15" hidden="false" customHeight="true" outlineLevel="0" collapsed="false">
      <c r="A6" s="35" t="s">
        <v>168</v>
      </c>
      <c r="B6" s="35" t="s">
        <v>425</v>
      </c>
      <c r="C6" s="35" t="n">
        <v>67000000</v>
      </c>
      <c r="D6" s="35" t="n">
        <v>2500000</v>
      </c>
      <c r="E6" s="35" t="n">
        <v>373000</v>
      </c>
      <c r="F6" s="35" t="n">
        <v>4300</v>
      </c>
      <c r="G6" s="35" t="n">
        <v>3200</v>
      </c>
      <c r="H6" s="35" t="n">
        <v>820</v>
      </c>
    </row>
    <row r="7" customFormat="false" ht="15" hidden="false" customHeight="true" outlineLevel="0" collapsed="false">
      <c r="A7" s="35" t="s">
        <v>218</v>
      </c>
      <c r="B7" s="35" t="s">
        <v>426</v>
      </c>
      <c r="C7" s="35" t="n">
        <v>86000000</v>
      </c>
      <c r="D7" s="35" t="n">
        <v>1400000</v>
      </c>
      <c r="E7" s="35" t="n">
        <v>162000</v>
      </c>
      <c r="F7" s="35" t="n">
        <v>3100</v>
      </c>
      <c r="G7" s="35" t="n">
        <v>2100</v>
      </c>
      <c r="H7" s="35" t="n">
        <v>520</v>
      </c>
    </row>
    <row r="8" customFormat="false" ht="15" hidden="false" customHeight="true" outlineLevel="0" collapsed="false">
      <c r="A8" s="35" t="s">
        <v>314</v>
      </c>
      <c r="B8" s="35" t="s">
        <v>427</v>
      </c>
      <c r="C8" s="35" t="n">
        <v>128000000</v>
      </c>
      <c r="D8" s="35" t="n">
        <v>820000</v>
      </c>
      <c r="E8" s="35" t="n">
        <v>64000</v>
      </c>
      <c r="F8" s="35" t="n">
        <v>2300</v>
      </c>
      <c r="G8" s="35" t="n">
        <v>1500</v>
      </c>
      <c r="H8" s="35" t="n">
        <v>360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2" min="11" style="1" width="10"/>
  </cols>
  <sheetData>
    <row r="1" customFormat="false" ht="30" hidden="false" customHeight="true" outlineLevel="0" collapsed="false">
      <c r="A1" s="2" t="s">
        <v>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429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7" t="s">
        <v>430</v>
      </c>
      <c r="B4" s="7" t="s">
        <v>431</v>
      </c>
      <c r="C4" s="7" t="s">
        <v>432</v>
      </c>
      <c r="D4" s="7" t="s">
        <v>433</v>
      </c>
      <c r="E4" s="7" t="s">
        <v>434</v>
      </c>
      <c r="F4" s="7" t="s">
        <v>435</v>
      </c>
      <c r="G4" s="7" t="s">
        <v>436</v>
      </c>
      <c r="H4" s="7" t="s">
        <v>437</v>
      </c>
      <c r="I4" s="7" t="s">
        <v>438</v>
      </c>
      <c r="J4" s="7" t="s">
        <v>439</v>
      </c>
      <c r="K4" s="7" t="s">
        <v>440</v>
      </c>
      <c r="L4" s="7" t="s">
        <v>441</v>
      </c>
    </row>
    <row r="5" customFormat="false" ht="15" hidden="false" customHeight="true" outlineLevel="0" collapsed="false">
      <c r="A5" s="35" t="s">
        <v>442</v>
      </c>
      <c r="B5" s="35" t="s">
        <v>443</v>
      </c>
      <c r="C5" s="35" t="s">
        <v>444</v>
      </c>
      <c r="D5" s="35" t="s">
        <v>445</v>
      </c>
      <c r="E5" s="36" t="n">
        <v>760</v>
      </c>
      <c r="F5" s="36" t="n">
        <v>12000</v>
      </c>
      <c r="G5" s="38" t="n">
        <f aca="false">E5*H5</f>
        <v>2660000</v>
      </c>
      <c r="H5" s="36" t="n">
        <v>3500</v>
      </c>
      <c r="I5" s="39" t="n">
        <f aca="false">F5/E5</f>
        <v>15.7894736842105</v>
      </c>
      <c r="J5" s="40" t="n">
        <f aca="false">F5*10000000/G5</f>
        <v>45112.7819548872</v>
      </c>
      <c r="K5" s="35" t="n">
        <v>230</v>
      </c>
      <c r="L5" s="35" t="n">
        <v>300</v>
      </c>
    </row>
    <row r="6" customFormat="false" ht="15" hidden="false" customHeight="true" outlineLevel="0" collapsed="false">
      <c r="A6" s="35" t="s">
        <v>446</v>
      </c>
      <c r="B6" s="35" t="s">
        <v>443</v>
      </c>
      <c r="C6" s="35" t="s">
        <v>444</v>
      </c>
      <c r="D6" s="35" t="s">
        <v>445</v>
      </c>
      <c r="E6" s="36" t="n">
        <v>2300</v>
      </c>
      <c r="F6" s="36" t="n">
        <v>11500</v>
      </c>
      <c r="G6" s="38" t="n">
        <f aca="false">E6*H6</f>
        <v>7360000</v>
      </c>
      <c r="H6" s="36" t="n">
        <v>3200</v>
      </c>
      <c r="I6" s="39" t="n">
        <f aca="false">F6/E6</f>
        <v>5</v>
      </c>
      <c r="J6" s="40" t="n">
        <f aca="false">F6*10000000/G6</f>
        <v>15625</v>
      </c>
      <c r="K6" s="35" t="n">
        <v>180</v>
      </c>
      <c r="L6" s="35" t="n">
        <v>250</v>
      </c>
    </row>
    <row r="7" customFormat="false" ht="15" hidden="false" customHeight="true" outlineLevel="0" collapsed="false">
      <c r="A7" s="35" t="s">
        <v>447</v>
      </c>
      <c r="B7" s="35" t="s">
        <v>443</v>
      </c>
      <c r="C7" s="35" t="s">
        <v>444</v>
      </c>
      <c r="D7" s="35" t="s">
        <v>445</v>
      </c>
      <c r="E7" s="36" t="n">
        <v>430</v>
      </c>
      <c r="F7" s="36" t="n">
        <v>5400</v>
      </c>
      <c r="G7" s="38" t="n">
        <f aca="false">E7*H7</f>
        <v>3870000</v>
      </c>
      <c r="H7" s="36" t="n">
        <v>9000</v>
      </c>
      <c r="I7" s="39" t="n">
        <f aca="false">F7/E7</f>
        <v>12.5581395348837</v>
      </c>
      <c r="J7" s="40" t="n">
        <f aca="false">F7*10000000/G7</f>
        <v>13953.488372093</v>
      </c>
      <c r="K7" s="35" t="n">
        <v>40</v>
      </c>
      <c r="L7" s="35" t="n">
        <v>55</v>
      </c>
    </row>
    <row r="8" customFormat="false" ht="15" hidden="false" customHeight="true" outlineLevel="0" collapsed="false">
      <c r="A8" s="35" t="s">
        <v>448</v>
      </c>
      <c r="B8" s="35" t="s">
        <v>443</v>
      </c>
      <c r="C8" s="35" t="s">
        <v>449</v>
      </c>
      <c r="D8" s="35" t="s">
        <v>445</v>
      </c>
      <c r="E8" s="36" t="n">
        <v>460</v>
      </c>
      <c r="F8" s="36" t="n">
        <v>2900</v>
      </c>
      <c r="G8" s="38" t="n">
        <f aca="false">E8*H8</f>
        <v>3680000</v>
      </c>
      <c r="H8" s="36" t="n">
        <v>8000</v>
      </c>
      <c r="I8" s="39" t="n">
        <f aca="false">F8/E8</f>
        <v>6.30434782608696</v>
      </c>
      <c r="J8" s="40" t="n">
        <f aca="false">F8*10000000/G8</f>
        <v>7880.4347826087</v>
      </c>
      <c r="K8" s="35" t="n">
        <v>60</v>
      </c>
      <c r="L8" s="35" t="n">
        <v>70</v>
      </c>
    </row>
    <row r="9" customFormat="false" ht="15" hidden="false" customHeight="true" outlineLevel="0" collapsed="false">
      <c r="A9" s="35" t="s">
        <v>450</v>
      </c>
      <c r="B9" s="35" t="s">
        <v>443</v>
      </c>
      <c r="C9" s="35" t="s">
        <v>451</v>
      </c>
      <c r="D9" s="35" t="s">
        <v>452</v>
      </c>
      <c r="E9" s="36" t="n">
        <v>680</v>
      </c>
      <c r="F9" s="36" t="n">
        <v>9500</v>
      </c>
      <c r="G9" s="38" t="n">
        <f aca="false">E9*H9</f>
        <v>12240000</v>
      </c>
      <c r="H9" s="36" t="n">
        <v>18000</v>
      </c>
      <c r="I9" s="39" t="n">
        <f aca="false">F9/E9</f>
        <v>13.9705882352941</v>
      </c>
      <c r="J9" s="40" t="n">
        <f aca="false">F9*10000000/G9</f>
        <v>7761.43790849673</v>
      </c>
      <c r="K9" s="35" t="n">
        <v>55</v>
      </c>
      <c r="L9" s="35" t="n">
        <v>90</v>
      </c>
    </row>
    <row r="10" customFormat="false" ht="15" hidden="false" customHeight="true" outlineLevel="0" collapsed="false">
      <c r="A10" s="35" t="s">
        <v>453</v>
      </c>
      <c r="B10" s="35" t="s">
        <v>443</v>
      </c>
      <c r="C10" s="35" t="s">
        <v>449</v>
      </c>
      <c r="D10" s="35" t="s">
        <v>454</v>
      </c>
      <c r="E10" s="36" t="n">
        <v>430</v>
      </c>
      <c r="F10" s="36" t="n">
        <v>4500</v>
      </c>
      <c r="G10" s="38" t="n">
        <f aca="false">E10*H10</f>
        <v>9460000</v>
      </c>
      <c r="H10" s="36" t="n">
        <v>22000</v>
      </c>
      <c r="I10" s="39" t="n">
        <f aca="false">F10/E10</f>
        <v>10.4651162790698</v>
      </c>
      <c r="J10" s="40" t="n">
        <f aca="false">F10*10000000/G10</f>
        <v>4756.8710359408</v>
      </c>
      <c r="K10" s="35" t="n">
        <v>25</v>
      </c>
      <c r="L10" s="35" t="n">
        <v>35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4" min="3" style="1" width="12"/>
  </cols>
  <sheetData>
    <row r="1" customFormat="false" ht="30" hidden="false" customHeight="true" outlineLevel="0" collapsed="false">
      <c r="A1" s="2" t="s">
        <v>455</v>
      </c>
      <c r="B1" s="2"/>
      <c r="C1" s="2"/>
      <c r="D1" s="2"/>
    </row>
    <row r="2" customFormat="false" ht="15.75" hidden="false" customHeight="true" outlineLevel="0" collapsed="false">
      <c r="A2" s="3" t="s">
        <v>456</v>
      </c>
      <c r="B2" s="3"/>
      <c r="C2" s="3"/>
      <c r="D2" s="3"/>
    </row>
    <row r="4" customFormat="false" ht="15" hidden="false" customHeight="true" outlineLevel="0" collapsed="false">
      <c r="A4" s="7" t="s">
        <v>156</v>
      </c>
      <c r="B4" s="7" t="s">
        <v>432</v>
      </c>
      <c r="C4" s="7" t="s">
        <v>433</v>
      </c>
      <c r="D4" s="7" t="s">
        <v>457</v>
      </c>
    </row>
    <row r="5" customFormat="false" ht="15" hidden="false" customHeight="true" outlineLevel="0" collapsed="false">
      <c r="A5" s="35" t="s">
        <v>164</v>
      </c>
      <c r="B5" s="35" t="s">
        <v>444</v>
      </c>
      <c r="C5" s="35" t="s">
        <v>452</v>
      </c>
      <c r="D5" s="35" t="n">
        <v>2</v>
      </c>
    </row>
    <row r="6" customFormat="false" ht="15" hidden="false" customHeight="true" outlineLevel="0" collapsed="false">
      <c r="A6" s="35" t="s">
        <v>164</v>
      </c>
      <c r="B6" s="35" t="s">
        <v>444</v>
      </c>
      <c r="C6" s="35" t="s">
        <v>445</v>
      </c>
      <c r="D6" s="35" t="n">
        <v>3</v>
      </c>
    </row>
    <row r="7" customFormat="false" ht="15" hidden="false" customHeight="true" outlineLevel="0" collapsed="false">
      <c r="A7" s="35" t="s">
        <v>164</v>
      </c>
      <c r="B7" s="35" t="s">
        <v>444</v>
      </c>
      <c r="C7" s="35" t="s">
        <v>454</v>
      </c>
      <c r="D7" s="35" t="n">
        <v>2</v>
      </c>
    </row>
    <row r="8" customFormat="false" ht="15" hidden="false" customHeight="true" outlineLevel="0" collapsed="false">
      <c r="A8" s="35" t="s">
        <v>164</v>
      </c>
      <c r="B8" s="35" t="s">
        <v>444</v>
      </c>
      <c r="C8" s="35" t="s">
        <v>458</v>
      </c>
      <c r="D8" s="35" t="n">
        <v>1</v>
      </c>
    </row>
    <row r="9" customFormat="false" ht="15" hidden="false" customHeight="true" outlineLevel="0" collapsed="false">
      <c r="A9" s="35" t="s">
        <v>164</v>
      </c>
      <c r="B9" s="35" t="s">
        <v>444</v>
      </c>
      <c r="C9" s="35" t="s">
        <v>459</v>
      </c>
      <c r="D9" s="35" t="n">
        <v>0</v>
      </c>
    </row>
    <row r="10" customFormat="false" ht="15" hidden="false" customHeight="true" outlineLevel="0" collapsed="false">
      <c r="A10" s="35" t="s">
        <v>164</v>
      </c>
      <c r="B10" s="35" t="s">
        <v>460</v>
      </c>
      <c r="C10" s="35" t="s">
        <v>452</v>
      </c>
      <c r="D10" s="35" t="n">
        <v>1</v>
      </c>
    </row>
    <row r="11" customFormat="false" ht="15" hidden="false" customHeight="true" outlineLevel="0" collapsed="false">
      <c r="A11" s="35" t="s">
        <v>164</v>
      </c>
      <c r="B11" s="35" t="s">
        <v>460</v>
      </c>
      <c r="C11" s="35" t="s">
        <v>445</v>
      </c>
      <c r="D11" s="35" t="n">
        <v>2</v>
      </c>
    </row>
    <row r="12" customFormat="false" ht="15" hidden="false" customHeight="true" outlineLevel="0" collapsed="false">
      <c r="A12" s="35" t="s">
        <v>164</v>
      </c>
      <c r="B12" s="35" t="s">
        <v>460</v>
      </c>
      <c r="C12" s="35" t="s">
        <v>454</v>
      </c>
      <c r="D12" s="35" t="n">
        <v>1</v>
      </c>
    </row>
    <row r="13" customFormat="false" ht="15" hidden="false" customHeight="true" outlineLevel="0" collapsed="false">
      <c r="A13" s="35" t="s">
        <v>164</v>
      </c>
      <c r="B13" s="35" t="s">
        <v>460</v>
      </c>
      <c r="C13" s="35" t="s">
        <v>458</v>
      </c>
      <c r="D13" s="35" t="n">
        <v>1</v>
      </c>
    </row>
    <row r="14" customFormat="false" ht="15" hidden="false" customHeight="true" outlineLevel="0" collapsed="false">
      <c r="A14" s="35" t="s">
        <v>164</v>
      </c>
      <c r="B14" s="35" t="s">
        <v>460</v>
      </c>
      <c r="C14" s="35" t="s">
        <v>459</v>
      </c>
      <c r="D14" s="35" t="n">
        <v>0</v>
      </c>
    </row>
    <row r="15" customFormat="false" ht="15" hidden="false" customHeight="true" outlineLevel="0" collapsed="false">
      <c r="A15" s="35" t="s">
        <v>164</v>
      </c>
      <c r="B15" s="35" t="s">
        <v>449</v>
      </c>
      <c r="C15" s="35" t="s">
        <v>452</v>
      </c>
      <c r="D15" s="35" t="n">
        <v>1</v>
      </c>
    </row>
    <row r="16" customFormat="false" ht="15" hidden="false" customHeight="true" outlineLevel="0" collapsed="false">
      <c r="A16" s="35" t="s">
        <v>164</v>
      </c>
      <c r="B16" s="35" t="s">
        <v>449</v>
      </c>
      <c r="C16" s="35" t="s">
        <v>445</v>
      </c>
      <c r="D16" s="35" t="n">
        <v>1</v>
      </c>
    </row>
    <row r="17" customFormat="false" ht="15" hidden="false" customHeight="true" outlineLevel="0" collapsed="false">
      <c r="A17" s="35" t="s">
        <v>164</v>
      </c>
      <c r="B17" s="35" t="s">
        <v>449</v>
      </c>
      <c r="C17" s="35" t="s">
        <v>454</v>
      </c>
      <c r="D17" s="35" t="n">
        <v>1</v>
      </c>
    </row>
    <row r="18" customFormat="false" ht="15" hidden="false" customHeight="true" outlineLevel="0" collapsed="false">
      <c r="A18" s="35" t="s">
        <v>164</v>
      </c>
      <c r="B18" s="35" t="s">
        <v>449</v>
      </c>
      <c r="C18" s="35" t="s">
        <v>458</v>
      </c>
      <c r="D18" s="35" t="n">
        <v>1</v>
      </c>
    </row>
    <row r="19" customFormat="false" ht="15" hidden="false" customHeight="true" outlineLevel="0" collapsed="false">
      <c r="A19" s="35" t="s">
        <v>164</v>
      </c>
      <c r="B19" s="35" t="s">
        <v>449</v>
      </c>
      <c r="C19" s="35" t="s">
        <v>459</v>
      </c>
      <c r="D19" s="35" t="n">
        <v>0</v>
      </c>
    </row>
    <row r="20" customFormat="false" ht="15" hidden="false" customHeight="true" outlineLevel="0" collapsed="false">
      <c r="A20" s="35" t="s">
        <v>164</v>
      </c>
      <c r="B20" s="35" t="s">
        <v>461</v>
      </c>
      <c r="C20" s="35" t="s">
        <v>452</v>
      </c>
      <c r="D20" s="35" t="n">
        <v>1</v>
      </c>
    </row>
    <row r="21" customFormat="false" ht="15" hidden="false" customHeight="true" outlineLevel="0" collapsed="false">
      <c r="A21" s="35" t="s">
        <v>164</v>
      </c>
      <c r="B21" s="35" t="s">
        <v>461</v>
      </c>
      <c r="C21" s="35" t="s">
        <v>445</v>
      </c>
      <c r="D21" s="35" t="n">
        <v>1</v>
      </c>
    </row>
    <row r="22" customFormat="false" ht="15" hidden="false" customHeight="true" outlineLevel="0" collapsed="false">
      <c r="A22" s="35" t="s">
        <v>164</v>
      </c>
      <c r="B22" s="35" t="s">
        <v>461</v>
      </c>
      <c r="C22" s="35" t="s">
        <v>454</v>
      </c>
      <c r="D22" s="35" t="n">
        <v>1</v>
      </c>
    </row>
    <row r="23" customFormat="false" ht="15" hidden="false" customHeight="true" outlineLevel="0" collapsed="false">
      <c r="A23" s="35" t="s">
        <v>164</v>
      </c>
      <c r="B23" s="35" t="s">
        <v>461</v>
      </c>
      <c r="C23" s="35" t="s">
        <v>458</v>
      </c>
      <c r="D23" s="35" t="n">
        <v>0</v>
      </c>
    </row>
    <row r="24" customFormat="false" ht="15" hidden="false" customHeight="true" outlineLevel="0" collapsed="false">
      <c r="A24" s="35" t="s">
        <v>164</v>
      </c>
      <c r="B24" s="35" t="s">
        <v>461</v>
      </c>
      <c r="C24" s="35" t="s">
        <v>459</v>
      </c>
      <c r="D24" s="35" t="n">
        <v>0</v>
      </c>
    </row>
    <row r="25" customFormat="false" ht="15" hidden="false" customHeight="true" outlineLevel="0" collapsed="false">
      <c r="A25" s="35" t="s">
        <v>164</v>
      </c>
      <c r="B25" s="35" t="s">
        <v>462</v>
      </c>
      <c r="C25" s="35" t="s">
        <v>452</v>
      </c>
      <c r="D25" s="35" t="n">
        <v>1</v>
      </c>
    </row>
    <row r="26" customFormat="false" ht="15" hidden="false" customHeight="true" outlineLevel="0" collapsed="false">
      <c r="A26" s="35" t="s">
        <v>164</v>
      </c>
      <c r="B26" s="35" t="s">
        <v>462</v>
      </c>
      <c r="C26" s="35" t="s">
        <v>445</v>
      </c>
      <c r="D26" s="35" t="n">
        <v>1</v>
      </c>
    </row>
    <row r="27" customFormat="false" ht="15" hidden="false" customHeight="true" outlineLevel="0" collapsed="false">
      <c r="A27" s="35" t="s">
        <v>164</v>
      </c>
      <c r="B27" s="35" t="s">
        <v>462</v>
      </c>
      <c r="C27" s="35" t="s">
        <v>454</v>
      </c>
      <c r="D27" s="35" t="n">
        <v>1</v>
      </c>
    </row>
    <row r="28" customFormat="false" ht="15" hidden="false" customHeight="true" outlineLevel="0" collapsed="false">
      <c r="A28" s="35" t="s">
        <v>164</v>
      </c>
      <c r="B28" s="35" t="s">
        <v>462</v>
      </c>
      <c r="C28" s="35" t="s">
        <v>458</v>
      </c>
      <c r="D28" s="35" t="n">
        <v>0</v>
      </c>
    </row>
    <row r="29" customFormat="false" ht="15" hidden="false" customHeight="true" outlineLevel="0" collapsed="false">
      <c r="A29" s="35" t="s">
        <v>164</v>
      </c>
      <c r="B29" s="35" t="s">
        <v>462</v>
      </c>
      <c r="C29" s="35" t="s">
        <v>459</v>
      </c>
      <c r="D29" s="35" t="n">
        <v>0</v>
      </c>
    </row>
    <row r="30" customFormat="false" ht="15" hidden="false" customHeight="true" outlineLevel="0" collapsed="false">
      <c r="A30" s="35" t="s">
        <v>164</v>
      </c>
      <c r="B30" s="35" t="s">
        <v>463</v>
      </c>
      <c r="C30" s="35" t="s">
        <v>452</v>
      </c>
      <c r="D30" s="35" t="n">
        <v>1</v>
      </c>
    </row>
    <row r="31" customFormat="false" ht="15" hidden="false" customHeight="true" outlineLevel="0" collapsed="false">
      <c r="A31" s="35" t="s">
        <v>164</v>
      </c>
      <c r="B31" s="35" t="s">
        <v>463</v>
      </c>
      <c r="C31" s="35" t="s">
        <v>445</v>
      </c>
      <c r="D31" s="35" t="n">
        <v>1</v>
      </c>
    </row>
    <row r="32" customFormat="false" ht="15" hidden="false" customHeight="true" outlineLevel="0" collapsed="false">
      <c r="A32" s="35" t="s">
        <v>164</v>
      </c>
      <c r="B32" s="35" t="s">
        <v>463</v>
      </c>
      <c r="C32" s="35" t="s">
        <v>454</v>
      </c>
      <c r="D32" s="35" t="n">
        <v>1</v>
      </c>
    </row>
    <row r="33" customFormat="false" ht="15" hidden="false" customHeight="true" outlineLevel="0" collapsed="false">
      <c r="A33" s="35" t="s">
        <v>164</v>
      </c>
      <c r="B33" s="35" t="s">
        <v>463</v>
      </c>
      <c r="C33" s="35" t="s">
        <v>458</v>
      </c>
      <c r="D33" s="35" t="n">
        <v>0</v>
      </c>
    </row>
    <row r="34" customFormat="false" ht="15" hidden="false" customHeight="true" outlineLevel="0" collapsed="false">
      <c r="A34" s="35" t="s">
        <v>164</v>
      </c>
      <c r="B34" s="35" t="s">
        <v>463</v>
      </c>
      <c r="C34" s="35" t="s">
        <v>459</v>
      </c>
      <c r="D34" s="35" t="n">
        <v>0</v>
      </c>
    </row>
    <row r="35" customFormat="false" ht="15" hidden="false" customHeight="true" outlineLevel="0" collapsed="false">
      <c r="A35" s="35" t="s">
        <v>164</v>
      </c>
      <c r="B35" s="35" t="s">
        <v>451</v>
      </c>
      <c r="C35" s="35" t="s">
        <v>452</v>
      </c>
      <c r="D35" s="35" t="n">
        <v>0</v>
      </c>
    </row>
    <row r="36" customFormat="false" ht="15" hidden="false" customHeight="true" outlineLevel="0" collapsed="false">
      <c r="A36" s="35" t="s">
        <v>164</v>
      </c>
      <c r="B36" s="35" t="s">
        <v>451</v>
      </c>
      <c r="C36" s="35" t="s">
        <v>445</v>
      </c>
      <c r="D36" s="35" t="n">
        <v>1</v>
      </c>
    </row>
    <row r="37" customFormat="false" ht="15" hidden="false" customHeight="true" outlineLevel="0" collapsed="false">
      <c r="A37" s="35" t="s">
        <v>164</v>
      </c>
      <c r="B37" s="35" t="s">
        <v>451</v>
      </c>
      <c r="C37" s="35" t="s">
        <v>454</v>
      </c>
      <c r="D37" s="35" t="n">
        <v>1</v>
      </c>
    </row>
    <row r="38" customFormat="false" ht="15" hidden="false" customHeight="true" outlineLevel="0" collapsed="false">
      <c r="A38" s="35" t="s">
        <v>164</v>
      </c>
      <c r="B38" s="35" t="s">
        <v>451</v>
      </c>
      <c r="C38" s="35" t="s">
        <v>458</v>
      </c>
      <c r="D38" s="35" t="n">
        <v>0</v>
      </c>
    </row>
    <row r="39" customFormat="false" ht="15" hidden="false" customHeight="true" outlineLevel="0" collapsed="false">
      <c r="A39" s="35" t="s">
        <v>164</v>
      </c>
      <c r="B39" s="35" t="s">
        <v>451</v>
      </c>
      <c r="C39" s="35" t="s">
        <v>459</v>
      </c>
      <c r="D39" s="35" t="n">
        <v>0</v>
      </c>
    </row>
    <row r="40" customFormat="false" ht="15" hidden="false" customHeight="true" outlineLevel="0" collapsed="false">
      <c r="A40" s="35" t="s">
        <v>215</v>
      </c>
      <c r="B40" s="35" t="s">
        <v>444</v>
      </c>
      <c r="C40" s="35" t="s">
        <v>452</v>
      </c>
      <c r="D40" s="35" t="n">
        <v>1</v>
      </c>
    </row>
    <row r="41" customFormat="false" ht="15" hidden="false" customHeight="true" outlineLevel="0" collapsed="false">
      <c r="A41" s="35" t="s">
        <v>215</v>
      </c>
      <c r="B41" s="35" t="s">
        <v>444</v>
      </c>
      <c r="C41" s="35" t="s">
        <v>445</v>
      </c>
      <c r="D41" s="35" t="n">
        <v>1</v>
      </c>
    </row>
    <row r="42" customFormat="false" ht="15" hidden="false" customHeight="true" outlineLevel="0" collapsed="false">
      <c r="A42" s="35" t="s">
        <v>215</v>
      </c>
      <c r="B42" s="35" t="s">
        <v>444</v>
      </c>
      <c r="C42" s="35" t="s">
        <v>454</v>
      </c>
      <c r="D42" s="35" t="n">
        <v>1</v>
      </c>
    </row>
    <row r="43" customFormat="false" ht="15" hidden="false" customHeight="true" outlineLevel="0" collapsed="false">
      <c r="A43" s="35" t="s">
        <v>215</v>
      </c>
      <c r="B43" s="35" t="s">
        <v>444</v>
      </c>
      <c r="C43" s="35" t="s">
        <v>458</v>
      </c>
      <c r="D43" s="35" t="n">
        <v>0</v>
      </c>
    </row>
    <row r="44" customFormat="false" ht="15" hidden="false" customHeight="true" outlineLevel="0" collapsed="false">
      <c r="A44" s="35" t="s">
        <v>215</v>
      </c>
      <c r="B44" s="35" t="s">
        <v>444</v>
      </c>
      <c r="C44" s="35" t="s">
        <v>459</v>
      </c>
      <c r="D44" s="35" t="n">
        <v>0</v>
      </c>
    </row>
    <row r="45" customFormat="false" ht="15" hidden="false" customHeight="true" outlineLevel="0" collapsed="false">
      <c r="A45" s="35" t="s">
        <v>215</v>
      </c>
      <c r="B45" s="35" t="s">
        <v>460</v>
      </c>
      <c r="C45" s="35" t="s">
        <v>452</v>
      </c>
      <c r="D45" s="35" t="n">
        <v>0</v>
      </c>
    </row>
    <row r="46" customFormat="false" ht="15" hidden="false" customHeight="true" outlineLevel="0" collapsed="false">
      <c r="A46" s="35" t="s">
        <v>215</v>
      </c>
      <c r="B46" s="35" t="s">
        <v>460</v>
      </c>
      <c r="C46" s="35" t="s">
        <v>445</v>
      </c>
      <c r="D46" s="35" t="n">
        <v>1</v>
      </c>
    </row>
    <row r="47" customFormat="false" ht="15" hidden="false" customHeight="true" outlineLevel="0" collapsed="false">
      <c r="A47" s="35" t="s">
        <v>215</v>
      </c>
      <c r="B47" s="35" t="s">
        <v>460</v>
      </c>
      <c r="C47" s="35" t="s">
        <v>454</v>
      </c>
      <c r="D47" s="35" t="n">
        <v>0</v>
      </c>
    </row>
    <row r="48" customFormat="false" ht="15" hidden="false" customHeight="true" outlineLevel="0" collapsed="false">
      <c r="A48" s="35" t="s">
        <v>215</v>
      </c>
      <c r="B48" s="35" t="s">
        <v>460</v>
      </c>
      <c r="C48" s="35" t="s">
        <v>458</v>
      </c>
      <c r="D48" s="35" t="n">
        <v>0</v>
      </c>
    </row>
    <row r="49" customFormat="false" ht="15" hidden="false" customHeight="true" outlineLevel="0" collapsed="false">
      <c r="A49" s="35" t="s">
        <v>215</v>
      </c>
      <c r="B49" s="35" t="s">
        <v>460</v>
      </c>
      <c r="C49" s="35" t="s">
        <v>459</v>
      </c>
      <c r="D49" s="35" t="n">
        <v>0</v>
      </c>
    </row>
    <row r="50" customFormat="false" ht="15" hidden="false" customHeight="true" outlineLevel="0" collapsed="false">
      <c r="A50" s="35" t="s">
        <v>215</v>
      </c>
      <c r="B50" s="35" t="s">
        <v>449</v>
      </c>
      <c r="C50" s="35" t="s">
        <v>452</v>
      </c>
      <c r="D50" s="35" t="n">
        <v>0</v>
      </c>
    </row>
    <row r="51" customFormat="false" ht="15" hidden="false" customHeight="true" outlineLevel="0" collapsed="false">
      <c r="A51" s="35" t="s">
        <v>215</v>
      </c>
      <c r="B51" s="35" t="s">
        <v>449</v>
      </c>
      <c r="C51" s="35" t="s">
        <v>445</v>
      </c>
      <c r="D51" s="35" t="n">
        <v>0</v>
      </c>
    </row>
    <row r="52" customFormat="false" ht="15" hidden="false" customHeight="true" outlineLevel="0" collapsed="false">
      <c r="A52" s="35" t="s">
        <v>215</v>
      </c>
      <c r="B52" s="35" t="s">
        <v>449</v>
      </c>
      <c r="C52" s="35" t="s">
        <v>454</v>
      </c>
      <c r="D52" s="35" t="n">
        <v>0</v>
      </c>
    </row>
    <row r="53" customFormat="false" ht="15" hidden="false" customHeight="true" outlineLevel="0" collapsed="false">
      <c r="A53" s="35" t="s">
        <v>215</v>
      </c>
      <c r="B53" s="35" t="s">
        <v>449</v>
      </c>
      <c r="C53" s="35" t="s">
        <v>458</v>
      </c>
      <c r="D53" s="35" t="n">
        <v>0</v>
      </c>
    </row>
    <row r="54" customFormat="false" ht="15" hidden="false" customHeight="true" outlineLevel="0" collapsed="false">
      <c r="A54" s="35" t="s">
        <v>215</v>
      </c>
      <c r="B54" s="35" t="s">
        <v>449</v>
      </c>
      <c r="C54" s="35" t="s">
        <v>459</v>
      </c>
      <c r="D54" s="35" t="n">
        <v>0</v>
      </c>
    </row>
    <row r="55" customFormat="false" ht="15" hidden="false" customHeight="true" outlineLevel="0" collapsed="false">
      <c r="A55" s="35" t="s">
        <v>215</v>
      </c>
      <c r="B55" s="35" t="s">
        <v>461</v>
      </c>
      <c r="C55" s="35" t="s">
        <v>452</v>
      </c>
      <c r="D55" s="35" t="n">
        <v>0</v>
      </c>
    </row>
    <row r="56" customFormat="false" ht="15" hidden="false" customHeight="true" outlineLevel="0" collapsed="false">
      <c r="A56" s="35" t="s">
        <v>215</v>
      </c>
      <c r="B56" s="35" t="s">
        <v>461</v>
      </c>
      <c r="C56" s="35" t="s">
        <v>445</v>
      </c>
      <c r="D56" s="35" t="n">
        <v>0</v>
      </c>
    </row>
    <row r="57" customFormat="false" ht="15" hidden="false" customHeight="true" outlineLevel="0" collapsed="false">
      <c r="A57" s="35" t="s">
        <v>215</v>
      </c>
      <c r="B57" s="35" t="s">
        <v>461</v>
      </c>
      <c r="C57" s="35" t="s">
        <v>454</v>
      </c>
      <c r="D57" s="35" t="n">
        <v>0</v>
      </c>
    </row>
    <row r="58" customFormat="false" ht="15" hidden="false" customHeight="true" outlineLevel="0" collapsed="false">
      <c r="A58" s="35" t="s">
        <v>215</v>
      </c>
      <c r="B58" s="35" t="s">
        <v>461</v>
      </c>
      <c r="C58" s="35" t="s">
        <v>458</v>
      </c>
      <c r="D58" s="35" t="n">
        <v>0</v>
      </c>
    </row>
    <row r="59" customFormat="false" ht="15" hidden="false" customHeight="true" outlineLevel="0" collapsed="false">
      <c r="A59" s="35" t="s">
        <v>215</v>
      </c>
      <c r="B59" s="35" t="s">
        <v>461</v>
      </c>
      <c r="C59" s="35" t="s">
        <v>459</v>
      </c>
      <c r="D59" s="35" t="n">
        <v>0</v>
      </c>
    </row>
    <row r="60" customFormat="false" ht="15" hidden="false" customHeight="true" outlineLevel="0" collapsed="false">
      <c r="A60" s="35" t="s">
        <v>215</v>
      </c>
      <c r="B60" s="35" t="s">
        <v>462</v>
      </c>
      <c r="C60" s="35" t="s">
        <v>452</v>
      </c>
      <c r="D60" s="35" t="n">
        <v>0</v>
      </c>
    </row>
    <row r="61" customFormat="false" ht="15" hidden="false" customHeight="true" outlineLevel="0" collapsed="false">
      <c r="A61" s="35" t="s">
        <v>215</v>
      </c>
      <c r="B61" s="35" t="s">
        <v>462</v>
      </c>
      <c r="C61" s="35" t="s">
        <v>445</v>
      </c>
      <c r="D61" s="35" t="n">
        <v>0</v>
      </c>
    </row>
    <row r="62" customFormat="false" ht="15" hidden="false" customHeight="true" outlineLevel="0" collapsed="false">
      <c r="A62" s="35" t="s">
        <v>215</v>
      </c>
      <c r="B62" s="35" t="s">
        <v>462</v>
      </c>
      <c r="C62" s="35" t="s">
        <v>454</v>
      </c>
      <c r="D62" s="35" t="n">
        <v>0</v>
      </c>
    </row>
    <row r="63" customFormat="false" ht="15" hidden="false" customHeight="true" outlineLevel="0" collapsed="false">
      <c r="A63" s="35" t="s">
        <v>215</v>
      </c>
      <c r="B63" s="35" t="s">
        <v>462</v>
      </c>
      <c r="C63" s="35" t="s">
        <v>458</v>
      </c>
      <c r="D63" s="35" t="n">
        <v>0</v>
      </c>
    </row>
    <row r="64" customFormat="false" ht="15" hidden="false" customHeight="true" outlineLevel="0" collapsed="false">
      <c r="A64" s="35" t="s">
        <v>215</v>
      </c>
      <c r="B64" s="35" t="s">
        <v>462</v>
      </c>
      <c r="C64" s="35" t="s">
        <v>459</v>
      </c>
      <c r="D64" s="35" t="n">
        <v>0</v>
      </c>
    </row>
    <row r="65" customFormat="false" ht="15" hidden="false" customHeight="true" outlineLevel="0" collapsed="false">
      <c r="A65" s="35" t="s">
        <v>215</v>
      </c>
      <c r="B65" s="35" t="s">
        <v>463</v>
      </c>
      <c r="C65" s="35" t="s">
        <v>452</v>
      </c>
      <c r="D65" s="35" t="n">
        <v>0</v>
      </c>
    </row>
    <row r="66" customFormat="false" ht="15" hidden="false" customHeight="true" outlineLevel="0" collapsed="false">
      <c r="A66" s="35" t="s">
        <v>215</v>
      </c>
      <c r="B66" s="35" t="s">
        <v>463</v>
      </c>
      <c r="C66" s="35" t="s">
        <v>445</v>
      </c>
      <c r="D66" s="35" t="n">
        <v>0</v>
      </c>
    </row>
    <row r="67" customFormat="false" ht="15" hidden="false" customHeight="true" outlineLevel="0" collapsed="false">
      <c r="A67" s="35" t="s">
        <v>215</v>
      </c>
      <c r="B67" s="35" t="s">
        <v>463</v>
      </c>
      <c r="C67" s="35" t="s">
        <v>454</v>
      </c>
      <c r="D67" s="35" t="n">
        <v>0</v>
      </c>
    </row>
    <row r="68" customFormat="false" ht="15" hidden="false" customHeight="true" outlineLevel="0" collapsed="false">
      <c r="A68" s="35" t="s">
        <v>215</v>
      </c>
      <c r="B68" s="35" t="s">
        <v>463</v>
      </c>
      <c r="C68" s="35" t="s">
        <v>458</v>
      </c>
      <c r="D68" s="35" t="n">
        <v>0</v>
      </c>
    </row>
    <row r="69" customFormat="false" ht="15" hidden="false" customHeight="true" outlineLevel="0" collapsed="false">
      <c r="A69" s="35" t="s">
        <v>215</v>
      </c>
      <c r="B69" s="35" t="s">
        <v>463</v>
      </c>
      <c r="C69" s="35" t="s">
        <v>459</v>
      </c>
      <c r="D69" s="35" t="n">
        <v>0</v>
      </c>
    </row>
    <row r="70" customFormat="false" ht="15" hidden="false" customHeight="true" outlineLevel="0" collapsed="false">
      <c r="A70" s="35" t="s">
        <v>215</v>
      </c>
      <c r="B70" s="35" t="s">
        <v>451</v>
      </c>
      <c r="C70" s="35" t="s">
        <v>452</v>
      </c>
      <c r="D70" s="35" t="n">
        <v>0</v>
      </c>
    </row>
    <row r="71" customFormat="false" ht="15" hidden="false" customHeight="true" outlineLevel="0" collapsed="false">
      <c r="A71" s="35" t="s">
        <v>215</v>
      </c>
      <c r="B71" s="35" t="s">
        <v>451</v>
      </c>
      <c r="C71" s="35" t="s">
        <v>445</v>
      </c>
      <c r="D71" s="35" t="n">
        <v>0</v>
      </c>
    </row>
    <row r="72" customFormat="false" ht="15" hidden="false" customHeight="true" outlineLevel="0" collapsed="false">
      <c r="A72" s="35" t="s">
        <v>215</v>
      </c>
      <c r="B72" s="35" t="s">
        <v>451</v>
      </c>
      <c r="C72" s="35" t="s">
        <v>454</v>
      </c>
      <c r="D72" s="35" t="n">
        <v>0</v>
      </c>
    </row>
    <row r="73" customFormat="false" ht="15" hidden="false" customHeight="true" outlineLevel="0" collapsed="false">
      <c r="A73" s="35" t="s">
        <v>215</v>
      </c>
      <c r="B73" s="35" t="s">
        <v>451</v>
      </c>
      <c r="C73" s="35" t="s">
        <v>458</v>
      </c>
      <c r="D73" s="35" t="n">
        <v>0</v>
      </c>
    </row>
    <row r="74" customFormat="false" ht="15" hidden="false" customHeight="true" outlineLevel="0" collapsed="false">
      <c r="A74" s="35" t="s">
        <v>215</v>
      </c>
      <c r="B74" s="35" t="s">
        <v>451</v>
      </c>
      <c r="C74" s="35" t="s">
        <v>459</v>
      </c>
      <c r="D74" s="35" t="n">
        <v>0</v>
      </c>
    </row>
    <row r="75" customFormat="false" ht="15" hidden="false" customHeight="true" outlineLevel="0" collapsed="false">
      <c r="A75" s="35" t="s">
        <v>266</v>
      </c>
      <c r="B75" s="35" t="s">
        <v>444</v>
      </c>
      <c r="C75" s="35" t="s">
        <v>452</v>
      </c>
      <c r="D75" s="35" t="n">
        <v>0</v>
      </c>
    </row>
    <row r="76" customFormat="false" ht="15" hidden="false" customHeight="true" outlineLevel="0" collapsed="false">
      <c r="A76" s="35" t="s">
        <v>266</v>
      </c>
      <c r="B76" s="35" t="s">
        <v>444</v>
      </c>
      <c r="C76" s="35" t="s">
        <v>445</v>
      </c>
      <c r="D76" s="35" t="n">
        <v>0</v>
      </c>
    </row>
    <row r="77" customFormat="false" ht="15" hidden="false" customHeight="true" outlineLevel="0" collapsed="false">
      <c r="A77" s="35" t="s">
        <v>266</v>
      </c>
      <c r="B77" s="35" t="s">
        <v>444</v>
      </c>
      <c r="C77" s="35" t="s">
        <v>454</v>
      </c>
      <c r="D77" s="35" t="n">
        <v>0</v>
      </c>
    </row>
    <row r="78" customFormat="false" ht="15" hidden="false" customHeight="true" outlineLevel="0" collapsed="false">
      <c r="A78" s="35" t="s">
        <v>266</v>
      </c>
      <c r="B78" s="35" t="s">
        <v>444</v>
      </c>
      <c r="C78" s="35" t="s">
        <v>458</v>
      </c>
      <c r="D78" s="35" t="n">
        <v>0</v>
      </c>
    </row>
    <row r="79" customFormat="false" ht="15" hidden="false" customHeight="true" outlineLevel="0" collapsed="false">
      <c r="A79" s="35" t="s">
        <v>266</v>
      </c>
      <c r="B79" s="35" t="s">
        <v>444</v>
      </c>
      <c r="C79" s="35" t="s">
        <v>459</v>
      </c>
      <c r="D79" s="35" t="n">
        <v>0</v>
      </c>
    </row>
    <row r="80" customFormat="false" ht="15" hidden="false" customHeight="true" outlineLevel="0" collapsed="false">
      <c r="A80" s="35" t="s">
        <v>266</v>
      </c>
      <c r="B80" s="35" t="s">
        <v>460</v>
      </c>
      <c r="C80" s="35" t="s">
        <v>452</v>
      </c>
      <c r="D80" s="35" t="n">
        <v>0</v>
      </c>
    </row>
    <row r="81" customFormat="false" ht="15" hidden="false" customHeight="true" outlineLevel="0" collapsed="false">
      <c r="A81" s="35" t="s">
        <v>266</v>
      </c>
      <c r="B81" s="35" t="s">
        <v>460</v>
      </c>
      <c r="C81" s="35" t="s">
        <v>445</v>
      </c>
      <c r="D81" s="35" t="n">
        <v>0</v>
      </c>
    </row>
    <row r="82" customFormat="false" ht="15" hidden="false" customHeight="true" outlineLevel="0" collapsed="false">
      <c r="A82" s="35" t="s">
        <v>266</v>
      </c>
      <c r="B82" s="35" t="s">
        <v>460</v>
      </c>
      <c r="C82" s="35" t="s">
        <v>454</v>
      </c>
      <c r="D82" s="35" t="n">
        <v>0</v>
      </c>
    </row>
    <row r="83" customFormat="false" ht="15" hidden="false" customHeight="true" outlineLevel="0" collapsed="false">
      <c r="A83" s="35" t="s">
        <v>266</v>
      </c>
      <c r="B83" s="35" t="s">
        <v>460</v>
      </c>
      <c r="C83" s="35" t="s">
        <v>458</v>
      </c>
      <c r="D83" s="35" t="n">
        <v>0</v>
      </c>
    </row>
    <row r="84" customFormat="false" ht="15" hidden="false" customHeight="true" outlineLevel="0" collapsed="false">
      <c r="A84" s="35" t="s">
        <v>266</v>
      </c>
      <c r="B84" s="35" t="s">
        <v>460</v>
      </c>
      <c r="C84" s="35" t="s">
        <v>459</v>
      </c>
      <c r="D84" s="35" t="n">
        <v>0</v>
      </c>
    </row>
    <row r="85" customFormat="false" ht="15" hidden="false" customHeight="true" outlineLevel="0" collapsed="false">
      <c r="A85" s="35" t="s">
        <v>266</v>
      </c>
      <c r="B85" s="35" t="s">
        <v>449</v>
      </c>
      <c r="C85" s="35" t="s">
        <v>452</v>
      </c>
      <c r="D85" s="35" t="n">
        <v>0</v>
      </c>
    </row>
    <row r="86" customFormat="false" ht="15" hidden="false" customHeight="true" outlineLevel="0" collapsed="false">
      <c r="A86" s="35" t="s">
        <v>266</v>
      </c>
      <c r="B86" s="35" t="s">
        <v>449</v>
      </c>
      <c r="C86" s="35" t="s">
        <v>445</v>
      </c>
      <c r="D86" s="35" t="n">
        <v>0</v>
      </c>
    </row>
    <row r="87" customFormat="false" ht="15" hidden="false" customHeight="true" outlineLevel="0" collapsed="false">
      <c r="A87" s="35" t="s">
        <v>266</v>
      </c>
      <c r="B87" s="35" t="s">
        <v>449</v>
      </c>
      <c r="C87" s="35" t="s">
        <v>454</v>
      </c>
      <c r="D87" s="35" t="n">
        <v>0</v>
      </c>
    </row>
    <row r="88" customFormat="false" ht="15" hidden="false" customHeight="true" outlineLevel="0" collapsed="false">
      <c r="A88" s="35" t="s">
        <v>266</v>
      </c>
      <c r="B88" s="35" t="s">
        <v>449</v>
      </c>
      <c r="C88" s="35" t="s">
        <v>458</v>
      </c>
      <c r="D88" s="35" t="n">
        <v>0</v>
      </c>
    </row>
    <row r="89" customFormat="false" ht="15" hidden="false" customHeight="true" outlineLevel="0" collapsed="false">
      <c r="A89" s="35" t="s">
        <v>266</v>
      </c>
      <c r="B89" s="35" t="s">
        <v>449</v>
      </c>
      <c r="C89" s="35" t="s">
        <v>459</v>
      </c>
      <c r="D89" s="35" t="n">
        <v>0</v>
      </c>
    </row>
    <row r="90" customFormat="false" ht="15" hidden="false" customHeight="true" outlineLevel="0" collapsed="false">
      <c r="A90" s="35" t="s">
        <v>266</v>
      </c>
      <c r="B90" s="35" t="s">
        <v>461</v>
      </c>
      <c r="C90" s="35" t="s">
        <v>452</v>
      </c>
      <c r="D90" s="35" t="n">
        <v>0</v>
      </c>
    </row>
    <row r="91" customFormat="false" ht="15" hidden="false" customHeight="true" outlineLevel="0" collapsed="false">
      <c r="A91" s="35" t="s">
        <v>266</v>
      </c>
      <c r="B91" s="35" t="s">
        <v>461</v>
      </c>
      <c r="C91" s="35" t="s">
        <v>445</v>
      </c>
      <c r="D91" s="35" t="n">
        <v>0</v>
      </c>
    </row>
    <row r="92" customFormat="false" ht="15" hidden="false" customHeight="true" outlineLevel="0" collapsed="false">
      <c r="A92" s="35" t="s">
        <v>266</v>
      </c>
      <c r="B92" s="35" t="s">
        <v>461</v>
      </c>
      <c r="C92" s="35" t="s">
        <v>454</v>
      </c>
      <c r="D92" s="35" t="n">
        <v>0</v>
      </c>
    </row>
    <row r="93" customFormat="false" ht="15" hidden="false" customHeight="true" outlineLevel="0" collapsed="false">
      <c r="A93" s="35" t="s">
        <v>266</v>
      </c>
      <c r="B93" s="35" t="s">
        <v>461</v>
      </c>
      <c r="C93" s="35" t="s">
        <v>458</v>
      </c>
      <c r="D93" s="35" t="n">
        <v>0</v>
      </c>
    </row>
    <row r="94" customFormat="false" ht="15" hidden="false" customHeight="true" outlineLevel="0" collapsed="false">
      <c r="A94" s="35" t="s">
        <v>266</v>
      </c>
      <c r="B94" s="35" t="s">
        <v>461</v>
      </c>
      <c r="C94" s="35" t="s">
        <v>459</v>
      </c>
      <c r="D94" s="35" t="n">
        <v>0</v>
      </c>
    </row>
    <row r="95" customFormat="false" ht="15" hidden="false" customHeight="true" outlineLevel="0" collapsed="false">
      <c r="A95" s="35" t="s">
        <v>266</v>
      </c>
      <c r="B95" s="35" t="s">
        <v>462</v>
      </c>
      <c r="C95" s="35" t="s">
        <v>452</v>
      </c>
      <c r="D95" s="35" t="n">
        <v>0</v>
      </c>
    </row>
    <row r="96" customFormat="false" ht="15" hidden="false" customHeight="true" outlineLevel="0" collapsed="false">
      <c r="A96" s="35" t="s">
        <v>266</v>
      </c>
      <c r="B96" s="35" t="s">
        <v>462</v>
      </c>
      <c r="C96" s="35" t="s">
        <v>445</v>
      </c>
      <c r="D96" s="35" t="n">
        <v>0</v>
      </c>
    </row>
    <row r="97" customFormat="false" ht="15" hidden="false" customHeight="true" outlineLevel="0" collapsed="false">
      <c r="A97" s="35" t="s">
        <v>266</v>
      </c>
      <c r="B97" s="35" t="s">
        <v>462</v>
      </c>
      <c r="C97" s="35" t="s">
        <v>454</v>
      </c>
      <c r="D97" s="35" t="n">
        <v>0</v>
      </c>
    </row>
    <row r="98" customFormat="false" ht="15" hidden="false" customHeight="true" outlineLevel="0" collapsed="false">
      <c r="A98" s="35" t="s">
        <v>266</v>
      </c>
      <c r="B98" s="35" t="s">
        <v>462</v>
      </c>
      <c r="C98" s="35" t="s">
        <v>458</v>
      </c>
      <c r="D98" s="35" t="n">
        <v>0</v>
      </c>
    </row>
    <row r="99" customFormat="false" ht="15" hidden="false" customHeight="true" outlineLevel="0" collapsed="false">
      <c r="A99" s="35" t="s">
        <v>266</v>
      </c>
      <c r="B99" s="35" t="s">
        <v>462</v>
      </c>
      <c r="C99" s="35" t="s">
        <v>459</v>
      </c>
      <c r="D99" s="35" t="n">
        <v>0</v>
      </c>
    </row>
    <row r="100" customFormat="false" ht="15" hidden="false" customHeight="true" outlineLevel="0" collapsed="false">
      <c r="A100" s="35" t="s">
        <v>266</v>
      </c>
      <c r="B100" s="35" t="s">
        <v>463</v>
      </c>
      <c r="C100" s="35" t="s">
        <v>452</v>
      </c>
      <c r="D100" s="35" t="n">
        <v>0</v>
      </c>
    </row>
    <row r="101" customFormat="false" ht="15" hidden="false" customHeight="true" outlineLevel="0" collapsed="false">
      <c r="A101" s="35" t="s">
        <v>266</v>
      </c>
      <c r="B101" s="35" t="s">
        <v>463</v>
      </c>
      <c r="C101" s="35" t="s">
        <v>445</v>
      </c>
      <c r="D101" s="35" t="n">
        <v>0</v>
      </c>
    </row>
    <row r="102" customFormat="false" ht="15" hidden="false" customHeight="true" outlineLevel="0" collapsed="false">
      <c r="A102" s="35" t="s">
        <v>266</v>
      </c>
      <c r="B102" s="35" t="s">
        <v>463</v>
      </c>
      <c r="C102" s="35" t="s">
        <v>454</v>
      </c>
      <c r="D102" s="35" t="n">
        <v>0</v>
      </c>
    </row>
    <row r="103" customFormat="false" ht="15" hidden="false" customHeight="true" outlineLevel="0" collapsed="false">
      <c r="A103" s="35" t="s">
        <v>266</v>
      </c>
      <c r="B103" s="35" t="s">
        <v>463</v>
      </c>
      <c r="C103" s="35" t="s">
        <v>458</v>
      </c>
      <c r="D103" s="35" t="n">
        <v>0</v>
      </c>
    </row>
    <row r="104" customFormat="false" ht="15" hidden="false" customHeight="true" outlineLevel="0" collapsed="false">
      <c r="A104" s="35" t="s">
        <v>266</v>
      </c>
      <c r="B104" s="35" t="s">
        <v>463</v>
      </c>
      <c r="C104" s="35" t="s">
        <v>459</v>
      </c>
      <c r="D104" s="35" t="n">
        <v>0</v>
      </c>
    </row>
    <row r="105" customFormat="false" ht="15" hidden="false" customHeight="true" outlineLevel="0" collapsed="false">
      <c r="A105" s="35" t="s">
        <v>266</v>
      </c>
      <c r="B105" s="35" t="s">
        <v>451</v>
      </c>
      <c r="C105" s="35" t="s">
        <v>452</v>
      </c>
      <c r="D105" s="35" t="n">
        <v>0</v>
      </c>
    </row>
    <row r="106" customFormat="false" ht="15" hidden="false" customHeight="true" outlineLevel="0" collapsed="false">
      <c r="A106" s="35" t="s">
        <v>266</v>
      </c>
      <c r="B106" s="35" t="s">
        <v>451</v>
      </c>
      <c r="C106" s="35" t="s">
        <v>445</v>
      </c>
      <c r="D106" s="35" t="n">
        <v>0</v>
      </c>
    </row>
    <row r="107" customFormat="false" ht="15" hidden="false" customHeight="true" outlineLevel="0" collapsed="false">
      <c r="A107" s="35" t="s">
        <v>266</v>
      </c>
      <c r="B107" s="35" t="s">
        <v>451</v>
      </c>
      <c r="C107" s="35" t="s">
        <v>454</v>
      </c>
      <c r="D107" s="35" t="n">
        <v>0</v>
      </c>
    </row>
    <row r="108" customFormat="false" ht="15" hidden="false" customHeight="true" outlineLevel="0" collapsed="false">
      <c r="A108" s="35" t="s">
        <v>266</v>
      </c>
      <c r="B108" s="35" t="s">
        <v>451</v>
      </c>
      <c r="C108" s="35" t="s">
        <v>458</v>
      </c>
      <c r="D108" s="35" t="n">
        <v>0</v>
      </c>
    </row>
    <row r="109" customFormat="false" ht="15" hidden="false" customHeight="true" outlineLevel="0" collapsed="false">
      <c r="A109" s="35" t="s">
        <v>266</v>
      </c>
      <c r="B109" s="35" t="s">
        <v>451</v>
      </c>
      <c r="C109" s="35" t="s">
        <v>459</v>
      </c>
      <c r="D109" s="35" t="n">
        <v>0</v>
      </c>
    </row>
    <row r="110" customFormat="false" ht="15" hidden="false" customHeight="true" outlineLevel="0" collapsed="false">
      <c r="A110" s="35" t="s">
        <v>317</v>
      </c>
      <c r="B110" s="35" t="s">
        <v>444</v>
      </c>
      <c r="C110" s="35" t="s">
        <v>452</v>
      </c>
      <c r="D110" s="35" t="n">
        <v>0</v>
      </c>
    </row>
    <row r="111" customFormat="false" ht="15" hidden="false" customHeight="true" outlineLevel="0" collapsed="false">
      <c r="A111" s="35" t="s">
        <v>317</v>
      </c>
      <c r="B111" s="35" t="s">
        <v>444</v>
      </c>
      <c r="C111" s="35" t="s">
        <v>445</v>
      </c>
      <c r="D111" s="35" t="n">
        <v>0</v>
      </c>
    </row>
    <row r="112" customFormat="false" ht="15" hidden="false" customHeight="true" outlineLevel="0" collapsed="false">
      <c r="A112" s="35" t="s">
        <v>317</v>
      </c>
      <c r="B112" s="35" t="s">
        <v>444</v>
      </c>
      <c r="C112" s="35" t="s">
        <v>454</v>
      </c>
      <c r="D112" s="35" t="n">
        <v>0</v>
      </c>
    </row>
    <row r="113" customFormat="false" ht="15" hidden="false" customHeight="true" outlineLevel="0" collapsed="false">
      <c r="A113" s="35" t="s">
        <v>317</v>
      </c>
      <c r="B113" s="35" t="s">
        <v>444</v>
      </c>
      <c r="C113" s="35" t="s">
        <v>458</v>
      </c>
      <c r="D113" s="35" t="n">
        <v>0</v>
      </c>
    </row>
    <row r="114" customFormat="false" ht="15" hidden="false" customHeight="true" outlineLevel="0" collapsed="false">
      <c r="A114" s="35" t="s">
        <v>317</v>
      </c>
      <c r="B114" s="35" t="s">
        <v>444</v>
      </c>
      <c r="C114" s="35" t="s">
        <v>459</v>
      </c>
      <c r="D114" s="35" t="n">
        <v>0</v>
      </c>
    </row>
    <row r="115" customFormat="false" ht="15" hidden="false" customHeight="true" outlineLevel="0" collapsed="false">
      <c r="A115" s="35" t="s">
        <v>317</v>
      </c>
      <c r="B115" s="35" t="s">
        <v>460</v>
      </c>
      <c r="C115" s="35" t="s">
        <v>452</v>
      </c>
      <c r="D115" s="35" t="n">
        <v>0</v>
      </c>
    </row>
    <row r="116" customFormat="false" ht="15" hidden="false" customHeight="true" outlineLevel="0" collapsed="false">
      <c r="A116" s="35" t="s">
        <v>317</v>
      </c>
      <c r="B116" s="35" t="s">
        <v>460</v>
      </c>
      <c r="C116" s="35" t="s">
        <v>445</v>
      </c>
      <c r="D116" s="35" t="n">
        <v>0</v>
      </c>
    </row>
    <row r="117" customFormat="false" ht="15" hidden="false" customHeight="true" outlineLevel="0" collapsed="false">
      <c r="A117" s="35" t="s">
        <v>317</v>
      </c>
      <c r="B117" s="35" t="s">
        <v>460</v>
      </c>
      <c r="C117" s="35" t="s">
        <v>454</v>
      </c>
      <c r="D117" s="35" t="n">
        <v>0</v>
      </c>
    </row>
    <row r="118" customFormat="false" ht="15" hidden="false" customHeight="true" outlineLevel="0" collapsed="false">
      <c r="A118" s="35" t="s">
        <v>317</v>
      </c>
      <c r="B118" s="35" t="s">
        <v>460</v>
      </c>
      <c r="C118" s="35" t="s">
        <v>458</v>
      </c>
      <c r="D118" s="35" t="n">
        <v>0</v>
      </c>
    </row>
    <row r="119" customFormat="false" ht="15" hidden="false" customHeight="true" outlineLevel="0" collapsed="false">
      <c r="A119" s="35" t="s">
        <v>317</v>
      </c>
      <c r="B119" s="35" t="s">
        <v>460</v>
      </c>
      <c r="C119" s="35" t="s">
        <v>459</v>
      </c>
      <c r="D119" s="35" t="n">
        <v>0</v>
      </c>
    </row>
    <row r="120" customFormat="false" ht="15" hidden="false" customHeight="true" outlineLevel="0" collapsed="false">
      <c r="A120" s="35" t="s">
        <v>317</v>
      </c>
      <c r="B120" s="35" t="s">
        <v>449</v>
      </c>
      <c r="C120" s="35" t="s">
        <v>452</v>
      </c>
      <c r="D120" s="35" t="n">
        <v>0</v>
      </c>
    </row>
    <row r="121" customFormat="false" ht="15" hidden="false" customHeight="true" outlineLevel="0" collapsed="false">
      <c r="A121" s="35" t="s">
        <v>317</v>
      </c>
      <c r="B121" s="35" t="s">
        <v>449</v>
      </c>
      <c r="C121" s="35" t="s">
        <v>445</v>
      </c>
      <c r="D121" s="35" t="n">
        <v>0</v>
      </c>
    </row>
    <row r="122" customFormat="false" ht="15" hidden="false" customHeight="true" outlineLevel="0" collapsed="false">
      <c r="A122" s="35" t="s">
        <v>317</v>
      </c>
      <c r="B122" s="35" t="s">
        <v>449</v>
      </c>
      <c r="C122" s="35" t="s">
        <v>454</v>
      </c>
      <c r="D122" s="35" t="n">
        <v>0</v>
      </c>
    </row>
    <row r="123" customFormat="false" ht="15" hidden="false" customHeight="true" outlineLevel="0" collapsed="false">
      <c r="A123" s="35" t="s">
        <v>317</v>
      </c>
      <c r="B123" s="35" t="s">
        <v>449</v>
      </c>
      <c r="C123" s="35" t="s">
        <v>458</v>
      </c>
      <c r="D123" s="35" t="n">
        <v>0</v>
      </c>
    </row>
    <row r="124" customFormat="false" ht="15" hidden="false" customHeight="true" outlineLevel="0" collapsed="false">
      <c r="A124" s="35" t="s">
        <v>317</v>
      </c>
      <c r="B124" s="35" t="s">
        <v>449</v>
      </c>
      <c r="C124" s="35" t="s">
        <v>459</v>
      </c>
      <c r="D124" s="35" t="n">
        <v>0</v>
      </c>
    </row>
    <row r="125" customFormat="false" ht="15" hidden="false" customHeight="true" outlineLevel="0" collapsed="false">
      <c r="A125" s="35" t="s">
        <v>317</v>
      </c>
      <c r="B125" s="35" t="s">
        <v>461</v>
      </c>
      <c r="C125" s="35" t="s">
        <v>452</v>
      </c>
      <c r="D125" s="35" t="n">
        <v>0</v>
      </c>
    </row>
    <row r="126" customFormat="false" ht="15" hidden="false" customHeight="true" outlineLevel="0" collapsed="false">
      <c r="A126" s="35" t="s">
        <v>317</v>
      </c>
      <c r="B126" s="35" t="s">
        <v>461</v>
      </c>
      <c r="C126" s="35" t="s">
        <v>445</v>
      </c>
      <c r="D126" s="35" t="n">
        <v>0</v>
      </c>
    </row>
    <row r="127" customFormat="false" ht="15" hidden="false" customHeight="true" outlineLevel="0" collapsed="false">
      <c r="A127" s="35" t="s">
        <v>317</v>
      </c>
      <c r="B127" s="35" t="s">
        <v>461</v>
      </c>
      <c r="C127" s="35" t="s">
        <v>454</v>
      </c>
      <c r="D127" s="35" t="n">
        <v>0</v>
      </c>
    </row>
    <row r="128" customFormat="false" ht="15" hidden="false" customHeight="true" outlineLevel="0" collapsed="false">
      <c r="A128" s="35" t="s">
        <v>317</v>
      </c>
      <c r="B128" s="35" t="s">
        <v>461</v>
      </c>
      <c r="C128" s="35" t="s">
        <v>458</v>
      </c>
      <c r="D128" s="35" t="n">
        <v>0</v>
      </c>
    </row>
    <row r="129" customFormat="false" ht="15" hidden="false" customHeight="true" outlineLevel="0" collapsed="false">
      <c r="A129" s="35" t="s">
        <v>317</v>
      </c>
      <c r="B129" s="35" t="s">
        <v>461</v>
      </c>
      <c r="C129" s="35" t="s">
        <v>459</v>
      </c>
      <c r="D129" s="35" t="n">
        <v>0</v>
      </c>
    </row>
    <row r="130" customFormat="false" ht="15" hidden="false" customHeight="true" outlineLevel="0" collapsed="false">
      <c r="A130" s="35" t="s">
        <v>317</v>
      </c>
      <c r="B130" s="35" t="s">
        <v>462</v>
      </c>
      <c r="C130" s="35" t="s">
        <v>452</v>
      </c>
      <c r="D130" s="35" t="n">
        <v>0</v>
      </c>
    </row>
    <row r="131" customFormat="false" ht="15" hidden="false" customHeight="true" outlineLevel="0" collapsed="false">
      <c r="A131" s="35" t="s">
        <v>317</v>
      </c>
      <c r="B131" s="35" t="s">
        <v>462</v>
      </c>
      <c r="C131" s="35" t="s">
        <v>445</v>
      </c>
      <c r="D131" s="35" t="n">
        <v>0</v>
      </c>
    </row>
    <row r="132" customFormat="false" ht="15" hidden="false" customHeight="true" outlineLevel="0" collapsed="false">
      <c r="A132" s="35" t="s">
        <v>317</v>
      </c>
      <c r="B132" s="35" t="s">
        <v>462</v>
      </c>
      <c r="C132" s="35" t="s">
        <v>454</v>
      </c>
      <c r="D132" s="35" t="n">
        <v>0</v>
      </c>
    </row>
    <row r="133" customFormat="false" ht="15" hidden="false" customHeight="true" outlineLevel="0" collapsed="false">
      <c r="A133" s="35" t="s">
        <v>317</v>
      </c>
      <c r="B133" s="35" t="s">
        <v>462</v>
      </c>
      <c r="C133" s="35" t="s">
        <v>458</v>
      </c>
      <c r="D133" s="35" t="n">
        <v>0</v>
      </c>
    </row>
    <row r="134" customFormat="false" ht="15" hidden="false" customHeight="true" outlineLevel="0" collapsed="false">
      <c r="A134" s="35" t="s">
        <v>317</v>
      </c>
      <c r="B134" s="35" t="s">
        <v>462</v>
      </c>
      <c r="C134" s="35" t="s">
        <v>459</v>
      </c>
      <c r="D134" s="35" t="n">
        <v>0</v>
      </c>
    </row>
    <row r="135" customFormat="false" ht="15" hidden="false" customHeight="true" outlineLevel="0" collapsed="false">
      <c r="A135" s="35" t="s">
        <v>317</v>
      </c>
      <c r="B135" s="35" t="s">
        <v>463</v>
      </c>
      <c r="C135" s="35" t="s">
        <v>452</v>
      </c>
      <c r="D135" s="35" t="n">
        <v>0</v>
      </c>
    </row>
    <row r="136" customFormat="false" ht="15" hidden="false" customHeight="true" outlineLevel="0" collapsed="false">
      <c r="A136" s="35" t="s">
        <v>317</v>
      </c>
      <c r="B136" s="35" t="s">
        <v>463</v>
      </c>
      <c r="C136" s="35" t="s">
        <v>445</v>
      </c>
      <c r="D136" s="35" t="n">
        <v>0</v>
      </c>
    </row>
    <row r="137" customFormat="false" ht="15" hidden="false" customHeight="true" outlineLevel="0" collapsed="false">
      <c r="A137" s="35" t="s">
        <v>317</v>
      </c>
      <c r="B137" s="35" t="s">
        <v>463</v>
      </c>
      <c r="C137" s="35" t="s">
        <v>454</v>
      </c>
      <c r="D137" s="35" t="n">
        <v>0</v>
      </c>
    </row>
    <row r="138" customFormat="false" ht="15" hidden="false" customHeight="true" outlineLevel="0" collapsed="false">
      <c r="A138" s="35" t="s">
        <v>317</v>
      </c>
      <c r="B138" s="35" t="s">
        <v>463</v>
      </c>
      <c r="C138" s="35" t="s">
        <v>458</v>
      </c>
      <c r="D138" s="35" t="n">
        <v>0</v>
      </c>
    </row>
    <row r="139" customFormat="false" ht="15" hidden="false" customHeight="true" outlineLevel="0" collapsed="false">
      <c r="A139" s="35" t="s">
        <v>317</v>
      </c>
      <c r="B139" s="35" t="s">
        <v>463</v>
      </c>
      <c r="C139" s="35" t="s">
        <v>459</v>
      </c>
      <c r="D139" s="35" t="n">
        <v>0</v>
      </c>
    </row>
    <row r="140" customFormat="false" ht="15" hidden="false" customHeight="true" outlineLevel="0" collapsed="false">
      <c r="A140" s="35" t="s">
        <v>317</v>
      </c>
      <c r="B140" s="35" t="s">
        <v>451</v>
      </c>
      <c r="C140" s="35" t="s">
        <v>452</v>
      </c>
      <c r="D140" s="35" t="n">
        <v>0</v>
      </c>
    </row>
    <row r="141" customFormat="false" ht="15" hidden="false" customHeight="true" outlineLevel="0" collapsed="false">
      <c r="A141" s="35" t="s">
        <v>317</v>
      </c>
      <c r="B141" s="35" t="s">
        <v>451</v>
      </c>
      <c r="C141" s="35" t="s">
        <v>445</v>
      </c>
      <c r="D141" s="35" t="n">
        <v>0</v>
      </c>
    </row>
    <row r="142" customFormat="false" ht="15" hidden="false" customHeight="true" outlineLevel="0" collapsed="false">
      <c r="A142" s="35" t="s">
        <v>317</v>
      </c>
      <c r="B142" s="35" t="s">
        <v>451</v>
      </c>
      <c r="C142" s="35" t="s">
        <v>454</v>
      </c>
      <c r="D142" s="35" t="n">
        <v>0</v>
      </c>
    </row>
    <row r="143" customFormat="false" ht="15" hidden="false" customHeight="true" outlineLevel="0" collapsed="false">
      <c r="A143" s="35" t="s">
        <v>317</v>
      </c>
      <c r="B143" s="35" t="s">
        <v>451</v>
      </c>
      <c r="C143" s="35" t="s">
        <v>458</v>
      </c>
      <c r="D143" s="35" t="n">
        <v>0</v>
      </c>
    </row>
    <row r="144" customFormat="false" ht="15" hidden="false" customHeight="true" outlineLevel="0" collapsed="false">
      <c r="A144" s="35" t="s">
        <v>317</v>
      </c>
      <c r="B144" s="35" t="s">
        <v>451</v>
      </c>
      <c r="C144" s="35" t="s">
        <v>459</v>
      </c>
      <c r="D144" s="35" t="n">
        <v>0</v>
      </c>
    </row>
    <row r="145" customFormat="false" ht="15" hidden="false" customHeight="true" outlineLevel="0" collapsed="false">
      <c r="A145" s="35" t="s">
        <v>368</v>
      </c>
      <c r="B145" s="35" t="s">
        <v>444</v>
      </c>
      <c r="C145" s="35" t="s">
        <v>452</v>
      </c>
      <c r="D145" s="35" t="n">
        <v>0</v>
      </c>
    </row>
    <row r="146" customFormat="false" ht="15" hidden="false" customHeight="true" outlineLevel="0" collapsed="false">
      <c r="A146" s="35" t="s">
        <v>368</v>
      </c>
      <c r="B146" s="35" t="s">
        <v>444</v>
      </c>
      <c r="C146" s="35" t="s">
        <v>445</v>
      </c>
      <c r="D146" s="35" t="n">
        <v>0</v>
      </c>
    </row>
    <row r="147" customFormat="false" ht="15" hidden="false" customHeight="true" outlineLevel="0" collapsed="false">
      <c r="A147" s="35" t="s">
        <v>368</v>
      </c>
      <c r="B147" s="35" t="s">
        <v>444</v>
      </c>
      <c r="C147" s="35" t="s">
        <v>454</v>
      </c>
      <c r="D147" s="35" t="n">
        <v>0</v>
      </c>
    </row>
    <row r="148" customFormat="false" ht="15" hidden="false" customHeight="true" outlineLevel="0" collapsed="false">
      <c r="A148" s="35" t="s">
        <v>368</v>
      </c>
      <c r="B148" s="35" t="s">
        <v>444</v>
      </c>
      <c r="C148" s="35" t="s">
        <v>458</v>
      </c>
      <c r="D148" s="35" t="n">
        <v>0</v>
      </c>
    </row>
    <row r="149" customFormat="false" ht="15" hidden="false" customHeight="true" outlineLevel="0" collapsed="false">
      <c r="A149" s="35" t="s">
        <v>368</v>
      </c>
      <c r="B149" s="35" t="s">
        <v>444</v>
      </c>
      <c r="C149" s="35" t="s">
        <v>459</v>
      </c>
      <c r="D149" s="35" t="n">
        <v>0</v>
      </c>
    </row>
    <row r="150" customFormat="false" ht="15" hidden="false" customHeight="true" outlineLevel="0" collapsed="false">
      <c r="A150" s="35" t="s">
        <v>368</v>
      </c>
      <c r="B150" s="35" t="s">
        <v>460</v>
      </c>
      <c r="C150" s="35" t="s">
        <v>452</v>
      </c>
      <c r="D150" s="35" t="n">
        <v>0</v>
      </c>
    </row>
    <row r="151" customFormat="false" ht="15" hidden="false" customHeight="true" outlineLevel="0" collapsed="false">
      <c r="A151" s="35" t="s">
        <v>368</v>
      </c>
      <c r="B151" s="35" t="s">
        <v>460</v>
      </c>
      <c r="C151" s="35" t="s">
        <v>445</v>
      </c>
      <c r="D151" s="35" t="n">
        <v>0</v>
      </c>
    </row>
    <row r="152" customFormat="false" ht="15" hidden="false" customHeight="true" outlineLevel="0" collapsed="false">
      <c r="A152" s="35" t="s">
        <v>368</v>
      </c>
      <c r="B152" s="35" t="s">
        <v>460</v>
      </c>
      <c r="C152" s="35" t="s">
        <v>454</v>
      </c>
      <c r="D152" s="35" t="n">
        <v>0</v>
      </c>
    </row>
    <row r="153" customFormat="false" ht="15" hidden="false" customHeight="true" outlineLevel="0" collapsed="false">
      <c r="A153" s="35" t="s">
        <v>368</v>
      </c>
      <c r="B153" s="35" t="s">
        <v>460</v>
      </c>
      <c r="C153" s="35" t="s">
        <v>458</v>
      </c>
      <c r="D153" s="35" t="n">
        <v>0</v>
      </c>
    </row>
    <row r="154" customFormat="false" ht="15" hidden="false" customHeight="true" outlineLevel="0" collapsed="false">
      <c r="A154" s="35" t="s">
        <v>368</v>
      </c>
      <c r="B154" s="35" t="s">
        <v>460</v>
      </c>
      <c r="C154" s="35" t="s">
        <v>459</v>
      </c>
      <c r="D154" s="35" t="n">
        <v>0</v>
      </c>
    </row>
    <row r="155" customFormat="false" ht="15" hidden="false" customHeight="true" outlineLevel="0" collapsed="false">
      <c r="A155" s="35" t="s">
        <v>368</v>
      </c>
      <c r="B155" s="35" t="s">
        <v>449</v>
      </c>
      <c r="C155" s="35" t="s">
        <v>452</v>
      </c>
      <c r="D155" s="35" t="n">
        <v>0</v>
      </c>
    </row>
    <row r="156" customFormat="false" ht="15" hidden="false" customHeight="true" outlineLevel="0" collapsed="false">
      <c r="A156" s="35" t="s">
        <v>368</v>
      </c>
      <c r="B156" s="35" t="s">
        <v>449</v>
      </c>
      <c r="C156" s="35" t="s">
        <v>445</v>
      </c>
      <c r="D156" s="35" t="n">
        <v>0</v>
      </c>
    </row>
    <row r="157" customFormat="false" ht="15" hidden="false" customHeight="true" outlineLevel="0" collapsed="false">
      <c r="A157" s="35" t="s">
        <v>368</v>
      </c>
      <c r="B157" s="35" t="s">
        <v>449</v>
      </c>
      <c r="C157" s="35" t="s">
        <v>454</v>
      </c>
      <c r="D157" s="35" t="n">
        <v>0</v>
      </c>
    </row>
    <row r="158" customFormat="false" ht="15" hidden="false" customHeight="true" outlineLevel="0" collapsed="false">
      <c r="A158" s="35" t="s">
        <v>368</v>
      </c>
      <c r="B158" s="35" t="s">
        <v>449</v>
      </c>
      <c r="C158" s="35" t="s">
        <v>458</v>
      </c>
      <c r="D158" s="35" t="n">
        <v>0</v>
      </c>
    </row>
    <row r="159" customFormat="false" ht="15" hidden="false" customHeight="true" outlineLevel="0" collapsed="false">
      <c r="A159" s="35" t="s">
        <v>368</v>
      </c>
      <c r="B159" s="35" t="s">
        <v>449</v>
      </c>
      <c r="C159" s="35" t="s">
        <v>459</v>
      </c>
      <c r="D159" s="35" t="n">
        <v>0</v>
      </c>
    </row>
    <row r="160" customFormat="false" ht="15" hidden="false" customHeight="true" outlineLevel="0" collapsed="false">
      <c r="A160" s="35" t="s">
        <v>368</v>
      </c>
      <c r="B160" s="35" t="s">
        <v>461</v>
      </c>
      <c r="C160" s="35" t="s">
        <v>452</v>
      </c>
      <c r="D160" s="35" t="n">
        <v>0</v>
      </c>
    </row>
    <row r="161" customFormat="false" ht="15" hidden="false" customHeight="true" outlineLevel="0" collapsed="false">
      <c r="A161" s="35" t="s">
        <v>368</v>
      </c>
      <c r="B161" s="35" t="s">
        <v>461</v>
      </c>
      <c r="C161" s="35" t="s">
        <v>445</v>
      </c>
      <c r="D161" s="35" t="n">
        <v>0</v>
      </c>
    </row>
    <row r="162" customFormat="false" ht="15" hidden="false" customHeight="true" outlineLevel="0" collapsed="false">
      <c r="A162" s="35" t="s">
        <v>368</v>
      </c>
      <c r="B162" s="35" t="s">
        <v>461</v>
      </c>
      <c r="C162" s="35" t="s">
        <v>454</v>
      </c>
      <c r="D162" s="35" t="n">
        <v>0</v>
      </c>
    </row>
    <row r="163" customFormat="false" ht="15" hidden="false" customHeight="true" outlineLevel="0" collapsed="false">
      <c r="A163" s="35" t="s">
        <v>368</v>
      </c>
      <c r="B163" s="35" t="s">
        <v>461</v>
      </c>
      <c r="C163" s="35" t="s">
        <v>458</v>
      </c>
      <c r="D163" s="35" t="n">
        <v>0</v>
      </c>
    </row>
    <row r="164" customFormat="false" ht="15" hidden="false" customHeight="true" outlineLevel="0" collapsed="false">
      <c r="A164" s="35" t="s">
        <v>368</v>
      </c>
      <c r="B164" s="35" t="s">
        <v>461</v>
      </c>
      <c r="C164" s="35" t="s">
        <v>459</v>
      </c>
      <c r="D164" s="35" t="n">
        <v>0</v>
      </c>
    </row>
    <row r="165" customFormat="false" ht="15" hidden="false" customHeight="true" outlineLevel="0" collapsed="false">
      <c r="A165" s="35" t="s">
        <v>368</v>
      </c>
      <c r="B165" s="35" t="s">
        <v>462</v>
      </c>
      <c r="C165" s="35" t="s">
        <v>452</v>
      </c>
      <c r="D165" s="35" t="n">
        <v>0</v>
      </c>
    </row>
    <row r="166" customFormat="false" ht="15" hidden="false" customHeight="true" outlineLevel="0" collapsed="false">
      <c r="A166" s="35" t="s">
        <v>368</v>
      </c>
      <c r="B166" s="35" t="s">
        <v>462</v>
      </c>
      <c r="C166" s="35" t="s">
        <v>445</v>
      </c>
      <c r="D166" s="35" t="n">
        <v>0</v>
      </c>
    </row>
    <row r="167" customFormat="false" ht="15" hidden="false" customHeight="true" outlineLevel="0" collapsed="false">
      <c r="A167" s="35" t="s">
        <v>368</v>
      </c>
      <c r="B167" s="35" t="s">
        <v>462</v>
      </c>
      <c r="C167" s="35" t="s">
        <v>454</v>
      </c>
      <c r="D167" s="35" t="n">
        <v>0</v>
      </c>
    </row>
    <row r="168" customFormat="false" ht="15" hidden="false" customHeight="true" outlineLevel="0" collapsed="false">
      <c r="A168" s="35" t="s">
        <v>368</v>
      </c>
      <c r="B168" s="35" t="s">
        <v>462</v>
      </c>
      <c r="C168" s="35" t="s">
        <v>458</v>
      </c>
      <c r="D168" s="35" t="n">
        <v>0</v>
      </c>
    </row>
    <row r="169" customFormat="false" ht="15" hidden="false" customHeight="true" outlineLevel="0" collapsed="false">
      <c r="A169" s="35" t="s">
        <v>368</v>
      </c>
      <c r="B169" s="35" t="s">
        <v>462</v>
      </c>
      <c r="C169" s="35" t="s">
        <v>459</v>
      </c>
      <c r="D169" s="35" t="n">
        <v>0</v>
      </c>
    </row>
    <row r="170" customFormat="false" ht="15" hidden="false" customHeight="true" outlineLevel="0" collapsed="false">
      <c r="A170" s="35" t="s">
        <v>368</v>
      </c>
      <c r="B170" s="35" t="s">
        <v>463</v>
      </c>
      <c r="C170" s="35" t="s">
        <v>452</v>
      </c>
      <c r="D170" s="35" t="n">
        <v>0</v>
      </c>
    </row>
    <row r="171" customFormat="false" ht="15" hidden="false" customHeight="true" outlineLevel="0" collapsed="false">
      <c r="A171" s="35" t="s">
        <v>368</v>
      </c>
      <c r="B171" s="35" t="s">
        <v>463</v>
      </c>
      <c r="C171" s="35" t="s">
        <v>445</v>
      </c>
      <c r="D171" s="35" t="n">
        <v>0</v>
      </c>
    </row>
    <row r="172" customFormat="false" ht="15" hidden="false" customHeight="true" outlineLevel="0" collapsed="false">
      <c r="A172" s="35" t="s">
        <v>368</v>
      </c>
      <c r="B172" s="35" t="s">
        <v>463</v>
      </c>
      <c r="C172" s="35" t="s">
        <v>454</v>
      </c>
      <c r="D172" s="35" t="n">
        <v>0</v>
      </c>
    </row>
    <row r="173" customFormat="false" ht="15" hidden="false" customHeight="true" outlineLevel="0" collapsed="false">
      <c r="A173" s="35" t="s">
        <v>368</v>
      </c>
      <c r="B173" s="35" t="s">
        <v>463</v>
      </c>
      <c r="C173" s="35" t="s">
        <v>458</v>
      </c>
      <c r="D173" s="35" t="n">
        <v>0</v>
      </c>
    </row>
    <row r="174" customFormat="false" ht="15" hidden="false" customHeight="true" outlineLevel="0" collapsed="false">
      <c r="A174" s="35" t="s">
        <v>368</v>
      </c>
      <c r="B174" s="35" t="s">
        <v>463</v>
      </c>
      <c r="C174" s="35" t="s">
        <v>459</v>
      </c>
      <c r="D174" s="35" t="n">
        <v>0</v>
      </c>
    </row>
    <row r="175" customFormat="false" ht="15" hidden="false" customHeight="true" outlineLevel="0" collapsed="false">
      <c r="A175" s="35" t="s">
        <v>368</v>
      </c>
      <c r="B175" s="35" t="s">
        <v>451</v>
      </c>
      <c r="C175" s="35" t="s">
        <v>452</v>
      </c>
      <c r="D175" s="35" t="n">
        <v>0</v>
      </c>
    </row>
    <row r="176" customFormat="false" ht="15" hidden="false" customHeight="true" outlineLevel="0" collapsed="false">
      <c r="A176" s="35" t="s">
        <v>368</v>
      </c>
      <c r="B176" s="35" t="s">
        <v>451</v>
      </c>
      <c r="C176" s="35" t="s">
        <v>445</v>
      </c>
      <c r="D176" s="35" t="n">
        <v>0</v>
      </c>
    </row>
    <row r="177" customFormat="false" ht="15" hidden="false" customHeight="true" outlineLevel="0" collapsed="false">
      <c r="A177" s="35" t="s">
        <v>368</v>
      </c>
      <c r="B177" s="35" t="s">
        <v>451</v>
      </c>
      <c r="C177" s="35" t="s">
        <v>454</v>
      </c>
      <c r="D177" s="35" t="n">
        <v>0</v>
      </c>
    </row>
    <row r="178" customFormat="false" ht="15" hidden="false" customHeight="true" outlineLevel="0" collapsed="false">
      <c r="A178" s="35" t="s">
        <v>368</v>
      </c>
      <c r="B178" s="35" t="s">
        <v>451</v>
      </c>
      <c r="C178" s="35" t="s">
        <v>458</v>
      </c>
      <c r="D178" s="35" t="n">
        <v>0</v>
      </c>
    </row>
    <row r="179" customFormat="false" ht="15" hidden="false" customHeight="true" outlineLevel="0" collapsed="false">
      <c r="A179" s="35" t="s">
        <v>368</v>
      </c>
      <c r="B179" s="35" t="s">
        <v>451</v>
      </c>
      <c r="C179" s="35" t="s">
        <v>459</v>
      </c>
      <c r="D179" s="35" t="n"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9" min="7" style="1" width="10"/>
  </cols>
  <sheetData>
    <row r="1" customFormat="false" ht="30" hidden="false" customHeight="true" outlineLevel="0" collapsed="false">
      <c r="A1" s="2" t="s">
        <v>464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465</v>
      </c>
      <c r="B2" s="3"/>
      <c r="C2" s="3"/>
      <c r="D2" s="3"/>
      <c r="E2" s="3"/>
      <c r="F2" s="3"/>
      <c r="G2" s="3"/>
      <c r="H2" s="3"/>
      <c r="I2" s="3"/>
    </row>
    <row r="4" customFormat="false" ht="21.75" hidden="false" customHeight="true" outlineLevel="0" collapsed="false">
      <c r="A4" s="7" t="s">
        <v>466</v>
      </c>
      <c r="B4" s="7" t="s">
        <v>435</v>
      </c>
      <c r="C4" s="7" t="s">
        <v>467</v>
      </c>
      <c r="D4" s="7" t="s">
        <v>438</v>
      </c>
      <c r="E4" s="7" t="s">
        <v>468</v>
      </c>
      <c r="F4" s="7" t="s">
        <v>439</v>
      </c>
      <c r="G4" s="7" t="s">
        <v>469</v>
      </c>
      <c r="H4" s="7" t="s">
        <v>433</v>
      </c>
      <c r="I4" s="7" t="s">
        <v>441</v>
      </c>
    </row>
    <row r="5" customFormat="false" ht="15" hidden="false" customHeight="true" outlineLevel="0" collapsed="false">
      <c r="A5" s="35" t="s">
        <v>470</v>
      </c>
      <c r="B5" s="36" t="n">
        <v>980</v>
      </c>
      <c r="C5" s="35" t="n">
        <v>170</v>
      </c>
      <c r="D5" s="39" t="n">
        <f aca="false">B5/C5</f>
        <v>5.76470588235294</v>
      </c>
      <c r="E5" s="35" t="n">
        <v>9500</v>
      </c>
      <c r="F5" s="40" t="n">
        <f aca="false">B5*10000000/(C5*E5)</f>
        <v>6068.11145510836</v>
      </c>
      <c r="G5" s="41" t="n">
        <v>0.08</v>
      </c>
      <c r="H5" s="35" t="s">
        <v>445</v>
      </c>
      <c r="I5" s="35" t="n">
        <v>35</v>
      </c>
    </row>
    <row r="6" customFormat="false" ht="15" hidden="false" customHeight="true" outlineLevel="0" collapsed="false">
      <c r="A6" s="35" t="s">
        <v>448</v>
      </c>
      <c r="B6" s="36" t="n">
        <v>2900</v>
      </c>
      <c r="C6" s="35" t="n">
        <v>460</v>
      </c>
      <c r="D6" s="39" t="n">
        <f aca="false">B6/C6</f>
        <v>6.30434782608696</v>
      </c>
      <c r="E6" s="35" t="n">
        <v>8000</v>
      </c>
      <c r="F6" s="40" t="n">
        <f aca="false">B6*10000000/(C6*E6)</f>
        <v>7880.4347826087</v>
      </c>
      <c r="G6" s="41" t="n">
        <v>0.05</v>
      </c>
      <c r="H6" s="35" t="s">
        <v>445</v>
      </c>
      <c r="I6" s="35" t="n">
        <v>70</v>
      </c>
    </row>
    <row r="7" customFormat="false" ht="15" hidden="false" customHeight="true" outlineLevel="0" collapsed="false">
      <c r="A7" s="35" t="s">
        <v>450</v>
      </c>
      <c r="B7" s="36" t="n">
        <v>9500</v>
      </c>
      <c r="C7" s="35" t="n">
        <v>680</v>
      </c>
      <c r="D7" s="39" t="n">
        <f aca="false">B7/C7</f>
        <v>13.9705882352941</v>
      </c>
      <c r="E7" s="35" t="n">
        <v>18000</v>
      </c>
      <c r="F7" s="40" t="n">
        <f aca="false">B7*10000000/(C7*E7)</f>
        <v>7761.43790849673</v>
      </c>
      <c r="G7" s="41" t="n">
        <v>0.09</v>
      </c>
      <c r="H7" s="35" t="s">
        <v>452</v>
      </c>
      <c r="I7" s="35" t="n">
        <v>90</v>
      </c>
    </row>
    <row r="8" customFormat="false" ht="15" hidden="false" customHeight="true" outlineLevel="0" collapsed="false">
      <c r="A8" s="35" t="s">
        <v>471</v>
      </c>
      <c r="B8" s="36" t="n">
        <v>12000</v>
      </c>
      <c r="C8" s="35" t="n">
        <v>760</v>
      </c>
      <c r="D8" s="39" t="n">
        <f aca="false">B8/C8</f>
        <v>15.7894736842105</v>
      </c>
      <c r="E8" s="35" t="n">
        <v>3500</v>
      </c>
      <c r="F8" s="40" t="n">
        <f aca="false">B8*10000000/(C8*E8)</f>
        <v>45112.7819548872</v>
      </c>
      <c r="G8" s="41" t="n">
        <v>0.12</v>
      </c>
      <c r="H8" s="35" t="s">
        <v>445</v>
      </c>
      <c r="I8" s="35" t="n">
        <v>300</v>
      </c>
    </row>
    <row r="9" customFormat="false" ht="15" hidden="false" customHeight="true" outlineLevel="0" collapsed="false">
      <c r="A9" s="35" t="s">
        <v>472</v>
      </c>
      <c r="B9" s="36" t="n">
        <v>13000</v>
      </c>
      <c r="C9" s="35" t="n">
        <v>3200</v>
      </c>
      <c r="D9" s="39" t="n">
        <f aca="false">B9/C9</f>
        <v>4.0625</v>
      </c>
      <c r="E9" s="35" t="n">
        <v>5000</v>
      </c>
      <c r="F9" s="40" t="n">
        <f aca="false">B9*10000000/(C9*E9)</f>
        <v>8125</v>
      </c>
      <c r="G9" s="41" t="n">
        <v>0.04</v>
      </c>
      <c r="H9" s="35" t="s">
        <v>454</v>
      </c>
      <c r="I9" s="35" t="n">
        <v>120</v>
      </c>
    </row>
    <row r="10" customFormat="false" ht="15" hidden="false" customHeight="true" outlineLevel="0" collapsed="false">
      <c r="A10" s="35" t="s">
        <v>473</v>
      </c>
      <c r="B10" s="36" t="n">
        <v>8500</v>
      </c>
      <c r="C10" s="35" t="n">
        <v>3000</v>
      </c>
      <c r="D10" s="39" t="n">
        <f aca="false">B10/C10</f>
        <v>2.83333333333333</v>
      </c>
      <c r="E10" s="35" t="n">
        <v>4200</v>
      </c>
      <c r="F10" s="40" t="n">
        <f aca="false">B10*10000000/(C10*E10)</f>
        <v>6746.03174603175</v>
      </c>
      <c r="G10" s="41" t="n">
        <v>0.06</v>
      </c>
      <c r="H10" s="35" t="s">
        <v>454</v>
      </c>
      <c r="I10" s="35" t="n">
        <v>150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4" min="3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20"/>
  </cols>
  <sheetData>
    <row r="1" customFormat="false" ht="30" hidden="false" customHeight="true" outlineLevel="0" collapsed="false">
      <c r="A1" s="2" t="s">
        <v>474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475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7" t="s">
        <v>156</v>
      </c>
      <c r="B4" s="7" t="s">
        <v>476</v>
      </c>
      <c r="C4" s="7" t="s">
        <v>477</v>
      </c>
      <c r="D4" s="7" t="s">
        <v>478</v>
      </c>
      <c r="E4" s="7" t="s">
        <v>479</v>
      </c>
      <c r="F4" s="7" t="s">
        <v>480</v>
      </c>
      <c r="G4" s="7" t="s">
        <v>481</v>
      </c>
    </row>
    <row r="5" customFormat="false" ht="15" hidden="false" customHeight="true" outlineLevel="0" collapsed="false">
      <c r="A5" s="9" t="s">
        <v>164</v>
      </c>
      <c r="B5" s="42" t="n">
        <f aca="false">SUMIF(2_IN_Pincode!$E:$E,A5,2_IN_Pincode!$I:$I)</f>
        <v>326.3459552</v>
      </c>
      <c r="C5" s="43" t="n">
        <f aca="false">1_Scenario!$F$7</f>
        <v>0.09</v>
      </c>
      <c r="D5" s="42" t="n">
        <f aca="false">1_Scenario!$F$12</f>
        <v>5</v>
      </c>
      <c r="E5" s="42" t="n">
        <f aca="false">B5*(1+C5)^D5</f>
        <v>502.123704255442</v>
      </c>
      <c r="F5" s="43" t="n">
        <f aca="false">1_Scenario!$F$18</f>
        <v>0.22</v>
      </c>
      <c r="G5" s="42" t="n">
        <f aca="false">B5*F5</f>
        <v>71.796110144</v>
      </c>
    </row>
    <row r="6" customFormat="false" ht="15" hidden="false" customHeight="true" outlineLevel="0" collapsed="false">
      <c r="A6" s="9" t="s">
        <v>215</v>
      </c>
      <c r="B6" s="42" t="n">
        <f aca="false">SUMIF(2_IN_Pincode!$E:$E,A6,2_IN_Pincode!$I:$I)</f>
        <v>107.2949924</v>
      </c>
      <c r="C6" s="43" t="n">
        <f aca="false">1_Scenario!$F$8</f>
        <v>0.11</v>
      </c>
      <c r="D6" s="42" t="n">
        <f aca="false">1_Scenario!$F$12</f>
        <v>5</v>
      </c>
      <c r="E6" s="42" t="n">
        <f aca="false">B6*(1+C6)^D6</f>
        <v>180.798301945013</v>
      </c>
      <c r="F6" s="43" t="n">
        <f aca="false">1_Scenario!$F$18</f>
        <v>0.22</v>
      </c>
      <c r="G6" s="42" t="n">
        <f aca="false">B6*F6</f>
        <v>23.604898328</v>
      </c>
    </row>
    <row r="7" customFormat="false" ht="15" hidden="false" customHeight="true" outlineLevel="0" collapsed="false">
      <c r="A7" s="9" t="s">
        <v>266</v>
      </c>
      <c r="B7" s="42" t="n">
        <f aca="false">SUMIF(2_IN_Pincode!$E:$E,A7,2_IN_Pincode!$I:$I)</f>
        <v>35.1607902</v>
      </c>
      <c r="C7" s="43" t="n">
        <f aca="false">1_Scenario!$F$9</f>
        <v>0.12</v>
      </c>
      <c r="D7" s="42" t="n">
        <f aca="false">1_Scenario!$F$12</f>
        <v>5</v>
      </c>
      <c r="E7" s="42" t="n">
        <f aca="false">B7*(1+C7)^D7</f>
        <v>61.9653261837101</v>
      </c>
      <c r="F7" s="43" t="n">
        <f aca="false">1_Scenario!$F$18</f>
        <v>0.22</v>
      </c>
      <c r="G7" s="42" t="n">
        <f aca="false">B7*F7</f>
        <v>7.735373844</v>
      </c>
    </row>
    <row r="8" customFormat="false" ht="15" hidden="false" customHeight="true" outlineLevel="0" collapsed="false">
      <c r="A8" s="9" t="s">
        <v>317</v>
      </c>
      <c r="B8" s="42" t="n">
        <f aca="false">SUMIF(2_IN_Pincode!$E:$E,A8,2_IN_Pincode!$I:$I)</f>
        <v>13.0358357</v>
      </c>
      <c r="C8" s="43" t="n">
        <f aca="false">1_Scenario!$F$10</f>
        <v>0.13</v>
      </c>
      <c r="D8" s="42" t="n">
        <f aca="false">1_Scenario!$F$12</f>
        <v>5</v>
      </c>
      <c r="E8" s="42" t="n">
        <f aca="false">B8*(1+C8)^D8</f>
        <v>24.0176822852548</v>
      </c>
      <c r="F8" s="43" t="n">
        <f aca="false">1_Scenario!$F$18</f>
        <v>0.22</v>
      </c>
      <c r="G8" s="42" t="n">
        <f aca="false">B8*F8</f>
        <v>2.867883854</v>
      </c>
    </row>
    <row r="9" customFormat="false" ht="15" hidden="false" customHeight="true" outlineLevel="0" collapsed="false">
      <c r="A9" s="9" t="s">
        <v>368</v>
      </c>
      <c r="B9" s="42" t="n">
        <f aca="false">SUMIF(2_IN_Pincode!$E:$E,A9,2_IN_Pincode!$I:$I)</f>
        <v>3.6547203</v>
      </c>
      <c r="C9" s="43" t="n">
        <f aca="false">1_Scenario!$F$11</f>
        <v>0.11</v>
      </c>
      <c r="D9" s="42" t="n">
        <f aca="false">1_Scenario!$F$12</f>
        <v>5</v>
      </c>
      <c r="E9" s="42" t="n">
        <f aca="false">B9*(1+C9)^D9</f>
        <v>6.15841624612452</v>
      </c>
      <c r="F9" s="43" t="n">
        <f aca="false">1_Scenario!$F$18</f>
        <v>0.22</v>
      </c>
      <c r="G9" s="42" t="n">
        <f aca="false">B9*F9</f>
        <v>0.804038466</v>
      </c>
    </row>
    <row r="10" customFormat="false" ht="15" hidden="false" customHeight="true" outlineLevel="0" collapsed="false">
      <c r="A10" s="44" t="s">
        <v>482</v>
      </c>
      <c r="B10" s="45" t="n">
        <f aca="false">SUM(B5:B9)</f>
        <v>485.4922938</v>
      </c>
      <c r="E10" s="45" t="n">
        <f aca="false">SUM(E5:E9)</f>
        <v>775.063430915544</v>
      </c>
      <c r="G10" s="45" t="n">
        <f aca="false">SUM(G5:G9)</f>
        <v>106.808304636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6" min="6" style="1" width="12"/>
    <col collapsed="false" customWidth="true" hidden="false" outlineLevel="0" max="7" min="7" style="1" width="16"/>
  </cols>
  <sheetData>
    <row r="1" customFormat="false" ht="30" hidden="false" customHeight="true" outlineLevel="0" collapsed="false">
      <c r="A1" s="2" t="s">
        <v>483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484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7" t="s">
        <v>156</v>
      </c>
      <c r="B4" s="7" t="s">
        <v>485</v>
      </c>
      <c r="C4" s="7" t="s">
        <v>486</v>
      </c>
      <c r="D4" s="7" t="s">
        <v>487</v>
      </c>
      <c r="E4" s="7" t="s">
        <v>488</v>
      </c>
      <c r="F4" s="7" t="s">
        <v>489</v>
      </c>
      <c r="G4" s="7" t="s">
        <v>490</v>
      </c>
    </row>
    <row r="5" customFormat="false" ht="15" hidden="false" customHeight="true" outlineLevel="0" collapsed="false">
      <c r="A5" s="9" t="s">
        <v>164</v>
      </c>
      <c r="B5" s="42" t="n">
        <f aca="false">SUMIF(6_IN_Stores!$A:$A,A5,6_IN_Stores!$D:$D)</f>
        <v>28</v>
      </c>
      <c r="C5" s="42" t="n">
        <f aca="false">SUMIFS(6_IN_Stores!$D:$D,6_IN_Stores!$A:$A,A5,6_IN_Stores!$B:$B,"Western",6_IN_Stores!$C:$C,"Value")</f>
        <v>3</v>
      </c>
      <c r="D5" s="46" t="n">
        <f aca="false">1_Scenario!$F$13</f>
        <v>5</v>
      </c>
      <c r="E5" s="42" t="n">
        <f aca="false">B5*D5</f>
        <v>140</v>
      </c>
      <c r="F5" s="47" t="n">
        <f aca="false">SUMIF(2_IN_Pincode!$E:$E,A5,2_IN_Pincode!$G:$G)/1000000</f>
        <v>0.763347</v>
      </c>
      <c r="G5" s="47" t="n">
        <f aca="false">IF(F5=0,0,B5/F5)</f>
        <v>36.6805659811331</v>
      </c>
    </row>
    <row r="6" customFormat="false" ht="15" hidden="false" customHeight="true" outlineLevel="0" collapsed="false">
      <c r="A6" s="9" t="s">
        <v>215</v>
      </c>
      <c r="B6" s="42" t="n">
        <f aca="false">SUMIF(6_IN_Stores!$A:$A,A6,6_IN_Stores!$D:$D)</f>
        <v>4</v>
      </c>
      <c r="C6" s="42" t="n">
        <f aca="false">SUMIFS(6_IN_Stores!$D:$D,6_IN_Stores!$A:$A,A6,6_IN_Stores!$B:$B,"Western",6_IN_Stores!$C:$C,"Value")</f>
        <v>1</v>
      </c>
      <c r="D6" s="46" t="n">
        <f aca="false">1_Scenario!$F$14</f>
        <v>4</v>
      </c>
      <c r="E6" s="42" t="n">
        <f aca="false">B6*D6</f>
        <v>16</v>
      </c>
      <c r="F6" s="47" t="n">
        <f aca="false">SUMIF(2_IN_Pincode!$E:$E,A6,2_IN_Pincode!$G:$G)/1000000</f>
        <v>0.434228</v>
      </c>
      <c r="G6" s="47" t="n">
        <f aca="false">IF(F6=0,0,B6/F6)</f>
        <v>9.21175050894922</v>
      </c>
    </row>
    <row r="7" customFormat="false" ht="15" hidden="false" customHeight="true" outlineLevel="0" collapsed="false">
      <c r="A7" s="9" t="s">
        <v>266</v>
      </c>
      <c r="B7" s="42" t="n">
        <f aca="false">SUMIF(6_IN_Stores!$A:$A,A7,6_IN_Stores!$D:$D)</f>
        <v>0</v>
      </c>
      <c r="C7" s="42" t="n">
        <f aca="false">SUMIFS(6_IN_Stores!$D:$D,6_IN_Stores!$A:$A,A7,6_IN_Stores!$B:$B,"Western",6_IN_Stores!$C:$C,"Value")</f>
        <v>0</v>
      </c>
      <c r="D7" s="46" t="n">
        <f aca="false">1_Scenario!$F$15</f>
        <v>3</v>
      </c>
      <c r="E7" s="42" t="n">
        <f aca="false">B7*D7</f>
        <v>0</v>
      </c>
      <c r="F7" s="47" t="n">
        <f aca="false">SUMIF(2_IN_Pincode!$E:$E,A7,2_IN_Pincode!$G:$G)/1000000</f>
        <v>0.240806</v>
      </c>
      <c r="G7" s="47" t="n">
        <f aca="false">IF(F7=0,0,B7/F7)</f>
        <v>0</v>
      </c>
    </row>
    <row r="8" customFormat="false" ht="15" hidden="false" customHeight="true" outlineLevel="0" collapsed="false">
      <c r="A8" s="9" t="s">
        <v>317</v>
      </c>
      <c r="B8" s="42" t="n">
        <f aca="false">SUMIF(6_IN_Stores!$A:$A,A8,6_IN_Stores!$D:$D)</f>
        <v>0</v>
      </c>
      <c r="C8" s="42" t="n">
        <f aca="false">SUMIFS(6_IN_Stores!$D:$D,6_IN_Stores!$A:$A,A8,6_IN_Stores!$B:$B,"Western",6_IN_Stores!$C:$C,"Value")</f>
        <v>0</v>
      </c>
      <c r="D8" s="46" t="n">
        <f aca="false">1_Scenario!$F$16</f>
        <v>2.4</v>
      </c>
      <c r="E8" s="42" t="n">
        <f aca="false">B8*D8</f>
        <v>0</v>
      </c>
      <c r="F8" s="47" t="n">
        <f aca="false">SUMIF(2_IN_Pincode!$E:$E,A8,2_IN_Pincode!$G:$G)/1000000</f>
        <v>0.123596</v>
      </c>
      <c r="G8" s="47" t="n">
        <f aca="false">IF(F8=0,0,B8/F8)</f>
        <v>0</v>
      </c>
    </row>
    <row r="9" customFormat="false" ht="15" hidden="false" customHeight="true" outlineLevel="0" collapsed="false">
      <c r="A9" s="9" t="s">
        <v>368</v>
      </c>
      <c r="B9" s="42" t="n">
        <f aca="false">SUMIF(6_IN_Stores!$A:$A,A9,6_IN_Stores!$D:$D)</f>
        <v>0</v>
      </c>
      <c r="C9" s="42" t="n">
        <f aca="false">SUMIFS(6_IN_Stores!$D:$D,6_IN_Stores!$A:$A,A9,6_IN_Stores!$B:$B,"Western",6_IN_Stores!$C:$C,"Value")</f>
        <v>0</v>
      </c>
      <c r="D9" s="46" t="n">
        <f aca="false">1_Scenario!$F$17</f>
        <v>1.9</v>
      </c>
      <c r="E9" s="42" t="n">
        <f aca="false">B9*D9</f>
        <v>0</v>
      </c>
      <c r="F9" s="47" t="n">
        <f aca="false">SUMIF(2_IN_Pincode!$E:$E,A9,2_IN_Pincode!$G:$G)/1000000</f>
        <v>0.061064</v>
      </c>
      <c r="G9" s="47" t="n">
        <f aca="false">IF(F9=0,0,B9/F9)</f>
        <v>0</v>
      </c>
    </row>
    <row r="10" customFormat="false" ht="15" hidden="false" customHeight="true" outlineLevel="0" collapsed="false">
      <c r="A10" s="44" t="s">
        <v>482</v>
      </c>
      <c r="B10" s="45" t="n">
        <f aca="false">SUM(B5:B9)</f>
        <v>32</v>
      </c>
      <c r="C10" s="45" t="n">
        <f aca="false">SUM(C5:C9)</f>
        <v>4</v>
      </c>
      <c r="E10" s="45" t="n">
        <f aca="false">SUM(E5:E9)</f>
        <v>156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30" hidden="false" customHeight="true" outlineLevel="0" collapsed="false">
      <c r="A1" s="2" t="s">
        <v>491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492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7" t="s">
        <v>156</v>
      </c>
      <c r="B4" s="7" t="s">
        <v>160</v>
      </c>
      <c r="C4" s="7" t="s">
        <v>488</v>
      </c>
      <c r="D4" s="7" t="s">
        <v>493</v>
      </c>
      <c r="E4" s="7" t="s">
        <v>494</v>
      </c>
      <c r="F4" s="7" t="s">
        <v>438</v>
      </c>
      <c r="G4" s="7" t="s">
        <v>495</v>
      </c>
    </row>
    <row r="5" customFormat="false" ht="15" hidden="false" customHeight="true" outlineLevel="0" collapsed="false">
      <c r="A5" s="9" t="s">
        <v>164</v>
      </c>
      <c r="B5" s="42" t="n">
        <f aca="false">10_CALC_Demand!$B$5</f>
        <v>326.3459552</v>
      </c>
      <c r="C5" s="42" t="n">
        <f aca="false">11_CALC_Supply!$E$5</f>
        <v>140</v>
      </c>
      <c r="D5" s="43" t="n">
        <f aca="false">IF(B5=0,0,C5/B5)</f>
        <v>0.42899260054932</v>
      </c>
      <c r="E5" s="42" t="n">
        <f aca="false">MAX(B5-C5,0)</f>
        <v>186.3459552</v>
      </c>
      <c r="F5" s="46" t="n">
        <f aca="false">11_CALC_Supply!$D$5</f>
        <v>5</v>
      </c>
      <c r="G5" s="48" t="n">
        <f aca="false">IF(F5=0,0,E5/F5)</f>
        <v>37.26919104</v>
      </c>
    </row>
    <row r="6" customFormat="false" ht="15" hidden="false" customHeight="true" outlineLevel="0" collapsed="false">
      <c r="A6" s="9" t="s">
        <v>215</v>
      </c>
      <c r="B6" s="42" t="n">
        <f aca="false">10_CALC_Demand!$B$6</f>
        <v>107.2949924</v>
      </c>
      <c r="C6" s="42" t="n">
        <f aca="false">11_CALC_Supply!$E$6</f>
        <v>16</v>
      </c>
      <c r="D6" s="43" t="n">
        <f aca="false">IF(B6=0,0,C6/B6)</f>
        <v>0.149121591251448</v>
      </c>
      <c r="E6" s="42" t="n">
        <f aca="false">MAX(B6-C6,0)</f>
        <v>91.2949924</v>
      </c>
      <c r="F6" s="46" t="n">
        <f aca="false">11_CALC_Supply!$D$6</f>
        <v>4</v>
      </c>
      <c r="G6" s="48" t="n">
        <f aca="false">IF(F6=0,0,E6/F6)</f>
        <v>22.8237481</v>
      </c>
    </row>
    <row r="7" customFormat="false" ht="15" hidden="false" customHeight="true" outlineLevel="0" collapsed="false">
      <c r="A7" s="9" t="s">
        <v>266</v>
      </c>
      <c r="B7" s="42" t="n">
        <f aca="false">10_CALC_Demand!$B$7</f>
        <v>35.1607902</v>
      </c>
      <c r="C7" s="42" t="n">
        <f aca="false">11_CALC_Supply!$E$7</f>
        <v>0</v>
      </c>
      <c r="D7" s="43" t="n">
        <f aca="false">IF(B7=0,0,C7/B7)</f>
        <v>0</v>
      </c>
      <c r="E7" s="42" t="n">
        <f aca="false">MAX(B7-C7,0)</f>
        <v>35.1607902</v>
      </c>
      <c r="F7" s="46" t="n">
        <f aca="false">11_CALC_Supply!$D$7</f>
        <v>3</v>
      </c>
      <c r="G7" s="48" t="n">
        <f aca="false">IF(F7=0,0,E7/F7)</f>
        <v>11.7202634</v>
      </c>
    </row>
    <row r="8" customFormat="false" ht="15" hidden="false" customHeight="true" outlineLevel="0" collapsed="false">
      <c r="A8" s="9" t="s">
        <v>317</v>
      </c>
      <c r="B8" s="42" t="n">
        <f aca="false">10_CALC_Demand!$B$8</f>
        <v>13.0358357</v>
      </c>
      <c r="C8" s="42" t="n">
        <f aca="false">11_CALC_Supply!$E$8</f>
        <v>0</v>
      </c>
      <c r="D8" s="43" t="n">
        <f aca="false">IF(B8=0,0,C8/B8)</f>
        <v>0</v>
      </c>
      <c r="E8" s="42" t="n">
        <f aca="false">MAX(B8-C8,0)</f>
        <v>13.0358357</v>
      </c>
      <c r="F8" s="46" t="n">
        <f aca="false">11_CALC_Supply!$D$8</f>
        <v>2.4</v>
      </c>
      <c r="G8" s="48" t="n">
        <f aca="false">IF(F8=0,0,E8/F8)</f>
        <v>5.43159820833333</v>
      </c>
    </row>
    <row r="9" customFormat="false" ht="15" hidden="false" customHeight="true" outlineLevel="0" collapsed="false">
      <c r="A9" s="9" t="s">
        <v>368</v>
      </c>
      <c r="B9" s="42" t="n">
        <f aca="false">10_CALC_Demand!$B$9</f>
        <v>3.6547203</v>
      </c>
      <c r="C9" s="42" t="n">
        <f aca="false">11_CALC_Supply!$E$9</f>
        <v>0</v>
      </c>
      <c r="D9" s="43" t="n">
        <f aca="false">IF(B9=0,0,C9/B9)</f>
        <v>0</v>
      </c>
      <c r="E9" s="42" t="n">
        <f aca="false">MAX(B9-C9,0)</f>
        <v>3.6547203</v>
      </c>
      <c r="F9" s="46" t="n">
        <f aca="false">11_CALC_Supply!$D$9</f>
        <v>1.9</v>
      </c>
      <c r="G9" s="48" t="n">
        <f aca="false">IF(F9=0,0,E9/F9)</f>
        <v>1.923537</v>
      </c>
    </row>
    <row r="10" customFormat="false" ht="15" hidden="false" customHeight="true" outlineLevel="0" collapsed="false">
      <c r="A10" s="44" t="s">
        <v>482</v>
      </c>
      <c r="B10" s="45" t="n">
        <f aca="false">SUM(B5:B9)</f>
        <v>485.4922938</v>
      </c>
      <c r="C10" s="45" t="n">
        <f aca="false">SUM(C5:C9)</f>
        <v>156</v>
      </c>
      <c r="D10" s="49" t="n">
        <f aca="false">IF(B10=0,0,C10/B10)</f>
        <v>0.321323328901827</v>
      </c>
      <c r="E10" s="45" t="n">
        <f aca="false">SUM(E5:E9)</f>
        <v>329.4922938</v>
      </c>
      <c r="G10" s="45" t="n">
        <f aca="false">SUM(G5:G9)</f>
        <v>79.1683377483333</v>
      </c>
    </row>
    <row r="12" customFormat="false" ht="15" hidden="false" customHeight="true" outlineLevel="0" collapsed="false">
      <c r="A12" s="34" t="s">
        <v>496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5" min="3" style="1" width="14"/>
    <col collapsed="false" customWidth="true" hidden="false" outlineLevel="0" max="6" min="6" style="1" width="4"/>
  </cols>
  <sheetData>
    <row r="1" customFormat="false" ht="30" hidden="false" customHeight="true" outlineLevel="0" collapsed="false">
      <c r="A1" s="2" t="s">
        <v>497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498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7" t="s">
        <v>499</v>
      </c>
      <c r="B4" s="7" t="s">
        <v>126</v>
      </c>
      <c r="C4" s="7" t="s">
        <v>127</v>
      </c>
      <c r="D4" s="7" t="s">
        <v>123</v>
      </c>
      <c r="E4" s="7" t="s">
        <v>128</v>
      </c>
    </row>
    <row r="5" customFormat="false" ht="15" hidden="false" customHeight="true" outlineLevel="0" collapsed="false">
      <c r="A5" s="9" t="s">
        <v>500</v>
      </c>
      <c r="B5" s="29" t="s">
        <v>139</v>
      </c>
      <c r="C5" s="50" t="n">
        <f aca="false">10_CALC_Demand!$B$10*1_Scenario!$C$18</f>
        <v>87.388612884</v>
      </c>
      <c r="D5" s="50" t="n">
        <f aca="false">10_CALC_Demand!$B$10*1_Scenario!$D$18</f>
        <v>106.808304636</v>
      </c>
      <c r="E5" s="50" t="n">
        <f aca="false">10_CALC_Demand!$B$10*1_Scenario!$E$18</f>
        <v>126.227996388</v>
      </c>
    </row>
    <row r="6" customFormat="false" ht="15" hidden="false" customHeight="true" outlineLevel="0" collapsed="false">
      <c r="A6" s="9" t="s">
        <v>501</v>
      </c>
      <c r="B6" s="29" t="s">
        <v>131</v>
      </c>
      <c r="C6" s="51" t="n">
        <f aca="false">1_Scenario!$C$19</f>
        <v>0.1</v>
      </c>
      <c r="D6" s="51" t="n">
        <f aca="false">1_Scenario!$D$19</f>
        <v>0.18</v>
      </c>
      <c r="E6" s="51" t="n">
        <f aca="false">1_Scenario!$E$19</f>
        <v>0.28</v>
      </c>
    </row>
    <row r="7" customFormat="false" ht="15" hidden="false" customHeight="true" outlineLevel="0" collapsed="false">
      <c r="A7" s="9" t="s">
        <v>502</v>
      </c>
      <c r="B7" s="29" t="s">
        <v>139</v>
      </c>
      <c r="C7" s="50" t="n">
        <f aca="false">C5*C6</f>
        <v>8.7388612884</v>
      </c>
      <c r="D7" s="50" t="n">
        <f aca="false">D5*D6</f>
        <v>19.22549483448</v>
      </c>
      <c r="E7" s="50" t="n">
        <f aca="false">E5*E6</f>
        <v>35.34383898864</v>
      </c>
    </row>
    <row r="8" customFormat="false" ht="15" hidden="false" customHeight="true" outlineLevel="0" collapsed="false">
      <c r="A8" s="9" t="s">
        <v>146</v>
      </c>
      <c r="B8" s="29" t="s">
        <v>139</v>
      </c>
      <c r="C8" s="52" t="n">
        <f aca="false">1_Scenario!$C$20</f>
        <v>6</v>
      </c>
      <c r="D8" s="52" t="n">
        <f aca="false">1_Scenario!$D$20</f>
        <v>5</v>
      </c>
      <c r="E8" s="52" t="n">
        <f aca="false">1_Scenario!$E$20</f>
        <v>4.3</v>
      </c>
    </row>
    <row r="9" customFormat="false" ht="15" hidden="false" customHeight="true" outlineLevel="0" collapsed="false">
      <c r="A9" s="9" t="s">
        <v>503</v>
      </c>
      <c r="B9" s="29" t="s">
        <v>9</v>
      </c>
      <c r="C9" s="53" t="n">
        <f aca="false">C7/C8</f>
        <v>1.4564768814</v>
      </c>
      <c r="D9" s="53" t="n">
        <f aca="false">D7/D8</f>
        <v>3.845098966896</v>
      </c>
      <c r="E9" s="53" t="n">
        <f aca="false">E7/E8</f>
        <v>8.21949743921861</v>
      </c>
    </row>
    <row r="10" customFormat="false" ht="15" hidden="false" customHeight="true" outlineLevel="0" collapsed="false">
      <c r="A10" s="9" t="s">
        <v>504</v>
      </c>
      <c r="B10" s="29" t="s">
        <v>9</v>
      </c>
      <c r="C10" s="50" t="n">
        <f aca="false">1_Scenario!$C$22</f>
        <v>2</v>
      </c>
      <c r="D10" s="50" t="n">
        <f aca="false">1_Scenario!$D$22</f>
        <v>2</v>
      </c>
      <c r="E10" s="50" t="n">
        <f aca="false">1_Scenario!$E$22</f>
        <v>2</v>
      </c>
    </row>
    <row r="11" customFormat="false" ht="15" hidden="false" customHeight="true" outlineLevel="0" collapsed="false">
      <c r="A11" s="9" t="s">
        <v>505</v>
      </c>
      <c r="B11" s="29" t="s">
        <v>9</v>
      </c>
      <c r="C11" s="53" t="n">
        <f aca="false">C9-C10</f>
        <v>-0.5435231186</v>
      </c>
      <c r="D11" s="53" t="n">
        <f aca="false">D9-D10</f>
        <v>1.845098966896</v>
      </c>
      <c r="E11" s="53" t="n">
        <f aca="false">E9-E10</f>
        <v>6.21949743921861</v>
      </c>
    </row>
    <row r="12" customFormat="false" ht="15" hidden="false" customHeight="true" outlineLevel="0" collapsed="false">
      <c r="A12" s="9" t="s">
        <v>506</v>
      </c>
      <c r="B12" s="29" t="s">
        <v>137</v>
      </c>
      <c r="C12" s="50" t="n">
        <f aca="false">1_Scenario!$C$21</f>
        <v>10</v>
      </c>
      <c r="D12" s="50" t="n">
        <f aca="false">1_Scenario!$D$21</f>
        <v>8</v>
      </c>
      <c r="E12" s="50" t="n">
        <f aca="false">1_Scenario!$E$21</f>
        <v>6</v>
      </c>
    </row>
    <row r="13" customFormat="false" ht="15" hidden="false" customHeight="true" outlineLevel="0" collapsed="false">
      <c r="A13" s="9" t="s">
        <v>507</v>
      </c>
      <c r="B13" s="29" t="s">
        <v>508</v>
      </c>
      <c r="C13" s="53" t="n">
        <f aca="false">C11/C12</f>
        <v>-0.05435231186</v>
      </c>
      <c r="D13" s="53" t="n">
        <f aca="false">D11/D12</f>
        <v>0.230637370862</v>
      </c>
      <c r="E13" s="53" t="n">
        <f aca="false">E11/E12</f>
        <v>1.03658290653643</v>
      </c>
    </row>
    <row r="15" customFormat="false" ht="15" hidden="false" customHeight="true" outlineLevel="0" collapsed="false">
      <c r="A15" s="54" t="s">
        <v>509</v>
      </c>
      <c r="B15" s="54"/>
      <c r="C15" s="54"/>
      <c r="D15" s="54"/>
      <c r="E15" s="54"/>
      <c r="F15" s="54"/>
    </row>
  </sheetData>
  <mergeCells count="3">
    <mergeCell ref="A1:F1"/>
    <mergeCell ref="A2:F2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42"/>
    <col collapsed="false" customWidth="true" hidden="false" outlineLevel="0" max="4" min="4" style="1" width="22"/>
  </cols>
  <sheetData>
    <row r="1" customFormat="false" ht="30" hidden="false" customHeight="true" outlineLevel="0" collapsed="false">
      <c r="A1" s="2" t="s">
        <v>510</v>
      </c>
      <c r="B1" s="2"/>
      <c r="C1" s="2"/>
      <c r="D1" s="2"/>
    </row>
    <row r="2" customFormat="false" ht="15.75" hidden="false" customHeight="true" outlineLevel="0" collapsed="false">
      <c r="A2" s="3" t="s">
        <v>511</v>
      </c>
      <c r="B2" s="3"/>
      <c r="C2" s="3"/>
      <c r="D2" s="3"/>
    </row>
    <row r="4" customFormat="false" ht="15" hidden="false" customHeight="true" outlineLevel="0" collapsed="false">
      <c r="A4" s="7" t="s">
        <v>512</v>
      </c>
      <c r="B4" s="7" t="s">
        <v>513</v>
      </c>
      <c r="C4" s="7" t="s">
        <v>514</v>
      </c>
      <c r="D4" s="7" t="s">
        <v>515</v>
      </c>
    </row>
    <row r="5" customFormat="false" ht="15" hidden="false" customHeight="true" outlineLevel="0" collapsed="false">
      <c r="A5" s="9" t="s">
        <v>516</v>
      </c>
      <c r="B5" s="55" t="s">
        <v>517</v>
      </c>
      <c r="C5" s="9" t="s">
        <v>518</v>
      </c>
      <c r="D5" s="9" t="s">
        <v>519</v>
      </c>
    </row>
    <row r="6" customFormat="false" ht="21.75" hidden="false" customHeight="true" outlineLevel="0" collapsed="false">
      <c r="A6" s="9" t="s">
        <v>520</v>
      </c>
      <c r="B6" s="55" t="s">
        <v>517</v>
      </c>
      <c r="C6" s="9" t="s">
        <v>521</v>
      </c>
      <c r="D6" s="9" t="s">
        <v>522</v>
      </c>
    </row>
    <row r="7" customFormat="false" ht="15" hidden="false" customHeight="true" outlineLevel="0" collapsed="false">
      <c r="A7" s="9" t="s">
        <v>523</v>
      </c>
      <c r="B7" s="55" t="s">
        <v>517</v>
      </c>
      <c r="C7" s="9" t="s">
        <v>524</v>
      </c>
      <c r="D7" s="9" t="s">
        <v>3</v>
      </c>
    </row>
    <row r="8" customFormat="false" ht="15" hidden="false" customHeight="true" outlineLevel="0" collapsed="false">
      <c r="A8" s="9" t="s">
        <v>525</v>
      </c>
      <c r="B8" s="56" t="s">
        <v>526</v>
      </c>
      <c r="C8" s="9" t="s">
        <v>527</v>
      </c>
      <c r="D8" s="9" t="s">
        <v>528</v>
      </c>
    </row>
    <row r="9" customFormat="false" ht="15" hidden="false" customHeight="true" outlineLevel="0" collapsed="false">
      <c r="A9" s="9" t="s">
        <v>529</v>
      </c>
      <c r="B9" s="56" t="s">
        <v>526</v>
      </c>
      <c r="C9" s="9" t="s">
        <v>530</v>
      </c>
      <c r="D9" s="9" t="s">
        <v>531</v>
      </c>
    </row>
    <row r="10" customFormat="false" ht="15" hidden="false" customHeight="true" outlineLevel="0" collapsed="false">
      <c r="A10" s="9" t="s">
        <v>532</v>
      </c>
      <c r="B10" s="57" t="s">
        <v>533</v>
      </c>
      <c r="C10" s="9" t="s">
        <v>534</v>
      </c>
      <c r="D10" s="9" t="s">
        <v>535</v>
      </c>
    </row>
    <row r="11" customFormat="false" ht="15" hidden="false" customHeight="true" outlineLevel="0" collapsed="false">
      <c r="A11" s="9" t="s">
        <v>536</v>
      </c>
      <c r="B11" s="57" t="s">
        <v>533</v>
      </c>
      <c r="C11" s="9" t="s">
        <v>537</v>
      </c>
      <c r="D11" s="9" t="s">
        <v>538</v>
      </c>
    </row>
    <row r="12" customFormat="false" ht="15" hidden="false" customHeight="true" outlineLevel="0" collapsed="false">
      <c r="A12" s="9" t="s">
        <v>539</v>
      </c>
      <c r="B12" s="57" t="s">
        <v>533</v>
      </c>
      <c r="C12" s="9" t="s">
        <v>540</v>
      </c>
      <c r="D12" s="9" t="s">
        <v>541</v>
      </c>
    </row>
    <row r="13" customFormat="false" ht="15" hidden="false" customHeight="true" outlineLevel="0" collapsed="false">
      <c r="A13" s="9" t="s">
        <v>542</v>
      </c>
      <c r="B13" s="57" t="s">
        <v>533</v>
      </c>
      <c r="C13" s="9" t="s">
        <v>543</v>
      </c>
      <c r="D13" s="9" t="s">
        <v>544</v>
      </c>
    </row>
    <row r="14" customFormat="false" ht="15" hidden="false" customHeight="true" outlineLevel="0" collapsed="false">
      <c r="A14" s="9" t="s">
        <v>545</v>
      </c>
      <c r="B14" s="57" t="s">
        <v>533</v>
      </c>
      <c r="C14" s="9" t="s">
        <v>546</v>
      </c>
      <c r="D14" s="9" t="s">
        <v>547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548</v>
      </c>
    </row>
    <row r="3" customFormat="false" ht="15.75" hidden="false" customHeight="true" outlineLevel="0" collapsed="false">
      <c r="B3" s="17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550</v>
      </c>
    </row>
    <row r="3" customFormat="false" ht="15.75" hidden="false" customHeight="true" outlineLevel="0" collapsed="false">
      <c r="B3" s="17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92</v>
      </c>
    </row>
    <row r="3" customFormat="false" ht="15.75" hidden="false" customHeight="true" outlineLevel="0" collapsed="false">
      <c r="B3" s="17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553</v>
      </c>
    </row>
    <row r="3" customFormat="false" ht="15.75" hidden="false" customHeight="true" outlineLevel="0" collapsed="false">
      <c r="B3" s="17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555</v>
      </c>
    </row>
    <row r="3" customFormat="false" ht="15.75" hidden="false" customHeight="true" outlineLevel="0" collapsed="false">
      <c r="B3" s="17" t="s">
        <v>556</v>
      </c>
    </row>
    <row r="21" customFormat="false" ht="15" hidden="false" customHeight="false" outlineLevel="0" collapsed="false">
      <c r="B21" s="59" t="s">
        <v>557</v>
      </c>
      <c r="C21" s="59"/>
      <c r="D21" s="59"/>
      <c r="E21" s="59"/>
      <c r="F21" s="59"/>
      <c r="G21" s="59"/>
      <c r="H21" s="59"/>
      <c r="I21" s="59"/>
      <c r="J21" s="59"/>
      <c r="K21" s="59"/>
    </row>
  </sheetData>
  <mergeCells count="1">
    <mergeCell ref="B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558</v>
      </c>
    </row>
    <row r="3" customFormat="false" ht="15.75" hidden="false" customHeight="true" outlineLevel="0" collapsed="false">
      <c r="B3" s="17" t="s">
        <v>559</v>
      </c>
    </row>
    <row r="22" customFormat="false" ht="15" hidden="false" customHeight="false" outlineLevel="0" collapsed="false">
      <c r="B22" s="59" t="s">
        <v>560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</row>
  </sheetData>
  <mergeCells count="1">
    <mergeCell ref="B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102</v>
      </c>
    </row>
    <row r="3" customFormat="false" ht="15.75" hidden="false" customHeight="true" outlineLevel="0" collapsed="false">
      <c r="B3" s="17" t="s">
        <v>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562</v>
      </c>
    </row>
    <row r="3" customFormat="false" ht="15.75" hidden="false" customHeight="true" outlineLevel="0" collapsed="false">
      <c r="B3" s="17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564</v>
      </c>
    </row>
    <row r="3" customFormat="false" ht="15.75" hidden="false" customHeight="true" outlineLevel="0" collapsed="false">
      <c r="B3" s="17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566</v>
      </c>
    </row>
    <row r="3" customFormat="false" ht="15.75" hidden="false" customHeight="true" outlineLevel="0" collapsed="false">
      <c r="B3" s="17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4" style="0" width="20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568</v>
      </c>
    </row>
    <row r="3" customFormat="false" ht="15.75" hidden="false" customHeight="true" outlineLevel="0" collapsed="false">
      <c r="B3" s="17" t="s">
        <v>569</v>
      </c>
    </row>
    <row r="6" customFormat="false" ht="15" hidden="false" customHeight="false" outlineLevel="0" collapsed="false">
      <c r="D6" s="60" t="s">
        <v>570</v>
      </c>
      <c r="E6" s="60" t="s">
        <v>571</v>
      </c>
      <c r="F6" s="60" t="s">
        <v>572</v>
      </c>
      <c r="G6" s="60" t="s">
        <v>573</v>
      </c>
    </row>
    <row r="7" customFormat="false" ht="15" hidden="false" customHeight="false" outlineLevel="0" collapsed="false">
      <c r="D7" s="0" t="s">
        <v>127</v>
      </c>
      <c r="E7" s="61" t="n">
        <f aca="false">MAX(OUT_Zudio!C9,0)</f>
        <v>1.4564768814</v>
      </c>
      <c r="F7" s="61" t="n">
        <f aca="false">MAX(OUT_Zudio!C11,0)</f>
        <v>0</v>
      </c>
      <c r="G7" s="61" t="n">
        <f aca="false">MAX(OUT_Zudio!C13,0)</f>
        <v>0</v>
      </c>
    </row>
    <row r="8" customFormat="false" ht="15" hidden="false" customHeight="false" outlineLevel="0" collapsed="false">
      <c r="D8" s="0" t="s">
        <v>123</v>
      </c>
      <c r="E8" s="61" t="n">
        <f aca="false">MAX(OUT_Zudio!D9,0)</f>
        <v>3.845098966896</v>
      </c>
      <c r="F8" s="61" t="n">
        <f aca="false">MAX(OUT_Zudio!D11,0)</f>
        <v>1.845098966896</v>
      </c>
      <c r="G8" s="61" t="n">
        <f aca="false">MAX(OUT_Zudio!D13,0)</f>
        <v>0.230637370862</v>
      </c>
    </row>
    <row r="9" customFormat="false" ht="15" hidden="false" customHeight="false" outlineLevel="0" collapsed="false">
      <c r="D9" s="0" t="s">
        <v>128</v>
      </c>
      <c r="E9" s="61" t="n">
        <f aca="false">MAX(OUT_Zudio!E9,0)</f>
        <v>8.21949743921861</v>
      </c>
      <c r="F9" s="61" t="n">
        <f aca="false">MAX(OUT_Zudio!E11,0)</f>
        <v>6.21949743921861</v>
      </c>
      <c r="G9" s="61" t="n">
        <f aca="false">MAX(OUT_Zudio!E13,0)</f>
        <v>1.03658290653643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574</v>
      </c>
    </row>
    <row r="3" customFormat="false" ht="15.75" hidden="false" customHeight="true" outlineLevel="0" collapsed="false">
      <c r="B3" s="17" t="s">
        <v>575</v>
      </c>
    </row>
    <row r="6" customFormat="false" ht="15" hidden="false" customHeight="false" outlineLevel="0" collapsed="false">
      <c r="D6" s="60" t="s">
        <v>576</v>
      </c>
      <c r="E6" s="60" t="s">
        <v>577</v>
      </c>
    </row>
    <row r="7" customFormat="false" ht="15" hidden="false" customHeight="false" outlineLevel="0" collapsed="false">
      <c r="D7" s="0" t="s">
        <v>578</v>
      </c>
      <c r="E7" s="62" t="n">
        <f aca="false">MAX(OUT_Zudio!C13,0)</f>
        <v>0</v>
      </c>
    </row>
    <row r="8" customFormat="false" ht="15" hidden="false" customHeight="false" outlineLevel="0" collapsed="false">
      <c r="D8" s="0" t="s">
        <v>579</v>
      </c>
      <c r="E8" s="62" t="n">
        <f aca="false">MAX(OUT_Zudio!D13,0)</f>
        <v>0.230637370862</v>
      </c>
    </row>
    <row r="9" customFormat="false" ht="15" hidden="false" customHeight="false" outlineLevel="0" collapsed="false">
      <c r="D9" s="0" t="s">
        <v>580</v>
      </c>
      <c r="E9" s="62" t="n">
        <f aca="false">MAX(OUT_Zudio!E13,0)</f>
        <v>1.03658290653643</v>
      </c>
    </row>
    <row r="10" customFormat="false" ht="15" hidden="false" customHeight="false" outlineLevel="0" collapsed="false">
      <c r="D10" s="0" t="s">
        <v>581</v>
      </c>
      <c r="E10" s="62" t="n">
        <f aca="false">5_IN_Brands!L6</f>
        <v>250</v>
      </c>
    </row>
    <row r="11" customFormat="false" ht="15" hidden="false" customHeight="false" outlineLevel="0" collapsed="false">
      <c r="D11" s="0" t="s">
        <v>582</v>
      </c>
      <c r="E11" s="62" t="n">
        <f aca="false">7_IN_Comps!I6</f>
        <v>70</v>
      </c>
    </row>
    <row r="12" customFormat="false" ht="15" hidden="false" customHeight="false" outlineLevel="0" collapsed="false">
      <c r="D12" s="0" t="s">
        <v>583</v>
      </c>
      <c r="E12" s="62" t="n">
        <f aca="false">7_IN_Comps!I7</f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584</v>
      </c>
    </row>
    <row r="3" customFormat="false" ht="15.75" hidden="false" customHeight="true" outlineLevel="0" collapsed="false">
      <c r="B3" s="17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58" t="s">
        <v>117</v>
      </c>
    </row>
    <row r="3" customFormat="false" ht="15.75" hidden="false" customHeight="true" outlineLevel="0" collapsed="false">
      <c r="B3" s="17" t="s">
        <v>586</v>
      </c>
    </row>
    <row r="22" customFormat="false" ht="15" hidden="false" customHeight="false" outlineLevel="0" collapsed="false">
      <c r="B22" s="59" t="s">
        <v>587</v>
      </c>
      <c r="C22" s="59"/>
      <c r="D22" s="59"/>
      <c r="E22" s="59"/>
      <c r="F22" s="59"/>
      <c r="G22" s="59"/>
      <c r="H22" s="59"/>
      <c r="I22" s="59"/>
      <c r="J22" s="59"/>
      <c r="K22" s="59"/>
    </row>
  </sheetData>
  <mergeCells count="1">
    <mergeCell ref="B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2026-06-18T04:10:29Z</dcterms:created>
  <dc:creator>openpyxl</dc:creator>
  <dc:description/>
  <dc:language>en-US</dc:language>
  <cp:lastModifiedBy/>
  <dcterms:modified xsi:type="dcterms:W3CDTF">2026-06-19T03:02:46Z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