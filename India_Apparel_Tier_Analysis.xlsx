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Executive Summary" sheetId="1" state="visible" r:id="rId1"/>
    <sheet xmlns:r="http://schemas.openxmlformats.org/officeDocument/2006/relationships" name="📊 Tier × Segment" sheetId="2" state="visible" r:id="rId2"/>
    <sheet xmlns:r="http://schemas.openxmlformats.org/officeDocument/2006/relationships" name="📍 Pincode Density" sheetId="3" state="visible" r:id="rId3"/>
    <sheet xmlns:r="http://schemas.openxmlformats.org/officeDocument/2006/relationships" name="🎯 Brand Tier Reach" sheetId="4" state="visible" r:id="rId4"/>
    <sheet xmlns:r="http://schemas.openxmlformats.org/officeDocument/2006/relationships" name="🔬 Segment Deep Dive" sheetId="5" state="visible" r:id="rId5"/>
    <sheet xmlns:r="http://schemas.openxmlformats.org/officeDocument/2006/relationships" name="💰 TAM Funnel" sheetId="6" state="visible" r:id="rId6"/>
    <sheet xmlns:r="http://schemas.openxmlformats.org/officeDocument/2006/relationships" name="🌆 City Rankings" sheetId="7" state="visible" r:id="rId7"/>
    <sheet xmlns:r="http://schemas.openxmlformats.org/officeDocument/2006/relationships" name="📝 Tier Conclusions" sheetId="8" state="visible" r:id="rId8"/>
    <sheet xmlns:r="http://schemas.openxmlformats.org/officeDocument/2006/relationships" name="⚙️ 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1"/>
  </numFmts>
  <fonts count="5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565C0"/>
      <sz val="10"/>
    </font>
    <font>
      <name val="Calibri"/>
      <b val="1"/>
      <color rgb="00FFFFFF"/>
      <sz val="9"/>
    </font>
    <font>
      <name val="Calibri"/>
      <b val="1"/>
      <color rgb="007B1FA2"/>
      <sz val="9"/>
    </font>
    <font>
      <name val="Calibri"/>
      <color rgb="000D1B2E"/>
      <sz val="9"/>
    </font>
    <font>
      <name val="Calibri"/>
      <b val="1"/>
      <color rgb="001565C0"/>
      <sz val="9"/>
    </font>
    <font>
      <name val="Calibri"/>
      <b val="1"/>
      <color rgb="000E7490"/>
      <sz val="9"/>
    </font>
    <font>
      <name val="Calibri"/>
      <b val="1"/>
      <color rgb="0015803D"/>
      <sz val="9"/>
    </font>
    <font>
      <name val="Calibri"/>
      <b val="1"/>
      <color rgb="00C2410C"/>
      <sz val="9"/>
    </font>
    <font>
      <name val="Calibri"/>
      <color rgb="00FFFFFF"/>
      <sz val="9"/>
    </font>
    <font>
      <name val="Calibri"/>
      <b val="1"/>
      <color rgb="000E7490"/>
      <sz val="10"/>
    </font>
    <font>
      <name val="Calibri"/>
      <b val="1"/>
      <color rgb="0015803D"/>
      <sz val="10"/>
    </font>
    <font>
      <name val="Calibri"/>
      <b val="1"/>
      <color rgb="007B1FA2"/>
      <sz val="10"/>
    </font>
    <font>
      <name val="Calibri"/>
      <b val="1"/>
      <color rgb="00C2410C"/>
      <sz val="10"/>
    </font>
    <font>
      <name val="Calibri"/>
      <b val="1"/>
      <color rgb="000D1B2E"/>
      <sz val="9"/>
    </font>
    <font>
      <name val="Calibri"/>
      <color rgb="00D97706"/>
      <sz val="8"/>
    </font>
    <font>
      <name val="Calibri"/>
      <color rgb="00374151"/>
      <sz val="8"/>
    </font>
    <font>
      <name val="Calibri"/>
      <color rgb="007C3AED"/>
      <sz val="8"/>
    </font>
    <font>
      <name val="Calibri"/>
      <color rgb="00BE185D"/>
      <sz val="8"/>
    </font>
    <font>
      <name val="Calibri"/>
      <color rgb="000369A1"/>
      <sz val="8"/>
    </font>
    <font>
      <name val="Calibri"/>
      <color rgb="00B45309"/>
      <sz val="8"/>
    </font>
    <font>
      <name val="Calibri"/>
      <color rgb="00047857"/>
      <sz val="8"/>
    </font>
    <font>
      <name val="Calibri"/>
      <b val="1"/>
      <color rgb="00FFFFFF"/>
      <sz val="13"/>
    </font>
    <font>
      <name val="Calibri"/>
      <i val="1"/>
      <color rgb="00374151"/>
      <sz val="9"/>
    </font>
    <font>
      <name val="Calibri"/>
      <b val="1"/>
      <color rgb="000D1B2E"/>
      <sz val="13"/>
    </font>
    <font>
      <name val="Calibri"/>
      <i val="1"/>
      <color rgb="00546E7A"/>
      <sz val="8"/>
    </font>
    <font>
      <name val="Calibri"/>
      <b val="1"/>
      <color rgb="000E7490"/>
      <sz val="13"/>
    </font>
    <font>
      <name val="Calibri"/>
      <b val="1"/>
      <color rgb="001565C0"/>
      <sz val="13"/>
    </font>
    <font>
      <name val="Calibri"/>
      <b val="1"/>
      <color rgb="0015803D"/>
      <sz val="13"/>
    </font>
    <font>
      <name val="Calibri"/>
      <b val="1"/>
      <color rgb="007B1FA2"/>
      <sz val="13"/>
    </font>
    <font>
      <name val="Calibri"/>
      <b val="1"/>
      <color rgb="00C2410C"/>
      <sz val="13"/>
    </font>
    <font>
      <name val="Calibri"/>
      <b val="1"/>
      <color rgb="00FFFFFF"/>
      <sz val="11"/>
    </font>
    <font>
      <name val="Calibri"/>
      <b val="1"/>
      <color rgb="00D97706"/>
      <sz val="9"/>
    </font>
    <font>
      <name val="Calibri"/>
      <b val="1"/>
      <color rgb="007C3AED"/>
      <sz val="9"/>
    </font>
    <font>
      <name val="Calibri"/>
      <b val="1"/>
      <color rgb="00B91C1C"/>
      <sz val="9"/>
    </font>
    <font>
      <name val="Calibri"/>
      <b val="1"/>
      <color rgb="000369A1"/>
      <sz val="9"/>
    </font>
    <font>
      <name val="Calibri"/>
      <b val="1"/>
      <color rgb="00047857"/>
      <sz val="9"/>
    </font>
    <font>
      <name val="Calibri"/>
      <b val="1"/>
      <color rgb="00BE185D"/>
      <sz val="9"/>
    </font>
    <font>
      <name val="Calibri"/>
      <b val="1"/>
      <color rgb="00B45309"/>
      <sz val="9"/>
    </font>
    <font>
      <name val="Calibri"/>
      <b val="1"/>
      <color rgb="006D28D9"/>
      <sz val="9"/>
    </font>
    <font>
      <name val="Calibri"/>
      <b val="1"/>
      <color rgb="00374151"/>
      <sz val="9"/>
    </font>
    <font>
      <name val="Calibri"/>
      <b val="1"/>
      <color rgb="0015803D"/>
      <sz val="8"/>
    </font>
    <font>
      <name val="Calibri"/>
      <b val="1"/>
      <color rgb="00B45309"/>
      <sz val="8"/>
    </font>
    <font>
      <name val="Calibri"/>
      <b val="1"/>
      <color rgb="001565C0"/>
      <sz val="8"/>
    </font>
    <font>
      <name val="Calibri"/>
      <b val="1"/>
      <color rgb="00374151"/>
      <sz val="8"/>
    </font>
    <font>
      <name val="Calibri"/>
      <i val="1"/>
      <color rgb="0015803D"/>
      <sz val="9"/>
    </font>
    <font>
      <name val="Calibri"/>
      <i val="1"/>
      <color rgb="007B1FA2"/>
      <sz val="9"/>
    </font>
    <font>
      <name val="Calibri"/>
      <i val="1"/>
      <color rgb="000E7490"/>
      <sz val="9"/>
    </font>
    <font>
      <name val="Calibri"/>
      <i val="1"/>
      <color rgb="001565C0"/>
      <sz val="9"/>
    </font>
    <font>
      <name val="Calibri"/>
      <b val="1"/>
      <color rgb="001A1A2E"/>
      <sz val="9"/>
    </font>
    <font>
      <name val="Calibri"/>
      <i val="1"/>
      <color rgb="00546E7A"/>
      <sz val="9"/>
    </font>
    <font>
      <name val="Calibri"/>
      <color rgb="00374151"/>
      <sz val="9"/>
    </font>
    <font>
      <name val="Calibri"/>
      <b val="1"/>
      <color rgb="00FFFFFF"/>
      <sz val="12"/>
    </font>
    <font>
      <name val="Calibri"/>
      <b val="1"/>
      <color rgb="007B1FA2"/>
      <sz val="11"/>
    </font>
    <font>
      <name val="Calibri"/>
      <b val="1"/>
      <color rgb="000E7490"/>
      <sz val="11"/>
    </font>
    <font>
      <name val="Calibri"/>
      <b val="1"/>
      <color rgb="0015803D"/>
      <sz val="11"/>
    </font>
    <font>
      <name val="Calibri"/>
      <b val="1"/>
      <color rgb="001565C0"/>
      <sz val="11"/>
    </font>
  </fonts>
  <fills count="2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BEAFE"/>
      </patternFill>
    </fill>
    <fill>
      <patternFill patternType="solid">
        <fgColor rgb="000D1B2E"/>
      </patternFill>
    </fill>
    <fill>
      <patternFill patternType="solid">
        <fgColor rgb="00F3E5F5"/>
      </patternFill>
    </fill>
    <fill>
      <patternFill patternType="solid">
        <fgColor rgb="00FFFFFF"/>
      </patternFill>
    </fill>
    <fill>
      <patternFill patternType="solid">
        <fgColor rgb="00F8FAFF"/>
      </patternFill>
    </fill>
    <fill>
      <patternFill patternType="solid">
        <fgColor rgb="00CFF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0E7490"/>
      </patternFill>
    </fill>
    <fill>
      <patternFill patternType="solid">
        <fgColor rgb="0015803D"/>
      </patternFill>
    </fill>
    <fill>
      <patternFill patternType="solid">
        <fgColor rgb="007B1FA2"/>
      </patternFill>
    </fill>
    <fill>
      <patternFill patternType="solid">
        <fgColor rgb="00C2410C"/>
      </patternFill>
    </fill>
    <fill>
      <patternFill patternType="solid">
        <fgColor rgb="00EFF6FF"/>
      </patternFill>
    </fill>
    <fill>
      <patternFill patternType="solid">
        <fgColor rgb="00FEE2E2"/>
      </patternFill>
    </fill>
    <fill>
      <patternFill patternType="solid">
        <fgColor rgb="001565C0"/>
      </patternFill>
    </fill>
    <fill>
      <patternFill patternType="solid">
        <fgColor rgb="00F9FAFB"/>
      </patternFill>
    </fill>
    <fill>
      <patternFill patternType="solid">
        <fgColor rgb="00FEF9C3"/>
      </patternFill>
    </fill>
    <fill>
      <patternFill patternType="solid">
        <fgColor rgb="00831843"/>
      </patternFill>
    </fill>
    <fill>
      <patternFill patternType="solid">
        <fgColor rgb="00FDE68A"/>
      </patternFill>
    </fill>
    <fill>
      <patternFill patternType="solid">
        <fgColor rgb="0014532D"/>
      </patternFill>
    </fill>
    <fill>
      <patternFill patternType="solid">
        <fgColor rgb="00F1F5F9"/>
      </patternFill>
    </fill>
    <fill>
      <patternFill patternType="solid">
        <fgColor rgb="007C2D12"/>
      </patternFill>
    </fill>
  </fills>
  <borders count="7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23" fillId="4" borderId="0" applyAlignment="1" pivotButton="0" quotePrefix="0" xfId="0">
      <alignment horizontal="left" vertical="center"/>
    </xf>
    <xf numFmtId="0" fontId="24" fillId="15" borderId="0" applyAlignment="1" pivotButton="0" quotePrefix="0" xfId="0">
      <alignment horizontal="left" vertical="center" wrapText="1"/>
    </xf>
    <xf numFmtId="3" fontId="25" fillId="6" borderId="1" applyAlignment="1" pivotButton="0" quotePrefix="0" xfId="0">
      <alignment horizontal="center" vertical="center"/>
    </xf>
    <xf numFmtId="164" fontId="27" fillId="8" borderId="1" applyAlignment="1" pivotButton="0" quotePrefix="0" xfId="0">
      <alignment horizontal="center" vertical="center"/>
    </xf>
    <xf numFmtId="3" fontId="28" fillId="3" borderId="1" applyAlignment="1" pivotButton="0" quotePrefix="0" xfId="0">
      <alignment horizontal="center" vertical="center"/>
    </xf>
    <xf numFmtId="2" fontId="29" fillId="9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center" vertical="center"/>
    </xf>
    <xf numFmtId="0" fontId="31" fillId="10" borderId="1" applyAlignment="1" pivotButton="0" quotePrefix="0" xfId="0">
      <alignment horizontal="center" vertical="center"/>
    </xf>
    <xf numFmtId="0" fontId="26" fillId="6" borderId="2" applyAlignment="1" pivotButton="0" quotePrefix="0" xfId="0">
      <alignment horizontal="center" vertical="center" wrapText="1"/>
    </xf>
    <xf numFmtId="0" fontId="26" fillId="8" borderId="2" applyAlignment="1" pivotButton="0" quotePrefix="0" xfId="0">
      <alignment horizontal="center" vertical="center" wrapText="1"/>
    </xf>
    <xf numFmtId="0" fontId="26" fillId="3" borderId="2" applyAlignment="1" pivotButton="0" quotePrefix="0" xfId="0">
      <alignment horizontal="center" vertical="center" wrapText="1"/>
    </xf>
    <xf numFmtId="0" fontId="26" fillId="9" borderId="2" applyAlignment="1" pivotButton="0" quotePrefix="0" xfId="0">
      <alignment horizontal="center" vertical="center" wrapText="1"/>
    </xf>
    <xf numFmtId="0" fontId="26" fillId="5" borderId="2" applyAlignment="1" pivotButton="0" quotePrefix="0" xfId="0">
      <alignment horizontal="center" vertical="center" wrapText="1"/>
    </xf>
    <xf numFmtId="0" fontId="26" fillId="10" borderId="2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3" fontId="5" fillId="6" borderId="2" applyAlignment="1" pivotButton="0" quotePrefix="0" xfId="0">
      <alignment horizontal="center" vertical="center"/>
    </xf>
    <xf numFmtId="165" fontId="5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2" fontId="5" fillId="16" borderId="2" applyAlignment="1" pivotButton="0" quotePrefix="0" xfId="0">
      <alignment horizontal="center" vertical="center"/>
    </xf>
    <xf numFmtId="166" fontId="5" fillId="6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3" fontId="5" fillId="7" borderId="2" applyAlignment="1" pivotButton="0" quotePrefix="0" xfId="0">
      <alignment horizontal="center" vertical="center"/>
    </xf>
    <xf numFmtId="165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2" fontId="5" fillId="7" borderId="2" applyAlignment="1" pivotButton="0" quotePrefix="0" xfId="0">
      <alignment horizontal="center" vertical="center"/>
    </xf>
    <xf numFmtId="166" fontId="5" fillId="7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2" fontId="5" fillId="9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10" fillId="4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0" fontId="13" fillId="5" borderId="0" applyAlignment="1" pivotButton="0" quotePrefix="0" xfId="0">
      <alignment horizontal="left" vertical="center"/>
    </xf>
    <xf numFmtId="0" fontId="6" fillId="15" borderId="2" applyAlignment="1" pivotButton="0" quotePrefix="0" xfId="0">
      <alignment horizontal="center" vertical="center"/>
    </xf>
    <xf numFmtId="0" fontId="24" fillId="7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32" fillId="17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17" borderId="1" applyAlignment="1" pivotButton="0" quotePrefix="0" xfId="0">
      <alignment horizontal="center" vertical="center" wrapText="1"/>
    </xf>
    <xf numFmtId="3" fontId="4" fillId="5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3" fontId="7" fillId="8" borderId="2" applyAlignment="1" pivotButton="0" quotePrefix="0" xfId="0">
      <alignment horizontal="center" vertical="center"/>
    </xf>
    <xf numFmtId="3" fontId="8" fillId="9" borderId="2" applyAlignment="1" pivotButton="0" quotePrefix="0" xfId="0">
      <alignment horizontal="center" vertical="center"/>
    </xf>
    <xf numFmtId="3" fontId="9" fillId="10" borderId="2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12" fillId="9" borderId="0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horizontal="center" vertical="center"/>
    </xf>
    <xf numFmtId="164" fontId="6" fillId="3" borderId="2" applyAlignment="1" pivotButton="0" quotePrefix="0" xfId="0">
      <alignment horizontal="center" vertical="center"/>
    </xf>
    <xf numFmtId="164" fontId="7" fillId="8" borderId="2" applyAlignment="1" pivotButton="0" quotePrefix="0" xfId="0">
      <alignment horizontal="center" vertical="center"/>
    </xf>
    <xf numFmtId="164" fontId="8" fillId="9" borderId="2" applyAlignment="1" pivotButton="0" quotePrefix="0" xfId="0">
      <alignment horizontal="center" vertical="center"/>
    </xf>
    <xf numFmtId="164" fontId="9" fillId="10" borderId="2" applyAlignment="1" pivotButton="0" quotePrefix="0" xfId="0">
      <alignment horizontal="center" vertical="center"/>
    </xf>
    <xf numFmtId="0" fontId="33" fillId="6" borderId="2" applyAlignment="1" pivotButton="0" quotePrefix="0" xfId="0">
      <alignment horizontal="left" vertical="center"/>
    </xf>
    <xf numFmtId="0" fontId="15" fillId="9" borderId="2" applyAlignment="1" pivotButton="0" quotePrefix="0" xfId="0">
      <alignment horizontal="center" vertical="center"/>
    </xf>
    <xf numFmtId="0" fontId="24" fillId="6" borderId="2" applyAlignment="1" pivotButton="0" quotePrefix="0" xfId="0">
      <alignment horizontal="left" vertical="center" wrapText="1"/>
    </xf>
    <xf numFmtId="0" fontId="34" fillId="7" borderId="2" applyAlignment="1" pivotButton="0" quotePrefix="0" xfId="0">
      <alignment horizontal="left" vertical="center"/>
    </xf>
    <xf numFmtId="0" fontId="35" fillId="16" borderId="2" applyAlignment="1" pivotButton="0" quotePrefix="0" xfId="0">
      <alignment horizontal="center" vertical="center"/>
    </xf>
    <xf numFmtId="0" fontId="15" fillId="16" borderId="2" applyAlignment="1" pivotButton="0" quotePrefix="0" xfId="0">
      <alignment horizontal="center" vertical="center"/>
    </xf>
    <xf numFmtId="0" fontId="36" fillId="6" borderId="2" applyAlignment="1" pivotButton="0" quotePrefix="0" xfId="0">
      <alignment horizontal="left" vertical="center"/>
    </xf>
    <xf numFmtId="0" fontId="37" fillId="7" borderId="2" applyAlignment="1" pivotButton="0" quotePrefix="0" xfId="0">
      <alignment horizontal="left" vertical="center"/>
    </xf>
    <xf numFmtId="0" fontId="15" fillId="18" borderId="2" applyAlignment="1" pivotButton="0" quotePrefix="0" xfId="0">
      <alignment horizontal="center" vertical="center"/>
    </xf>
    <xf numFmtId="0" fontId="38" fillId="6" borderId="2" applyAlignment="1" pivotButton="0" quotePrefix="0" xfId="0">
      <alignment horizontal="left" vertical="center"/>
    </xf>
    <xf numFmtId="0" fontId="39" fillId="7" borderId="2" applyAlignment="1" pivotButton="0" quotePrefix="0" xfId="0">
      <alignment horizontal="left" vertical="center"/>
    </xf>
    <xf numFmtId="0" fontId="40" fillId="6" borderId="2" applyAlignment="1" pivotButton="0" quotePrefix="0" xfId="0">
      <alignment horizontal="left" vertical="center"/>
    </xf>
    <xf numFmtId="0" fontId="41" fillId="7" borderId="2" applyAlignment="1" pivotButton="0" quotePrefix="0" xfId="0">
      <alignment horizontal="left" vertical="center"/>
    </xf>
    <xf numFmtId="0" fontId="32" fillId="11" borderId="0" applyAlignment="1" pivotButton="0" quotePrefix="0" xfId="0">
      <alignment horizontal="left" vertical="center"/>
    </xf>
    <xf numFmtId="0" fontId="15" fillId="6" borderId="2" applyAlignment="1" pivotButton="0" quotePrefix="0" xfId="0">
      <alignment horizontal="center" vertical="center"/>
    </xf>
    <xf numFmtId="2" fontId="5" fillId="10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16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2" fillId="13" borderId="0" applyAlignment="1" pivotButton="0" quotePrefix="0" xfId="0">
      <alignment horizontal="left" vertical="center"/>
    </xf>
    <xf numFmtId="0" fontId="15" fillId="6" borderId="2" applyAlignment="1" pivotButton="0" quotePrefix="0" xfId="0">
      <alignment horizontal="left" vertical="center"/>
    </xf>
    <xf numFmtId="0" fontId="16" fillId="6" borderId="2" applyAlignment="1" pivotButton="0" quotePrefix="0" xfId="0">
      <alignment horizontal="center" vertical="center"/>
    </xf>
    <xf numFmtId="3" fontId="5" fillId="9" borderId="2" applyAlignment="1" pivotButton="0" quotePrefix="0" xfId="0">
      <alignment horizontal="center" vertical="center"/>
    </xf>
    <xf numFmtId="0" fontId="42" fillId="9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center"/>
    </xf>
    <xf numFmtId="0" fontId="16" fillId="7" borderId="2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43" fillId="19" borderId="2" applyAlignment="1" pivotButton="0" quotePrefix="0" xfId="0">
      <alignment horizontal="center" vertical="center"/>
    </xf>
    <xf numFmtId="0" fontId="17" fillId="7" borderId="2" applyAlignment="1" pivotButton="0" quotePrefix="0" xfId="0">
      <alignment horizontal="center" vertical="center"/>
    </xf>
    <xf numFmtId="0" fontId="44" fillId="3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45" fillId="18" borderId="2" applyAlignment="1" pivotButton="0" quotePrefix="0" xfId="0">
      <alignment horizontal="center" vertical="center"/>
    </xf>
    <xf numFmtId="0" fontId="18" fillId="6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0" fontId="20" fillId="6" borderId="2" applyAlignment="1" pivotButton="0" quotePrefix="0" xfId="0">
      <alignment horizontal="center" vertical="center"/>
    </xf>
    <xf numFmtId="0" fontId="19" fillId="6" borderId="2" applyAlignment="1" pivotButton="0" quotePrefix="0" xfId="0">
      <alignment horizontal="center" vertical="center"/>
    </xf>
    <xf numFmtId="0" fontId="21" fillId="7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center" vertical="center"/>
    </xf>
    <xf numFmtId="0" fontId="22" fillId="7" borderId="2" applyAlignment="1" pivotButton="0" quotePrefix="0" xfId="0">
      <alignment horizontal="center" vertical="center"/>
    </xf>
    <xf numFmtId="0" fontId="32" fillId="20" borderId="0" applyAlignment="1" pivotButton="0" quotePrefix="0" xfId="0">
      <alignment horizontal="left" vertical="center"/>
    </xf>
    <xf numFmtId="0" fontId="12" fillId="9" borderId="0" pivotButton="0" quotePrefix="0" xfId="0"/>
    <xf numFmtId="0" fontId="5" fillId="21" borderId="2" applyAlignment="1" pivotButton="0" quotePrefix="0" xfId="0">
      <alignment horizontal="center" vertical="center"/>
    </xf>
    <xf numFmtId="0" fontId="46" fillId="9" borderId="0" pivotButton="0" quotePrefix="0" xfId="0"/>
    <xf numFmtId="0" fontId="13" fillId="5" borderId="0" pivotButton="0" quotePrefix="0" xfId="0"/>
    <xf numFmtId="0" fontId="47" fillId="5" borderId="0" pivotButton="0" quotePrefix="0" xfId="0"/>
    <xf numFmtId="0" fontId="11" fillId="8" borderId="0" pivotButton="0" quotePrefix="0" xfId="0"/>
    <xf numFmtId="0" fontId="48" fillId="8" borderId="0" pivotButton="0" quotePrefix="0" xfId="0"/>
    <xf numFmtId="0" fontId="2" fillId="3" borderId="0" pivotButton="0" quotePrefix="0" xfId="0"/>
    <xf numFmtId="0" fontId="49" fillId="3" borderId="0" pivotButton="0" quotePrefix="0" xfId="0"/>
    <xf numFmtId="0" fontId="32" fillId="22" borderId="0" applyAlignment="1" pivotButton="0" quotePrefix="0" xfId="0">
      <alignment horizontal="left" vertical="center"/>
    </xf>
    <xf numFmtId="0" fontId="50" fillId="23" borderId="2" pivotButton="0" quotePrefix="0" xfId="0"/>
    <xf numFmtId="0" fontId="15" fillId="23" borderId="2" applyAlignment="1" pivotButton="0" quotePrefix="0" xfId="0">
      <alignment horizontal="center" vertical="center"/>
    </xf>
    <xf numFmtId="0" fontId="8" fillId="23" borderId="2" applyAlignment="1" pivotButton="0" quotePrefix="0" xfId="0">
      <alignment horizontal="center" vertical="center"/>
    </xf>
    <xf numFmtId="0" fontId="5" fillId="23" borderId="2" applyAlignment="1" pivotButton="0" quotePrefix="0" xfId="0">
      <alignment horizontal="center" vertical="center"/>
    </xf>
    <xf numFmtId="0" fontId="51" fillId="23" borderId="2" applyAlignment="1" pivotButton="0" quotePrefix="0" xfId="0">
      <alignment horizontal="left" vertical="center" wrapText="1"/>
    </xf>
    <xf numFmtId="0" fontId="52" fillId="9" borderId="2" pivotButton="0" quotePrefix="0" xfId="0"/>
    <xf numFmtId="0" fontId="5" fillId="9" borderId="2" applyAlignment="1" pivotButton="0" quotePrefix="0" xfId="0">
      <alignment horizontal="center" vertical="center"/>
    </xf>
    <xf numFmtId="0" fontId="51" fillId="9" borderId="2" applyAlignment="1" pivotButton="0" quotePrefix="0" xfId="0">
      <alignment horizontal="left" vertical="center" wrapText="1"/>
    </xf>
    <xf numFmtId="0" fontId="52" fillId="5" borderId="2" pivotButton="0" quotePrefix="0" xfId="0"/>
    <xf numFmtId="0" fontId="5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51" fillId="5" borderId="2" applyAlignment="1" pivotButton="0" quotePrefix="0" xfId="0">
      <alignment horizontal="left" vertical="center" wrapText="1"/>
    </xf>
    <xf numFmtId="0" fontId="52" fillId="3" borderId="2" pivotButton="0" quotePrefix="0" xfId="0"/>
    <xf numFmtId="0" fontId="5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51" fillId="3" borderId="2" applyAlignment="1" pivotButton="0" quotePrefix="0" xfId="0">
      <alignment horizontal="left" vertical="center" wrapText="1"/>
    </xf>
    <xf numFmtId="0" fontId="52" fillId="8" borderId="2" pivotButton="0" quotePrefix="0" xfId="0"/>
    <xf numFmtId="0" fontId="5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51" fillId="8" borderId="2" applyAlignment="1" pivotButton="0" quotePrefix="0" xfId="0">
      <alignment horizontal="left" vertical="center" wrapText="1"/>
    </xf>
    <xf numFmtId="0" fontId="52" fillId="10" borderId="2" pivotButton="0" quotePrefix="0" xfId="0"/>
    <xf numFmtId="0" fontId="5" fillId="10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51" fillId="10" borderId="2" applyAlignment="1" pivotButton="0" quotePrefix="0" xfId="0">
      <alignment horizontal="left" vertical="center" wrapText="1"/>
    </xf>
    <xf numFmtId="0" fontId="52" fillId="16" borderId="2" pivotButton="0" quotePrefix="0" xfId="0"/>
    <xf numFmtId="0" fontId="5" fillId="16" borderId="2" applyAlignment="1" pivotButton="0" quotePrefix="0" xfId="0">
      <alignment horizontal="center" vertical="center"/>
    </xf>
    <xf numFmtId="0" fontId="8" fillId="16" borderId="2" applyAlignment="1" pivotButton="0" quotePrefix="0" xfId="0">
      <alignment horizontal="center" vertical="center"/>
    </xf>
    <xf numFmtId="0" fontId="51" fillId="16" borderId="2" applyAlignment="1" pivotButton="0" quotePrefix="0" xfId="0">
      <alignment horizontal="left" vertical="center" wrapText="1"/>
    </xf>
    <xf numFmtId="0" fontId="50" fillId="9" borderId="2" pivotButton="0" quotePrefix="0" xfId="0"/>
    <xf numFmtId="0" fontId="50" fillId="3" borderId="2" pivotButton="0" quotePrefix="0" xfId="0"/>
    <xf numFmtId="0" fontId="15" fillId="3" borderId="2" applyAlignment="1" pivotButton="0" quotePrefix="0" xfId="0">
      <alignment horizontal="center" vertical="center"/>
    </xf>
    <xf numFmtId="0" fontId="50" fillId="21" borderId="2" pivotButton="0" quotePrefix="0" xfId="0"/>
    <xf numFmtId="0" fontId="15" fillId="21" borderId="2" applyAlignment="1" pivotButton="0" quotePrefix="0" xfId="0">
      <alignment horizontal="center" vertical="center"/>
    </xf>
    <xf numFmtId="0" fontId="8" fillId="21" borderId="2" applyAlignment="1" pivotButton="0" quotePrefix="0" xfId="0">
      <alignment horizontal="center" vertical="center"/>
    </xf>
    <xf numFmtId="0" fontId="51" fillId="21" borderId="2" applyAlignment="1" pivotButton="0" quotePrefix="0" xfId="0">
      <alignment horizontal="left" vertical="center" wrapText="1"/>
    </xf>
    <xf numFmtId="0" fontId="32" fillId="24" borderId="0" applyAlignment="1" pivotButton="0" quotePrefix="0" xfId="0">
      <alignment horizontal="left" vertical="center"/>
    </xf>
    <xf numFmtId="0" fontId="15" fillId="5" borderId="2" applyAlignment="1" pivotButton="0" quotePrefix="0" xfId="0">
      <alignment horizontal="left" vertical="center"/>
    </xf>
    <xf numFmtId="167" fontId="5" fillId="7" borderId="2" applyAlignment="1" pivotButton="0" quotePrefix="0" xfId="0">
      <alignment horizontal="center" vertical="center"/>
    </xf>
    <xf numFmtId="167" fontId="5" fillId="6" borderId="2" applyAlignment="1" pivotButton="0" quotePrefix="0" xfId="0">
      <alignment horizontal="center" vertical="center"/>
    </xf>
    <xf numFmtId="0" fontId="15" fillId="10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left" vertical="center"/>
    </xf>
    <xf numFmtId="0" fontId="15" fillId="8" borderId="2" applyAlignment="1" pivotButton="0" quotePrefix="0" xfId="0">
      <alignment horizontal="left" vertical="center"/>
    </xf>
    <xf numFmtId="0" fontId="15" fillId="9" borderId="2" applyAlignment="1" pivotButton="0" quotePrefix="0" xfId="0">
      <alignment horizontal="left" vertical="center"/>
    </xf>
    <xf numFmtId="0" fontId="14" fillId="10" borderId="0" pivotButton="0" quotePrefix="0" xfId="0"/>
    <xf numFmtId="0" fontId="15" fillId="10" borderId="2" applyAlignment="1" pivotButton="0" quotePrefix="0" xfId="0">
      <alignment horizontal="left" vertical="center"/>
    </xf>
    <xf numFmtId="0" fontId="53" fillId="4" borderId="0" applyAlignment="1" pivotButton="0" quotePrefix="0" xfId="0">
      <alignment horizontal="left" vertical="center"/>
    </xf>
    <xf numFmtId="0" fontId="54" fillId="5" borderId="0" applyAlignment="1" pivotButton="0" quotePrefix="0" xfId="0">
      <alignment horizontal="left" vertical="center"/>
    </xf>
    <xf numFmtId="0" fontId="52" fillId="7" borderId="0" applyAlignment="1" pivotButton="0" quotePrefix="0" xfId="0">
      <alignment horizontal="left" vertical="top" wrapText="1"/>
    </xf>
    <xf numFmtId="0" fontId="4" fillId="5" borderId="0" applyAlignment="1" pivotButton="0" quotePrefix="0" xfId="0">
      <alignment horizontal="left" vertical="center" wrapText="1"/>
    </xf>
    <xf numFmtId="0" fontId="55" fillId="8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 wrapText="1"/>
    </xf>
    <xf numFmtId="0" fontId="56" fillId="9" borderId="0" applyAlignment="1" pivotButton="0" quotePrefix="0" xfId="0">
      <alignment horizontal="left" vertical="center"/>
    </xf>
    <xf numFmtId="0" fontId="8" fillId="9" borderId="0" applyAlignment="1" pivotButton="0" quotePrefix="0" xfId="0">
      <alignment horizontal="left" vertical="center" wrapText="1"/>
    </xf>
    <xf numFmtId="0" fontId="57" fillId="3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0" fontId="8" fillId="9" borderId="2" applyAlignment="1" pivotButton="0" quotePrefix="0" xfId="0">
      <alignment horizontal="left" vertical="center"/>
    </xf>
    <xf numFmtId="0" fontId="9" fillId="10" borderId="2" applyAlignment="1" pivotButton="0" quotePrefix="0" xfId="0">
      <alignment horizontal="left" vertical="center"/>
    </xf>
    <xf numFmtId="0" fontId="3" fillId="4" borderId="2" applyAlignment="1" pivotButton="0" quotePrefix="0" xfId="0">
      <alignment horizontal="left" vertical="center"/>
    </xf>
    <xf numFmtId="2" fontId="10" fillId="4" borderId="2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 wrapText="1"/>
    </xf>
    <xf numFmtId="165" fontId="0" fillId="7" borderId="2" applyAlignment="1" pivotButton="0" quotePrefix="0" xfId="0">
      <alignment horizontal="center" vertical="center"/>
    </xf>
    <xf numFmtId="165" fontId="0" fillId="6" borderId="2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1B2E"/>
    <outlinePr summaryBelow="1" summaryRight="1"/>
    <pageSetUpPr/>
  </sheetPr>
  <dimension ref="A1:J2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0" customWidth="1" min="4" max="4"/>
    <col width="14" customWidth="1" min="5" max="5"/>
    <col width="10" customWidth="1" min="6" max="6"/>
    <col width="12" customWidth="1" min="7" max="7"/>
    <col width="10" customWidth="1" min="8" max="8"/>
    <col width="12" customWidth="1" min="9" max="9"/>
  </cols>
  <sheetData>
    <row r="1" ht="36" customHeight="1">
      <c r="A1" s="1" t="inlineStr">
        <is>
          <t>INDIA ORGANISED APPAREL — TIER-WISE INVESTMENT ANALYSIS  |  FY25/26 Data</t>
        </is>
      </c>
    </row>
    <row r="3" ht="38" customHeight="1">
      <c r="A3" s="2" t="inlineStr">
        <is>
          <t>India's ₹90,546 Cr organised apparel market is a TIER story. Metro saturates at 13.1 stores/pin. T2 at 6.7 SPP is the benchmark. T3 at 4.6 SPP is the decade-long option. Brands with T2-T3 pincode depth will compound as India replicates China's 2003-2020 density convergence.</t>
        </is>
      </c>
    </row>
    <row r="5" ht="8" customHeight="1"/>
    <row r="6" ht="32" customHeight="1">
      <c r="A6" s="3">
        <f>'⚙️ DATA'!C10</f>
        <v/>
      </c>
      <c r="B6" s="4">
        <f>'⚙️ DATA'!D10</f>
        <v/>
      </c>
      <c r="C6" s="5">
        <f>'⚙️ DATA'!E10</f>
        <v/>
      </c>
      <c r="D6" s="6">
        <f>'⚙️ DATA'!G10</f>
        <v/>
      </c>
      <c r="E6" s="7" t="inlineStr">
        <is>
          <t>112</t>
        </is>
      </c>
      <c r="F6" s="8" t="inlineStr">
        <is>
          <t>79.4%</t>
        </is>
      </c>
    </row>
    <row r="7" ht="18" customHeight="1">
      <c r="A7" s="9" t="inlineStr">
        <is>
          <t>Total Stores</t>
        </is>
      </c>
      <c r="B7" s="10" t="inlineStr">
        <is>
          <t>Revenue (₹ Cr)</t>
        </is>
      </c>
      <c r="C7" s="11" t="inlineStr">
        <is>
          <t>Active Pincodes</t>
        </is>
      </c>
      <c r="D7" s="12" t="inlineStr">
        <is>
          <t>Avg Rev/Store (₹Cr)</t>
        </is>
      </c>
      <c r="E7" s="13" t="inlineStr">
        <is>
          <t>Brands Tracked</t>
        </is>
      </c>
      <c r="F7" s="14" t="inlineStr">
        <is>
          <t>Pincodes Untouched</t>
        </is>
      </c>
    </row>
    <row r="9" ht="20" customHeight="1">
      <c r="A9" s="15" t="inlineStr">
        <is>
          <t>TIER-WISE BREAKDOWN — Formulas auto-update from ⚙️ DATA sheet</t>
        </is>
      </c>
    </row>
    <row r="10" ht="22" customHeight="1">
      <c r="A10" s="16" t="inlineStr">
        <is>
          <t>Tier</t>
        </is>
      </c>
      <c r="B10" s="16" t="inlineStr">
        <is>
          <t>Name</t>
        </is>
      </c>
      <c r="C10" s="16" t="inlineStr">
        <is>
          <t>Stores</t>
        </is>
      </c>
      <c r="D10" s="16" t="inlineStr">
        <is>
          <t>Stores%</t>
        </is>
      </c>
      <c r="E10" s="16" t="inlineStr">
        <is>
          <t>Revenue (₹Cr)</t>
        </is>
      </c>
      <c r="F10" s="16" t="inlineStr">
        <is>
          <t>Rev%</t>
        </is>
      </c>
      <c r="G10" s="16" t="inlineStr">
        <is>
          <t>Active Pins</t>
        </is>
      </c>
      <c r="H10" s="16" t="inlineStr">
        <is>
          <t>SPP</t>
        </is>
      </c>
      <c r="I10" s="16" t="inlineStr">
        <is>
          <t>Rev/Pin</t>
        </is>
      </c>
    </row>
    <row r="11" ht="18" customHeight="1">
      <c r="A11" s="17">
        <f>'⚙️ DATA'!A5</f>
        <v/>
      </c>
      <c r="B11" s="18">
        <f>'⚙️ DATA'!B5</f>
        <v/>
      </c>
      <c r="C11" s="19">
        <f>'⚙️ DATA'!C5</f>
        <v/>
      </c>
      <c r="D11" s="20">
        <f>'⚙️ DATA'!C5/'⚙️ DATA'!C10</f>
        <v/>
      </c>
      <c r="E11" s="21">
        <f>'⚙️ DATA'!D5</f>
        <v/>
      </c>
      <c r="F11" s="20">
        <f>'⚙️ DATA'!D5/'⚙️ DATA'!D10</f>
        <v/>
      </c>
      <c r="G11" s="19">
        <f>'⚙️ DATA'!E5</f>
        <v/>
      </c>
      <c r="H11" s="22">
        <f>'⚙️ DATA'!F5</f>
        <v/>
      </c>
      <c r="I11" s="23">
        <f>'⚙️ DATA'!H5</f>
        <v/>
      </c>
    </row>
    <row r="12" ht="18" customHeight="1">
      <c r="A12" s="24">
        <f>'⚙️ DATA'!A6</f>
        <v/>
      </c>
      <c r="B12" s="25">
        <f>'⚙️ DATA'!B6</f>
        <v/>
      </c>
      <c r="C12" s="26">
        <f>'⚙️ DATA'!C6</f>
        <v/>
      </c>
      <c r="D12" s="27">
        <f>'⚙️ DATA'!C6/'⚙️ DATA'!C10</f>
        <v/>
      </c>
      <c r="E12" s="28">
        <f>'⚙️ DATA'!D6</f>
        <v/>
      </c>
      <c r="F12" s="27">
        <f>'⚙️ DATA'!D6/'⚙️ DATA'!D10</f>
        <v/>
      </c>
      <c r="G12" s="26">
        <f>'⚙️ DATA'!E6</f>
        <v/>
      </c>
      <c r="H12" s="29">
        <f>'⚙️ DATA'!F6</f>
        <v/>
      </c>
      <c r="I12" s="30">
        <f>'⚙️ DATA'!H6</f>
        <v/>
      </c>
    </row>
    <row r="13" ht="18" customHeight="1">
      <c r="A13" s="31">
        <f>'⚙️ DATA'!A7</f>
        <v/>
      </c>
      <c r="B13" s="18">
        <f>'⚙️ DATA'!B7</f>
        <v/>
      </c>
      <c r="C13" s="19">
        <f>'⚙️ DATA'!C7</f>
        <v/>
      </c>
      <c r="D13" s="20">
        <f>'⚙️ DATA'!C7/'⚙️ DATA'!C10</f>
        <v/>
      </c>
      <c r="E13" s="21">
        <f>'⚙️ DATA'!D7</f>
        <v/>
      </c>
      <c r="F13" s="20">
        <f>'⚙️ DATA'!D7/'⚙️ DATA'!D10</f>
        <v/>
      </c>
      <c r="G13" s="19">
        <f>'⚙️ DATA'!E7</f>
        <v/>
      </c>
      <c r="H13" s="32">
        <f>'⚙️ DATA'!F7</f>
        <v/>
      </c>
      <c r="I13" s="23">
        <f>'⚙️ DATA'!H7</f>
        <v/>
      </c>
    </row>
    <row r="14" ht="18" customHeight="1">
      <c r="A14" s="33">
        <f>'⚙️ DATA'!A8</f>
        <v/>
      </c>
      <c r="B14" s="25">
        <f>'⚙️ DATA'!B8</f>
        <v/>
      </c>
      <c r="C14" s="26">
        <f>'⚙️ DATA'!C8</f>
        <v/>
      </c>
      <c r="D14" s="27">
        <f>'⚙️ DATA'!C8/'⚙️ DATA'!C10</f>
        <v/>
      </c>
      <c r="E14" s="28">
        <f>'⚙️ DATA'!D8</f>
        <v/>
      </c>
      <c r="F14" s="27">
        <f>'⚙️ DATA'!D8/'⚙️ DATA'!D10</f>
        <v/>
      </c>
      <c r="G14" s="26">
        <f>'⚙️ DATA'!E8</f>
        <v/>
      </c>
      <c r="H14" s="34">
        <f>'⚙️ DATA'!F8</f>
        <v/>
      </c>
      <c r="I14" s="30">
        <f>'⚙️ DATA'!H8</f>
        <v/>
      </c>
    </row>
    <row r="15" ht="18" customHeight="1">
      <c r="A15" s="35">
        <f>'⚙️ DATA'!A9</f>
        <v/>
      </c>
      <c r="B15" s="18">
        <f>'⚙️ DATA'!B9</f>
        <v/>
      </c>
      <c r="C15" s="19">
        <f>'⚙️ DATA'!C9</f>
        <v/>
      </c>
      <c r="D15" s="20">
        <f>'⚙️ DATA'!C9/'⚙️ DATA'!C10</f>
        <v/>
      </c>
      <c r="E15" s="21">
        <f>'⚙️ DATA'!D9</f>
        <v/>
      </c>
      <c r="F15" s="20">
        <f>'⚙️ DATA'!D9/'⚙️ DATA'!D10</f>
        <v/>
      </c>
      <c r="G15" s="19">
        <f>'⚙️ DATA'!E9</f>
        <v/>
      </c>
      <c r="H15" s="32">
        <f>'⚙️ DATA'!F9</f>
        <v/>
      </c>
      <c r="I15" s="23">
        <f>'⚙️ DATA'!H9</f>
        <v/>
      </c>
    </row>
    <row r="16">
      <c r="A16" s="36">
        <f>'⚙️ DATA'!A10</f>
        <v/>
      </c>
      <c r="B16" s="37" t="inlineStr">
        <is>
          <t>All India</t>
        </is>
      </c>
      <c r="C16" s="38">
        <f>'⚙️ DATA'!C10</f>
        <v/>
      </c>
      <c r="D16" s="36" t="inlineStr">
        <is>
          <t>100.0%</t>
        </is>
      </c>
      <c r="E16" s="39">
        <f>'⚙️ DATA'!E10</f>
        <v/>
      </c>
      <c r="F16" s="36" t="inlineStr">
        <is>
          <t>100.0%</t>
        </is>
      </c>
      <c r="G16" s="38">
        <f>'⚙️ DATA'!G10</f>
        <v/>
      </c>
    </row>
    <row r="18" ht="20" customHeight="1">
      <c r="A18" s="40" t="inlineStr">
        <is>
          <t>KEY INVESTOR SIGNALS</t>
        </is>
      </c>
    </row>
    <row r="19" ht="22" customHeight="1">
      <c r="A19" s="41" t="inlineStr">
        <is>
          <t>🔴 Metro Saturating</t>
        </is>
      </c>
      <c r="B19" s="42" t="inlineStr">
        <is>
          <t>13.1 SPP. Premium Menswear at 28.8% of Metro mix. 5+ brands in 37% of prem pincodes. New Metro = share-steal.</t>
        </is>
      </c>
      <c r="C19" s="43" t="n"/>
      <c r="D19" s="43" t="n"/>
      <c r="E19" s="43" t="n"/>
      <c r="F19" s="43" t="n"/>
      <c r="G19" s="43" t="n"/>
      <c r="H19" s="44" t="n"/>
    </row>
    <row r="20" ht="22" customHeight="1">
      <c r="A20" s="41" t="inlineStr">
        <is>
          <t>🟢 T2 is the Sweet Spot</t>
        </is>
      </c>
      <c r="B20" s="42" t="inlineStr">
        <is>
          <t>9,518 stores, 1,429 pins, 6.7 SPP, ₹27,785 Cr. First-mover window is 2-4 yrs. ₹19.4 Cr/pin vs Metro's ₹34.9.</t>
        </is>
      </c>
      <c r="C20" s="43" t="n"/>
      <c r="D20" s="43" t="n"/>
      <c r="E20" s="43" t="n"/>
      <c r="F20" s="43" t="n"/>
      <c r="G20" s="43" t="n"/>
      <c r="H20" s="44" t="n"/>
    </row>
    <row r="21" ht="22" customHeight="1">
      <c r="A21" s="41" t="inlineStr">
        <is>
          <t>🚀 Zudio: Data Validates 3,000+ Stores</t>
        </is>
      </c>
      <c r="B21" s="42" t="inlineStr">
        <is>
          <t>2,135 T2+T3 pincodes untouched × 1.5 stores/pin = 3,202 stores → ₹27,100 Cr revenue upside.</t>
        </is>
      </c>
      <c r="C21" s="43" t="n"/>
      <c r="D21" s="43" t="n"/>
      <c r="E21" s="43" t="n"/>
      <c r="F21" s="43" t="n"/>
      <c r="G21" s="43" t="n"/>
      <c r="H21" s="44" t="n"/>
    </row>
    <row r="22" ht="22" customHeight="1">
      <c r="A22" s="41" t="inlineStr">
        <is>
          <t>🏆 Reliance Trends: Widest Moat</t>
        </is>
      </c>
      <c r="B22" s="42" t="inlineStr">
        <is>
          <t>792 VF moat pincodes — 44.8% of its pins are competitor-free. Most durable organised apparel moat.</t>
        </is>
      </c>
      <c r="C22" s="43" t="n"/>
      <c r="D22" s="43" t="n"/>
      <c r="E22" s="43" t="n"/>
      <c r="F22" s="43" t="n"/>
      <c r="G22" s="43" t="n"/>
      <c r="H22" s="44" t="n"/>
    </row>
    <row r="23" ht="22" customHeight="1">
      <c r="A23" s="41" t="inlineStr">
        <is>
          <t>👗 Women's Wear: Biggest Whitespace</t>
        </is>
      </c>
      <c r="B23" s="42" t="inlineStr">
        <is>
          <t>₹944 Cr T3 vs ₹3,195 Cr Metro combined. T3 women's share of organised = &lt;1% of ₹65,000 Cr wallet.</t>
        </is>
      </c>
      <c r="C23" s="43" t="n"/>
      <c r="D23" s="43" t="n"/>
      <c r="E23" s="43" t="n"/>
      <c r="F23" s="43" t="n"/>
      <c r="G23" s="43" t="n"/>
      <c r="H23" s="44" t="n"/>
    </row>
  </sheetData>
  <mergeCells count="9">
    <mergeCell ref="A18:H18"/>
    <mergeCell ref="B22:H22"/>
    <mergeCell ref="A1:J1"/>
    <mergeCell ref="A3:H3"/>
    <mergeCell ref="B21:H21"/>
    <mergeCell ref="A9:I9"/>
    <mergeCell ref="B19:H19"/>
    <mergeCell ref="B20:H20"/>
    <mergeCell ref="B23:H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/>
  </sheetPr>
  <dimension ref="A1:K4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32" customWidth="1" min="10" max="10"/>
  </cols>
  <sheetData>
    <row r="1" ht="30" customHeight="1">
      <c r="A1" s="45" t="inlineStr">
        <is>
          <t>EX-02  STORES + REVENUE by TIER × SEGMENT  (Formulas → ⚙️ DATA)</t>
        </is>
      </c>
    </row>
    <row r="2" ht="18" customHeight="1">
      <c r="A2" s="2" t="inlineStr">
        <is>
          <t>Amber=≥20%. Revenue (₹Cr) alongside store count. Metro→T3 shift column shows investment direction.</t>
        </is>
      </c>
    </row>
    <row r="4" ht="20" customHeight="1">
      <c r="A4" s="46" t="inlineStr">
        <is>
          <t>A · STORE COUNT (formulas from ⚙️ DATA Block B)</t>
        </is>
      </c>
    </row>
    <row r="5" ht="24" customHeight="1">
      <c r="A5" s="47" t="inlineStr">
        <is>
          <t>Tier</t>
        </is>
      </c>
      <c r="B5" s="47" t="inlineStr">
        <is>
          <t>Value Fashion</t>
        </is>
      </c>
      <c r="C5" s="47" t="inlineStr">
        <is>
          <t>Premium Menswear</t>
        </is>
      </c>
      <c r="D5" s="47" t="inlineStr">
        <is>
          <t>Mid Menswear</t>
        </is>
      </c>
      <c r="E5" s="47" t="inlineStr">
        <is>
          <t>Footwear</t>
        </is>
      </c>
      <c r="F5" s="47" t="inlineStr">
        <is>
          <t>Activewear</t>
        </is>
      </c>
      <c r="G5" s="47" t="inlineStr">
        <is>
          <t>Women's Ethnic</t>
        </is>
      </c>
      <c r="H5" s="47" t="inlineStr">
        <is>
          <t>Women's Western</t>
        </is>
      </c>
      <c r="I5" s="47" t="inlineStr">
        <is>
          <t>Multi/Lifestyle</t>
        </is>
      </c>
      <c r="J5" s="47" t="inlineStr">
        <is>
          <t>TOTAL</t>
        </is>
      </c>
    </row>
    <row r="6" ht="18" customHeight="1">
      <c r="A6" s="17">
        <f>'⚙️ DATA'!A14</f>
        <v/>
      </c>
      <c r="B6" s="26">
        <f>'⚙️ DATA'!B14</f>
        <v/>
      </c>
      <c r="C6" s="26">
        <f>'⚙️ DATA'!C14</f>
        <v/>
      </c>
      <c r="D6" s="26">
        <f>'⚙️ DATA'!D14</f>
        <v/>
      </c>
      <c r="E6" s="26">
        <f>'⚙️ DATA'!E14</f>
        <v/>
      </c>
      <c r="F6" s="26">
        <f>'⚙️ DATA'!F14</f>
        <v/>
      </c>
      <c r="G6" s="26">
        <f>'⚙️ DATA'!G14</f>
        <v/>
      </c>
      <c r="H6" s="26">
        <f>'⚙️ DATA'!H14</f>
        <v/>
      </c>
      <c r="I6" s="26">
        <f>'⚙️ DATA'!I14</f>
        <v/>
      </c>
      <c r="J6" s="48">
        <f>'⚙️ DATA'!J14</f>
        <v/>
      </c>
    </row>
    <row r="7" ht="18" customHeight="1">
      <c r="A7" s="24">
        <f>'⚙️ DATA'!A15</f>
        <v/>
      </c>
      <c r="B7" s="19">
        <f>'⚙️ DATA'!B15</f>
        <v/>
      </c>
      <c r="C7" s="19">
        <f>'⚙️ DATA'!C15</f>
        <v/>
      </c>
      <c r="D7" s="19">
        <f>'⚙️ DATA'!D15</f>
        <v/>
      </c>
      <c r="E7" s="19">
        <f>'⚙️ DATA'!E15</f>
        <v/>
      </c>
      <c r="F7" s="19">
        <f>'⚙️ DATA'!F15</f>
        <v/>
      </c>
      <c r="G7" s="19">
        <f>'⚙️ DATA'!G15</f>
        <v/>
      </c>
      <c r="H7" s="19">
        <f>'⚙️ DATA'!H15</f>
        <v/>
      </c>
      <c r="I7" s="19">
        <f>'⚙️ DATA'!I15</f>
        <v/>
      </c>
      <c r="J7" s="49">
        <f>'⚙️ DATA'!J15</f>
        <v/>
      </c>
    </row>
    <row r="8" ht="18" customHeight="1">
      <c r="A8" s="31">
        <f>'⚙️ DATA'!A16</f>
        <v/>
      </c>
      <c r="B8" s="26">
        <f>'⚙️ DATA'!B16</f>
        <v/>
      </c>
      <c r="C8" s="26">
        <f>'⚙️ DATA'!C16</f>
        <v/>
      </c>
      <c r="D8" s="26">
        <f>'⚙️ DATA'!D16</f>
        <v/>
      </c>
      <c r="E8" s="26">
        <f>'⚙️ DATA'!E16</f>
        <v/>
      </c>
      <c r="F8" s="26">
        <f>'⚙️ DATA'!F16</f>
        <v/>
      </c>
      <c r="G8" s="26">
        <f>'⚙️ DATA'!G16</f>
        <v/>
      </c>
      <c r="H8" s="26">
        <f>'⚙️ DATA'!H16</f>
        <v/>
      </c>
      <c r="I8" s="26">
        <f>'⚙️ DATA'!I16</f>
        <v/>
      </c>
      <c r="J8" s="50">
        <f>'⚙️ DATA'!J16</f>
        <v/>
      </c>
    </row>
    <row r="9" ht="18" customHeight="1">
      <c r="A9" s="33">
        <f>'⚙️ DATA'!A17</f>
        <v/>
      </c>
      <c r="B9" s="19">
        <f>'⚙️ DATA'!B17</f>
        <v/>
      </c>
      <c r="C9" s="19">
        <f>'⚙️ DATA'!C17</f>
        <v/>
      </c>
      <c r="D9" s="19">
        <f>'⚙️ DATA'!D17</f>
        <v/>
      </c>
      <c r="E9" s="19">
        <f>'⚙️ DATA'!E17</f>
        <v/>
      </c>
      <c r="F9" s="19">
        <f>'⚙️ DATA'!F17</f>
        <v/>
      </c>
      <c r="G9" s="19">
        <f>'⚙️ DATA'!G17</f>
        <v/>
      </c>
      <c r="H9" s="19">
        <f>'⚙️ DATA'!H17</f>
        <v/>
      </c>
      <c r="I9" s="19">
        <f>'⚙️ DATA'!I17</f>
        <v/>
      </c>
      <c r="J9" s="51">
        <f>'⚙️ DATA'!J17</f>
        <v/>
      </c>
    </row>
    <row r="10" ht="18" customHeight="1">
      <c r="A10" s="35">
        <f>'⚙️ DATA'!A18</f>
        <v/>
      </c>
      <c r="B10" s="26">
        <f>'⚙️ DATA'!B18</f>
        <v/>
      </c>
      <c r="C10" s="26">
        <f>'⚙️ DATA'!C18</f>
        <v/>
      </c>
      <c r="D10" s="26">
        <f>'⚙️ DATA'!D18</f>
        <v/>
      </c>
      <c r="E10" s="26">
        <f>'⚙️ DATA'!E18</f>
        <v/>
      </c>
      <c r="F10" s="26">
        <f>'⚙️ DATA'!F18</f>
        <v/>
      </c>
      <c r="G10" s="26">
        <f>'⚙️ DATA'!G18</f>
        <v/>
      </c>
      <c r="H10" s="26">
        <f>'⚙️ DATA'!H18</f>
        <v/>
      </c>
      <c r="I10" s="26">
        <f>'⚙️ DATA'!I18</f>
        <v/>
      </c>
      <c r="J10" s="52">
        <f>'⚙️ DATA'!J18</f>
        <v/>
      </c>
    </row>
    <row r="11">
      <c r="A11" s="36">
        <f>'⚙️ DATA'!A19</f>
        <v/>
      </c>
      <c r="B11" s="38">
        <f>'⚙️ DATA'!B19</f>
        <v/>
      </c>
      <c r="C11" s="38">
        <f>'⚙️ DATA'!C19</f>
        <v/>
      </c>
      <c r="D11" s="38">
        <f>'⚙️ DATA'!D19</f>
        <v/>
      </c>
      <c r="E11" s="38">
        <f>'⚙️ DATA'!E19</f>
        <v/>
      </c>
      <c r="F11" s="38">
        <f>'⚙️ DATA'!F19</f>
        <v/>
      </c>
      <c r="G11" s="38">
        <f>'⚙️ DATA'!G19</f>
        <v/>
      </c>
      <c r="H11" s="38">
        <f>'⚙️ DATA'!H19</f>
        <v/>
      </c>
      <c r="I11" s="38">
        <f>'⚙️ DATA'!I19</f>
        <v/>
      </c>
      <c r="J11" s="38">
        <f>'⚙️ DATA'!J19</f>
        <v/>
      </c>
    </row>
    <row r="13" ht="20" customHeight="1">
      <c r="A13" s="15" t="inlineStr">
        <is>
          <t>B · SEGMENT % WITHIN TIER (formulas from ⚙️ DATA Block D — amber ≥20%)</t>
        </is>
      </c>
    </row>
    <row r="14" ht="24" customHeight="1">
      <c r="A14" s="53" t="inlineStr">
        <is>
          <t>Tier</t>
        </is>
      </c>
      <c r="B14" s="53" t="inlineStr">
        <is>
          <t>Value Fashion</t>
        </is>
      </c>
      <c r="C14" s="53" t="inlineStr">
        <is>
          <t>Premium Menswear</t>
        </is>
      </c>
      <c r="D14" s="53" t="inlineStr">
        <is>
          <t>Mid Menswear</t>
        </is>
      </c>
      <c r="E14" s="53" t="inlineStr">
        <is>
          <t>Footwear</t>
        </is>
      </c>
      <c r="F14" s="53" t="inlineStr">
        <is>
          <t>Activewear</t>
        </is>
      </c>
      <c r="G14" s="53" t="inlineStr">
        <is>
          <t>Women's Ethnic</t>
        </is>
      </c>
      <c r="H14" s="53" t="inlineStr">
        <is>
          <t>Women's Western</t>
        </is>
      </c>
      <c r="I14" s="53" t="inlineStr">
        <is>
          <t>Multi/Lifestyle</t>
        </is>
      </c>
    </row>
    <row r="15" ht="18" customHeight="1">
      <c r="A15" s="17">
        <f>'⚙️ DATA'!A14</f>
        <v/>
      </c>
      <c r="B15" s="20">
        <f>'⚙️ DATA'!B32</f>
        <v/>
      </c>
      <c r="C15" s="20">
        <f>'⚙️ DATA'!C32</f>
        <v/>
      </c>
      <c r="D15" s="20">
        <f>'⚙️ DATA'!D32</f>
        <v/>
      </c>
      <c r="E15" s="20">
        <f>'⚙️ DATA'!E32</f>
        <v/>
      </c>
      <c r="F15" s="20">
        <f>'⚙️ DATA'!F32</f>
        <v/>
      </c>
      <c r="G15" s="20">
        <f>'⚙️ DATA'!G32</f>
        <v/>
      </c>
      <c r="H15" s="20">
        <f>'⚙️ DATA'!H32</f>
        <v/>
      </c>
      <c r="I15" s="20">
        <f>'⚙️ DATA'!I32</f>
        <v/>
      </c>
    </row>
    <row r="16" ht="18" customHeight="1">
      <c r="A16" s="24">
        <f>'⚙️ DATA'!A15</f>
        <v/>
      </c>
      <c r="B16" s="27">
        <f>'⚙️ DATA'!B33</f>
        <v/>
      </c>
      <c r="C16" s="27">
        <f>'⚙️ DATA'!C33</f>
        <v/>
      </c>
      <c r="D16" s="27">
        <f>'⚙️ DATA'!D33</f>
        <v/>
      </c>
      <c r="E16" s="27">
        <f>'⚙️ DATA'!E33</f>
        <v/>
      </c>
      <c r="F16" s="27">
        <f>'⚙️ DATA'!F33</f>
        <v/>
      </c>
      <c r="G16" s="27">
        <f>'⚙️ DATA'!G33</f>
        <v/>
      </c>
      <c r="H16" s="27">
        <f>'⚙️ DATA'!H33</f>
        <v/>
      </c>
      <c r="I16" s="27">
        <f>'⚙️ DATA'!I33</f>
        <v/>
      </c>
    </row>
    <row r="17" ht="18" customHeight="1">
      <c r="A17" s="31">
        <f>'⚙️ DATA'!A16</f>
        <v/>
      </c>
      <c r="B17" s="20">
        <f>'⚙️ DATA'!B34</f>
        <v/>
      </c>
      <c r="C17" s="20">
        <f>'⚙️ DATA'!C34</f>
        <v/>
      </c>
      <c r="D17" s="20">
        <f>'⚙️ DATA'!D34</f>
        <v/>
      </c>
      <c r="E17" s="20">
        <f>'⚙️ DATA'!E34</f>
        <v/>
      </c>
      <c r="F17" s="20">
        <f>'⚙️ DATA'!F34</f>
        <v/>
      </c>
      <c r="G17" s="20">
        <f>'⚙️ DATA'!G34</f>
        <v/>
      </c>
      <c r="H17" s="20">
        <f>'⚙️ DATA'!H34</f>
        <v/>
      </c>
      <c r="I17" s="20">
        <f>'⚙️ DATA'!I34</f>
        <v/>
      </c>
    </row>
    <row r="18" ht="18" customHeight="1">
      <c r="A18" s="33">
        <f>'⚙️ DATA'!A17</f>
        <v/>
      </c>
      <c r="B18" s="27">
        <f>'⚙️ DATA'!B35</f>
        <v/>
      </c>
      <c r="C18" s="27">
        <f>'⚙️ DATA'!C35</f>
        <v/>
      </c>
      <c r="D18" s="27">
        <f>'⚙️ DATA'!D35</f>
        <v/>
      </c>
      <c r="E18" s="27">
        <f>'⚙️ DATA'!E35</f>
        <v/>
      </c>
      <c r="F18" s="27">
        <f>'⚙️ DATA'!F35</f>
        <v/>
      </c>
      <c r="G18" s="27">
        <f>'⚙️ DATA'!G35</f>
        <v/>
      </c>
      <c r="H18" s="27">
        <f>'⚙️ DATA'!H35</f>
        <v/>
      </c>
      <c r="I18" s="27">
        <f>'⚙️ DATA'!I35</f>
        <v/>
      </c>
    </row>
    <row r="19" ht="18" customHeight="1">
      <c r="A19" s="35">
        <f>'⚙️ DATA'!A18</f>
        <v/>
      </c>
      <c r="B19" s="20">
        <f>'⚙️ DATA'!B36</f>
        <v/>
      </c>
      <c r="C19" s="20">
        <f>'⚙️ DATA'!C36</f>
        <v/>
      </c>
      <c r="D19" s="20">
        <f>'⚙️ DATA'!D36</f>
        <v/>
      </c>
      <c r="E19" s="20">
        <f>'⚙️ DATA'!E36</f>
        <v/>
      </c>
      <c r="F19" s="20">
        <f>'⚙️ DATA'!F36</f>
        <v/>
      </c>
      <c r="G19" s="20">
        <f>'⚙️ DATA'!G36</f>
        <v/>
      </c>
      <c r="H19" s="20">
        <f>'⚙️ DATA'!H36</f>
        <v/>
      </c>
      <c r="I19" s="20">
        <f>'⚙️ DATA'!I36</f>
        <v/>
      </c>
    </row>
    <row r="22" ht="20" customHeight="1">
      <c r="A22" s="54" t="inlineStr">
        <is>
          <t>C · REVENUE ₹Cr (formulas from ⚙️ DATA Block C)</t>
        </is>
      </c>
    </row>
    <row r="23" ht="24" customHeight="1">
      <c r="A23" s="55" t="inlineStr">
        <is>
          <t>Tier</t>
        </is>
      </c>
      <c r="B23" s="55" t="inlineStr">
        <is>
          <t>Value Fashion</t>
        </is>
      </c>
      <c r="C23" s="55" t="inlineStr">
        <is>
          <t>Premium Menswear</t>
        </is>
      </c>
      <c r="D23" s="55" t="inlineStr">
        <is>
          <t>Mid Menswear</t>
        </is>
      </c>
      <c r="E23" s="55" t="inlineStr">
        <is>
          <t>Footwear</t>
        </is>
      </c>
      <c r="F23" s="55" t="inlineStr">
        <is>
          <t>Activewear</t>
        </is>
      </c>
      <c r="G23" s="55" t="inlineStr">
        <is>
          <t>Women's Ethnic</t>
        </is>
      </c>
      <c r="H23" s="55" t="inlineStr">
        <is>
          <t>Women's Western</t>
        </is>
      </c>
      <c r="I23" s="55" t="inlineStr">
        <is>
          <t>Multi/Lifestyle</t>
        </is>
      </c>
      <c r="J23" s="55" t="inlineStr">
        <is>
          <t>TOTAL</t>
        </is>
      </c>
    </row>
    <row r="24" ht="18" customHeight="1">
      <c r="A24" s="17">
        <f>'⚙️ DATA'!A23</f>
        <v/>
      </c>
      <c r="B24" s="28">
        <f>'⚙️ DATA'!B23</f>
        <v/>
      </c>
      <c r="C24" s="28">
        <f>'⚙️ DATA'!C23</f>
        <v/>
      </c>
      <c r="D24" s="28">
        <f>'⚙️ DATA'!D23</f>
        <v/>
      </c>
      <c r="E24" s="28">
        <f>'⚙️ DATA'!E23</f>
        <v/>
      </c>
      <c r="F24" s="28">
        <f>'⚙️ DATA'!F23</f>
        <v/>
      </c>
      <c r="G24" s="28">
        <f>'⚙️ DATA'!G23</f>
        <v/>
      </c>
      <c r="H24" s="28">
        <f>'⚙️ DATA'!H23</f>
        <v/>
      </c>
      <c r="I24" s="28">
        <f>'⚙️ DATA'!I23</f>
        <v/>
      </c>
      <c r="J24" s="56">
        <f>'⚙️ DATA'!J23</f>
        <v/>
      </c>
    </row>
    <row r="25" ht="18" customHeight="1">
      <c r="A25" s="24">
        <f>'⚙️ DATA'!A24</f>
        <v/>
      </c>
      <c r="B25" s="21">
        <f>'⚙️ DATA'!B24</f>
        <v/>
      </c>
      <c r="C25" s="21">
        <f>'⚙️ DATA'!C24</f>
        <v/>
      </c>
      <c r="D25" s="21">
        <f>'⚙️ DATA'!D24</f>
        <v/>
      </c>
      <c r="E25" s="21">
        <f>'⚙️ DATA'!E24</f>
        <v/>
      </c>
      <c r="F25" s="21">
        <f>'⚙️ DATA'!F24</f>
        <v/>
      </c>
      <c r="G25" s="21">
        <f>'⚙️ DATA'!G24</f>
        <v/>
      </c>
      <c r="H25" s="21">
        <f>'⚙️ DATA'!H24</f>
        <v/>
      </c>
      <c r="I25" s="21">
        <f>'⚙️ DATA'!I24</f>
        <v/>
      </c>
      <c r="J25" s="57">
        <f>'⚙️ DATA'!J24</f>
        <v/>
      </c>
    </row>
    <row r="26" ht="18" customHeight="1">
      <c r="A26" s="31">
        <f>'⚙️ DATA'!A25</f>
        <v/>
      </c>
      <c r="B26" s="28">
        <f>'⚙️ DATA'!B25</f>
        <v/>
      </c>
      <c r="C26" s="28">
        <f>'⚙️ DATA'!C25</f>
        <v/>
      </c>
      <c r="D26" s="28">
        <f>'⚙️ DATA'!D25</f>
        <v/>
      </c>
      <c r="E26" s="28">
        <f>'⚙️ DATA'!E25</f>
        <v/>
      </c>
      <c r="F26" s="28">
        <f>'⚙️ DATA'!F25</f>
        <v/>
      </c>
      <c r="G26" s="28">
        <f>'⚙️ DATA'!G25</f>
        <v/>
      </c>
      <c r="H26" s="28">
        <f>'⚙️ DATA'!H25</f>
        <v/>
      </c>
      <c r="I26" s="28">
        <f>'⚙️ DATA'!I25</f>
        <v/>
      </c>
      <c r="J26" s="58">
        <f>'⚙️ DATA'!J25</f>
        <v/>
      </c>
    </row>
    <row r="27" ht="18" customHeight="1">
      <c r="A27" s="33">
        <f>'⚙️ DATA'!A26</f>
        <v/>
      </c>
      <c r="B27" s="21">
        <f>'⚙️ DATA'!B26</f>
        <v/>
      </c>
      <c r="C27" s="21">
        <f>'⚙️ DATA'!C26</f>
        <v/>
      </c>
      <c r="D27" s="21">
        <f>'⚙️ DATA'!D26</f>
        <v/>
      </c>
      <c r="E27" s="21">
        <f>'⚙️ DATA'!E26</f>
        <v/>
      </c>
      <c r="F27" s="21">
        <f>'⚙️ DATA'!F26</f>
        <v/>
      </c>
      <c r="G27" s="21">
        <f>'⚙️ DATA'!G26</f>
        <v/>
      </c>
      <c r="H27" s="21">
        <f>'⚙️ DATA'!H26</f>
        <v/>
      </c>
      <c r="I27" s="21">
        <f>'⚙️ DATA'!I26</f>
        <v/>
      </c>
      <c r="J27" s="59">
        <f>'⚙️ DATA'!J26</f>
        <v/>
      </c>
    </row>
    <row r="28" ht="18" customHeight="1">
      <c r="A28" s="35">
        <f>'⚙️ DATA'!A27</f>
        <v/>
      </c>
      <c r="B28" s="28">
        <f>'⚙️ DATA'!B27</f>
        <v/>
      </c>
      <c r="C28" s="28">
        <f>'⚙️ DATA'!C27</f>
        <v/>
      </c>
      <c r="D28" s="28">
        <f>'⚙️ DATA'!D27</f>
        <v/>
      </c>
      <c r="E28" s="28">
        <f>'⚙️ DATA'!E27</f>
        <v/>
      </c>
      <c r="F28" s="28">
        <f>'⚙️ DATA'!F27</f>
        <v/>
      </c>
      <c r="G28" s="28">
        <f>'⚙️ DATA'!G27</f>
        <v/>
      </c>
      <c r="H28" s="28">
        <f>'⚙️ DATA'!H27</f>
        <v/>
      </c>
      <c r="I28" s="28">
        <f>'⚙️ DATA'!I27</f>
        <v/>
      </c>
      <c r="J28" s="60">
        <f>'⚙️ DATA'!J27</f>
        <v/>
      </c>
    </row>
    <row r="31" ht="20" customHeight="1">
      <c r="A31" s="40" t="inlineStr">
        <is>
          <t>D · METRO → T3 SHIFT — Stores &amp; Revenue Signal</t>
        </is>
      </c>
    </row>
    <row r="32" ht="24" customHeight="1">
      <c r="A32" s="16" t="inlineStr">
        <is>
          <t>Segment</t>
        </is>
      </c>
      <c r="B32" s="16" t="inlineStr">
        <is>
          <t>Metro%</t>
        </is>
      </c>
      <c r="C32" s="16" t="inlineStr">
        <is>
          <t>T3%</t>
        </is>
      </c>
      <c r="D32" s="16" t="inlineStr">
        <is>
          <t>Δ Store</t>
        </is>
      </c>
      <c r="E32" s="16" t="inlineStr">
        <is>
          <t>Metro Rev</t>
        </is>
      </c>
      <c r="F32" s="16" t="inlineStr">
        <is>
          <t>T3 Rev</t>
        </is>
      </c>
      <c r="G32" s="16" t="inlineStr">
        <is>
          <t>Δ Rev</t>
        </is>
      </c>
      <c r="H32" s="16" t="inlineStr">
        <is>
          <t>Signal</t>
        </is>
      </c>
      <c r="I32" s="16" t="inlineStr">
        <is>
          <t>Read</t>
        </is>
      </c>
    </row>
    <row r="33" ht="20" customHeight="1">
      <c r="A33" s="61" t="inlineStr">
        <is>
          <t>Value Fashion</t>
        </is>
      </c>
      <c r="B33" s="18" t="inlineStr">
        <is>
          <t>17.9%</t>
        </is>
      </c>
      <c r="C33" s="18" t="inlineStr">
        <is>
          <t>25.4%</t>
        </is>
      </c>
      <c r="D33" s="33" t="inlineStr">
        <is>
          <t>+7.5pp</t>
        </is>
      </c>
      <c r="E33" s="21" t="n">
        <v>6379.8</v>
      </c>
      <c r="F33" s="21" t="n">
        <v>11833.9</v>
      </c>
      <c r="G33" s="33" t="inlineStr">
        <is>
          <t>+5454.1</t>
        </is>
      </c>
      <c r="H33" s="62" t="inlineStr">
        <is>
          <t>🟢 RISES</t>
        </is>
      </c>
      <c r="I33" s="63" t="inlineStr">
        <is>
          <t>Tier-agnostic entry — rises Metro→T3</t>
        </is>
      </c>
      <c r="J33" s="43" t="n"/>
      <c r="K33" s="44" t="n"/>
    </row>
    <row r="34" ht="20" customHeight="1">
      <c r="A34" s="64" t="inlineStr">
        <is>
          <t>Premium Menswear</t>
        </is>
      </c>
      <c r="B34" s="25" t="inlineStr">
        <is>
          <t>28.8%</t>
        </is>
      </c>
      <c r="C34" s="25" t="inlineStr">
        <is>
          <t>12.9%</t>
        </is>
      </c>
      <c r="D34" s="65" t="inlineStr">
        <is>
          <t>-15.9pp</t>
        </is>
      </c>
      <c r="E34" s="28" t="n">
        <v>2324</v>
      </c>
      <c r="F34" s="28" t="n">
        <v>691.2</v>
      </c>
      <c r="G34" s="65" t="inlineStr">
        <is>
          <t>-1632.8</t>
        </is>
      </c>
      <c r="H34" s="66" t="inlineStr">
        <is>
          <t>🔴 FALLS</t>
        </is>
      </c>
      <c r="I34" s="42" t="inlineStr">
        <is>
          <t>Metro luxury captive — saturation risk</t>
        </is>
      </c>
      <c r="J34" s="43" t="n"/>
      <c r="K34" s="44" t="n"/>
    </row>
    <row r="35" ht="20" customHeight="1">
      <c r="A35" s="67" t="inlineStr">
        <is>
          <t>Mid Menswear</t>
        </is>
      </c>
      <c r="B35" s="18" t="inlineStr">
        <is>
          <t>19.9%</t>
        </is>
      </c>
      <c r="C35" s="18" t="inlineStr">
        <is>
          <t>23.4%</t>
        </is>
      </c>
      <c r="D35" s="33" t="inlineStr">
        <is>
          <t>+3.5pp</t>
        </is>
      </c>
      <c r="E35" s="21" t="n">
        <v>598.4</v>
      </c>
      <c r="F35" s="21" t="n">
        <v>1155.1</v>
      </c>
      <c r="G35" s="33" t="inlineStr">
        <is>
          <t>+556.7</t>
        </is>
      </c>
      <c r="H35" s="62" t="inlineStr">
        <is>
          <t>🟡 RISES</t>
        </is>
      </c>
      <c r="I35" s="63" t="inlineStr">
        <is>
          <t>Work-casual T3 strength</t>
        </is>
      </c>
      <c r="J35" s="43" t="n"/>
      <c r="K35" s="44" t="n"/>
    </row>
    <row r="36" ht="20" customHeight="1">
      <c r="A36" s="68" t="inlineStr">
        <is>
          <t>Footwear</t>
        </is>
      </c>
      <c r="B36" s="25" t="inlineStr">
        <is>
          <t>26.6%</t>
        </is>
      </c>
      <c r="C36" s="25" t="inlineStr">
        <is>
          <t>18.0%</t>
        </is>
      </c>
      <c r="D36" s="65" t="inlineStr">
        <is>
          <t>-8.6pp</t>
        </is>
      </c>
      <c r="E36" s="28" t="n">
        <v>2446.3</v>
      </c>
      <c r="F36" s="28" t="n">
        <v>1439.1</v>
      </c>
      <c r="G36" s="65" t="inlineStr">
        <is>
          <t>-1007.2</t>
        </is>
      </c>
      <c r="H36" s="69" t="inlineStr">
        <is>
          <t>⚪ STABLE</t>
        </is>
      </c>
      <c r="I36" s="42" t="inlineStr">
        <is>
          <t>Most balanced — 14-18% across all tiers</t>
        </is>
      </c>
      <c r="J36" s="43" t="n"/>
      <c r="K36" s="44" t="n"/>
    </row>
    <row r="37" ht="20" customHeight="1">
      <c r="A37" s="70" t="inlineStr">
        <is>
          <t>Activewear</t>
        </is>
      </c>
      <c r="B37" s="18" t="inlineStr">
        <is>
          <t>28.2%</t>
        </is>
      </c>
      <c r="C37" s="18" t="inlineStr">
        <is>
          <t>14.2%</t>
        </is>
      </c>
      <c r="D37" s="65" t="inlineStr">
        <is>
          <t>-14.0pp</t>
        </is>
      </c>
      <c r="E37" s="21" t="n">
        <v>1605.5</v>
      </c>
      <c r="F37" s="21" t="n">
        <v>304.6</v>
      </c>
      <c r="G37" s="65" t="inlineStr">
        <is>
          <t>-1300.9</t>
        </is>
      </c>
      <c r="H37" s="66" t="inlineStr">
        <is>
          <t>🔴 FALLS</t>
        </is>
      </c>
      <c r="I37" s="63" t="inlineStr">
        <is>
          <t>Gym-culture skew — urban dependent</t>
        </is>
      </c>
      <c r="J37" s="43" t="n"/>
      <c r="K37" s="44" t="n"/>
    </row>
    <row r="38" ht="20" customHeight="1">
      <c r="A38" s="71" t="inlineStr">
        <is>
          <t>Women's Ethnic</t>
        </is>
      </c>
      <c r="B38" s="25" t="inlineStr">
        <is>
          <t>35.1%</t>
        </is>
      </c>
      <c r="C38" s="25" t="inlineStr">
        <is>
          <t>9.4%</t>
        </is>
      </c>
      <c r="D38" s="65" t="inlineStr">
        <is>
          <t>-25.7pp</t>
        </is>
      </c>
      <c r="E38" s="28" t="n">
        <v>759.5</v>
      </c>
      <c r="F38" s="28" t="n">
        <v>340.3</v>
      </c>
      <c r="G38" s="65" t="inlineStr">
        <is>
          <t>-419.2</t>
        </is>
      </c>
      <c r="H38" s="66" t="inlineStr">
        <is>
          <t>🔴 FALLS</t>
        </is>
      </c>
      <c r="I38" s="42" t="inlineStr">
        <is>
          <t>74% Metro+T1 — massive T3 gap</t>
        </is>
      </c>
      <c r="J38" s="43" t="n"/>
      <c r="K38" s="44" t="n"/>
    </row>
    <row r="39" ht="20" customHeight="1">
      <c r="A39" s="72" t="inlineStr">
        <is>
          <t>Women's Western</t>
        </is>
      </c>
      <c r="B39" s="18" t="inlineStr">
        <is>
          <t>35.2%</t>
        </is>
      </c>
      <c r="C39" s="18" t="inlineStr">
        <is>
          <t>9.3%</t>
        </is>
      </c>
      <c r="D39" s="65" t="inlineStr">
        <is>
          <t>-25.9pp</t>
        </is>
      </c>
      <c r="E39" s="21" t="n">
        <v>467</v>
      </c>
      <c r="F39" s="21" t="n">
        <v>114.1</v>
      </c>
      <c r="G39" s="65" t="inlineStr">
        <is>
          <t>-352.9</t>
        </is>
      </c>
      <c r="H39" s="66" t="inlineStr">
        <is>
          <t>🔴 FALLS</t>
        </is>
      </c>
      <c r="I39" s="63" t="inlineStr">
        <is>
          <t>Largest absolute whitespace below T1</t>
        </is>
      </c>
      <c r="J39" s="43" t="n"/>
      <c r="K39" s="44" t="n"/>
    </row>
    <row r="40" ht="20" customHeight="1">
      <c r="A40" s="73" t="inlineStr">
        <is>
          <t>Multi/Lifestyle</t>
        </is>
      </c>
      <c r="B40" s="25" t="inlineStr">
        <is>
          <t>23.6%</t>
        </is>
      </c>
      <c r="C40" s="25" t="inlineStr">
        <is>
          <t>29.9%</t>
        </is>
      </c>
      <c r="D40" s="33" t="inlineStr">
        <is>
          <t>+6.3pp</t>
        </is>
      </c>
      <c r="E40" s="28" t="n">
        <v>6730</v>
      </c>
      <c r="F40" s="28" t="n">
        <v>3410.8</v>
      </c>
      <c r="G40" s="65" t="inlineStr">
        <is>
          <t>-3319.2</t>
        </is>
      </c>
      <c r="H40" s="69" t="inlineStr">
        <is>
          <t>⚪ STABLE</t>
        </is>
      </c>
      <c r="I40" s="42" t="inlineStr">
        <is>
          <t>Mall-format dependent</t>
        </is>
      </c>
      <c r="J40" s="43" t="n"/>
      <c r="K40" s="44" t="n"/>
    </row>
  </sheetData>
  <mergeCells count="14">
    <mergeCell ref="I38:K38"/>
    <mergeCell ref="I33:K33"/>
    <mergeCell ref="A1:J1"/>
    <mergeCell ref="A31:J31"/>
    <mergeCell ref="I36:K36"/>
    <mergeCell ref="A22:J22"/>
    <mergeCell ref="I37:K37"/>
    <mergeCell ref="I39:K39"/>
    <mergeCell ref="A4:J4"/>
    <mergeCell ref="I34:K34"/>
    <mergeCell ref="I35:K35"/>
    <mergeCell ref="I40:K40"/>
    <mergeCell ref="A2:J2"/>
    <mergeCell ref="A13:J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7490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74" t="inlineStr">
        <is>
          <t>EX-03  PINCODE DENSITY — SPP, Revenue/Pin &amp; Brand Bucket Distribution</t>
        </is>
      </c>
    </row>
    <row r="2" ht="18" customHeight="1">
      <c r="A2" s="2" t="inlineStr">
        <is>
          <t>Metro=₹34.9 Cr/pin | T2=₹19.4 Cr/pin (BENCHMARK) | T3=₹15.0 Cr/pin (WHITESPACE). Gap = investment signal.</t>
        </is>
      </c>
    </row>
    <row r="4" ht="24" customHeight="1">
      <c r="A4" s="16" t="inlineStr">
        <is>
          <t>Tier</t>
        </is>
      </c>
      <c r="B4" s="16" t="inlineStr">
        <is>
          <t>Stores</t>
        </is>
      </c>
      <c r="C4" s="16" t="inlineStr">
        <is>
          <t>Revenue (₹Cr)</t>
        </is>
      </c>
      <c r="D4" s="16" t="inlineStr">
        <is>
          <t>Active Pins</t>
        </is>
      </c>
      <c r="E4" s="16" t="inlineStr">
        <is>
          <t>SPP</t>
        </is>
      </c>
      <c r="F4" s="16" t="inlineStr">
        <is>
          <t>Rev/Pin</t>
        </is>
      </c>
      <c r="G4" s="16" t="inlineStr">
        <is>
          <t>Rev/Store</t>
        </is>
      </c>
      <c r="H4" s="16" t="inlineStr">
        <is>
          <t>vs T3</t>
        </is>
      </c>
      <c r="I4" s="16" t="inlineStr">
        <is>
          <t>Status</t>
        </is>
      </c>
    </row>
    <row r="5" ht="20" customHeight="1">
      <c r="A5" s="17">
        <f>'⚙️ DATA'!A5</f>
        <v/>
      </c>
      <c r="B5" s="19">
        <f>'⚙️ DATA'!C5</f>
        <v/>
      </c>
      <c r="C5" s="21">
        <f>'⚙️ DATA'!D5</f>
        <v/>
      </c>
      <c r="D5" s="19">
        <f>'⚙️ DATA'!E5</f>
        <v/>
      </c>
      <c r="E5" s="22">
        <f>'⚙️ DATA'!F5</f>
        <v/>
      </c>
      <c r="F5" s="23">
        <f>'⚙️ DATA'!H5</f>
        <v/>
      </c>
      <c r="G5" s="32">
        <f>'⚙️ DATA'!G5</f>
        <v/>
      </c>
      <c r="H5" s="18" t="inlineStr">
        <is>
          <t>2.8x</t>
        </is>
      </c>
      <c r="I5" s="75" t="inlineStr">
        <is>
          <t>⛔ SATURATING</t>
        </is>
      </c>
    </row>
    <row r="6" ht="20" customHeight="1">
      <c r="A6" s="24">
        <f>'⚙️ DATA'!A6</f>
        <v/>
      </c>
      <c r="B6" s="26">
        <f>'⚙️ DATA'!C6</f>
        <v/>
      </c>
      <c r="C6" s="28">
        <f>'⚙️ DATA'!D6</f>
        <v/>
      </c>
      <c r="D6" s="26">
        <f>'⚙️ DATA'!E6</f>
        <v/>
      </c>
      <c r="E6" s="76">
        <f>'⚙️ DATA'!F6</f>
        <v/>
      </c>
      <c r="F6" s="30">
        <f>'⚙️ DATA'!H6</f>
        <v/>
      </c>
      <c r="G6" s="29">
        <f>'⚙️ DATA'!G6</f>
        <v/>
      </c>
      <c r="H6" s="25" t="inlineStr">
        <is>
          <t>2.3x</t>
        </is>
      </c>
      <c r="I6" s="77" t="inlineStr">
        <is>
          <t>🔴 HIGH</t>
        </is>
      </c>
    </row>
    <row r="7" ht="20" customHeight="1">
      <c r="A7" s="31">
        <f>'⚙️ DATA'!A7</f>
        <v/>
      </c>
      <c r="B7" s="19">
        <f>'⚙️ DATA'!C7</f>
        <v/>
      </c>
      <c r="C7" s="21">
        <f>'⚙️ DATA'!D7</f>
        <v/>
      </c>
      <c r="D7" s="19">
        <f>'⚙️ DATA'!E7</f>
        <v/>
      </c>
      <c r="E7" s="76">
        <f>'⚙️ DATA'!F7</f>
        <v/>
      </c>
      <c r="F7" s="23">
        <f>'⚙️ DATA'!H7</f>
        <v/>
      </c>
      <c r="G7" s="32">
        <f>'⚙️ DATA'!G7</f>
        <v/>
      </c>
      <c r="H7" s="18" t="inlineStr">
        <is>
          <t>1.4x</t>
        </is>
      </c>
      <c r="I7" s="75" t="inlineStr">
        <is>
          <t>🟢 BENCHMARK</t>
        </is>
      </c>
    </row>
    <row r="8" ht="20" customHeight="1">
      <c r="A8" s="33">
        <f>'⚙️ DATA'!A8</f>
        <v/>
      </c>
      <c r="B8" s="26">
        <f>'⚙️ DATA'!C8</f>
        <v/>
      </c>
      <c r="C8" s="28">
        <f>'⚙️ DATA'!D8</f>
        <v/>
      </c>
      <c r="D8" s="26">
        <f>'⚙️ DATA'!E8</f>
        <v/>
      </c>
      <c r="E8" s="34">
        <f>'⚙️ DATA'!F8</f>
        <v/>
      </c>
      <c r="F8" s="30">
        <f>'⚙️ DATA'!H8</f>
        <v/>
      </c>
      <c r="G8" s="29">
        <f>'⚙️ DATA'!G8</f>
        <v/>
      </c>
      <c r="H8" s="25" t="inlineStr">
        <is>
          <t>1.0x</t>
        </is>
      </c>
      <c r="I8" s="77" t="inlineStr">
        <is>
          <t>🔵 WHITESPACE</t>
        </is>
      </c>
    </row>
    <row r="9" ht="20" customHeight="1">
      <c r="A9" s="35">
        <f>'⚙️ DATA'!A9</f>
        <v/>
      </c>
      <c r="B9" s="19">
        <f>'⚙️ DATA'!C9</f>
        <v/>
      </c>
      <c r="C9" s="21">
        <f>'⚙️ DATA'!D9</f>
        <v/>
      </c>
      <c r="D9" s="19">
        <f>'⚙️ DATA'!E9</f>
        <v/>
      </c>
      <c r="E9" s="76">
        <f>'⚙️ DATA'!F9</f>
        <v/>
      </c>
      <c r="F9" s="23">
        <f>'⚙️ DATA'!H9</f>
        <v/>
      </c>
      <c r="G9" s="32">
        <f>'⚙️ DATA'!G9</f>
        <v/>
      </c>
      <c r="H9" s="18" t="inlineStr">
        <is>
          <t>1.5x</t>
        </is>
      </c>
      <c r="I9" s="75" t="inlineStr">
        <is>
          <t>⚪ MICRO</t>
        </is>
      </c>
    </row>
    <row r="12" ht="20" customHeight="1">
      <c r="A12" s="15" t="inlineStr">
        <is>
          <t>BRAND COUNT BUCKET DISTRIBUTION BY TIER</t>
        </is>
      </c>
    </row>
    <row r="13" ht="24" customHeight="1">
      <c r="A13" s="53" t="inlineStr">
        <is>
          <t>Tier</t>
        </is>
      </c>
      <c r="B13" s="53" t="inlineStr">
        <is>
          <t>Active Pins</t>
        </is>
      </c>
      <c r="C13" s="53" t="inlineStr">
        <is>
          <t>Moat (1 brand)</t>
        </is>
      </c>
      <c r="D13" s="53" t="inlineStr">
        <is>
          <t>Lightly (2-4)</t>
        </is>
      </c>
      <c r="E13" s="53" t="inlineStr">
        <is>
          <t>Competitive (5-9)</t>
        </is>
      </c>
      <c r="F13" s="53" t="inlineStr">
        <is>
          <t>Crowded (10-19)</t>
        </is>
      </c>
      <c r="G13" s="53" t="inlineStr">
        <is>
          <t>Saturated (20+)</t>
        </is>
      </c>
      <c r="H13" s="53" t="inlineStr">
        <is>
          <t>Revenue (₹Cr)</t>
        </is>
      </c>
    </row>
    <row r="14" ht="30" customHeight="1">
      <c r="A14" s="17">
        <f>'⚙️ DATA'!A5</f>
        <v/>
      </c>
      <c r="B14" s="26" t="n">
        <v>611</v>
      </c>
      <c r="C14" s="78" t="inlineStr">
        <is>
          <t>132
21.6%</t>
        </is>
      </c>
      <c r="D14" s="79" t="inlineStr">
        <is>
          <t>162
26.5%</t>
        </is>
      </c>
      <c r="E14" s="79" t="inlineStr">
        <is>
          <t>118
19.3%</t>
        </is>
      </c>
      <c r="F14" s="80" t="inlineStr">
        <is>
          <t>99
16.2%</t>
        </is>
      </c>
      <c r="G14" s="80" t="inlineStr">
        <is>
          <t>100
16.4%</t>
        </is>
      </c>
      <c r="H14" s="28">
        <f>'⚙️ DATA'!D5</f>
        <v/>
      </c>
    </row>
    <row r="15" ht="30" customHeight="1">
      <c r="A15" s="24">
        <f>'⚙️ DATA'!A6</f>
        <v/>
      </c>
      <c r="B15" s="19" t="n">
        <v>678</v>
      </c>
      <c r="C15" s="78" t="inlineStr">
        <is>
          <t>190
28.0%</t>
        </is>
      </c>
      <c r="D15" s="81" t="inlineStr">
        <is>
          <t>196
28.9%</t>
        </is>
      </c>
      <c r="E15" s="81" t="inlineStr">
        <is>
          <t>128
18.9%</t>
        </is>
      </c>
      <c r="F15" s="80" t="inlineStr">
        <is>
          <t>74
10.9%</t>
        </is>
      </c>
      <c r="G15" s="80" t="inlineStr">
        <is>
          <t>90
13.3%</t>
        </is>
      </c>
      <c r="H15" s="21">
        <f>'⚙️ DATA'!D6</f>
        <v/>
      </c>
    </row>
    <row r="16" ht="30" customHeight="1">
      <c r="A16" s="31">
        <f>'⚙️ DATA'!A7</f>
        <v/>
      </c>
      <c r="B16" s="26" t="n">
        <v>1429</v>
      </c>
      <c r="C16" s="78" t="inlineStr">
        <is>
          <t>563
39.4%</t>
        </is>
      </c>
      <c r="D16" s="79" t="inlineStr">
        <is>
          <t>444
31.1%</t>
        </is>
      </c>
      <c r="E16" s="79" t="inlineStr">
        <is>
          <t>199
13.9%</t>
        </is>
      </c>
      <c r="F16" s="80" t="inlineStr">
        <is>
          <t>126
8.8%</t>
        </is>
      </c>
      <c r="G16" s="80" t="inlineStr">
        <is>
          <t>97
6.8%</t>
        </is>
      </c>
      <c r="H16" s="28">
        <f>'⚙️ DATA'!D7</f>
        <v/>
      </c>
    </row>
    <row r="17" ht="30" customHeight="1">
      <c r="A17" s="33">
        <f>'⚙️ DATA'!A8</f>
        <v/>
      </c>
      <c r="B17" s="19" t="n">
        <v>1072</v>
      </c>
      <c r="C17" s="78" t="inlineStr">
        <is>
          <t>429
40.0%</t>
        </is>
      </c>
      <c r="D17" s="81" t="inlineStr">
        <is>
          <t>329
30.7%</t>
        </is>
      </c>
      <c r="E17" s="81" t="inlineStr">
        <is>
          <t>144
13.4%</t>
        </is>
      </c>
      <c r="F17" s="80" t="inlineStr">
        <is>
          <t>129
12.0%</t>
        </is>
      </c>
      <c r="G17" s="80" t="inlineStr">
        <is>
          <t>41
3.8%</t>
        </is>
      </c>
      <c r="H17" s="21">
        <f>'⚙️ DATA'!D8</f>
        <v/>
      </c>
    </row>
    <row r="18" ht="30" customHeight="1">
      <c r="A18" s="35">
        <f>'⚙️ DATA'!A9</f>
        <v/>
      </c>
      <c r="B18" s="26" t="n">
        <v>140</v>
      </c>
      <c r="C18" s="78" t="inlineStr">
        <is>
          <t>49
35.0%</t>
        </is>
      </c>
      <c r="D18" s="79" t="inlineStr">
        <is>
          <t>43
30.7%</t>
        </is>
      </c>
      <c r="E18" s="79" t="inlineStr">
        <is>
          <t>22
15.7%</t>
        </is>
      </c>
      <c r="F18" s="80" t="inlineStr">
        <is>
          <t>12
8.6%</t>
        </is>
      </c>
      <c r="G18" s="80" t="inlineStr">
        <is>
          <t>14
10.0%</t>
        </is>
      </c>
      <c r="H18" s="28">
        <f>'⚙️ DATA'!D9</f>
        <v/>
      </c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O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0" customWidth="1" min="14" max="14"/>
    <col width="16" customWidth="1" min="15" max="15"/>
  </cols>
  <sheetData>
    <row r="1" ht="30" customHeight="1">
      <c r="A1" s="82" t="inlineStr">
        <is>
          <t>EX-04  BRAND TIER REACH — Revenue, Stores &amp; Pincode Depth (→ ⚙️ DATA Block E)</t>
        </is>
      </c>
    </row>
    <row r="2" ht="18" customHeight="1">
      <c r="A2" s="2" t="inlineStr">
        <is>
          <t>Ranked by FY26 revenue. Metro+T1 depth vs T2+T3+T4 breadth. Multi-tier compounder quadrant.</t>
        </is>
      </c>
    </row>
    <row r="4" ht="24" customHeight="1">
      <c r="A4" s="16" t="inlineStr">
        <is>
          <t>#</t>
        </is>
      </c>
      <c r="B4" s="16" t="inlineStr">
        <is>
          <t>Brand</t>
        </is>
      </c>
      <c r="C4" s="16" t="inlineStr">
        <is>
          <t>Segment</t>
        </is>
      </c>
      <c r="D4" s="16" t="inlineStr">
        <is>
          <t>Rev FY26</t>
        </is>
      </c>
      <c r="E4" s="16" t="inlineStr">
        <is>
          <t>Rev FY25</t>
        </is>
      </c>
      <c r="F4" s="16" t="inlineStr">
        <is>
          <t>Stores</t>
        </is>
      </c>
      <c r="G4" s="16" t="inlineStr">
        <is>
          <t>Rev/Store</t>
        </is>
      </c>
      <c r="H4" s="16" t="inlineStr">
        <is>
          <t>Add FY26</t>
        </is>
      </c>
      <c r="I4" s="16" t="inlineStr">
        <is>
          <t>Metro Pins</t>
        </is>
      </c>
      <c r="J4" s="16" t="inlineStr">
        <is>
          <t>T1</t>
        </is>
      </c>
      <c r="K4" s="16" t="inlineStr">
        <is>
          <t>T2</t>
        </is>
      </c>
      <c r="L4" s="16" t="inlineStr">
        <is>
          <t>T3</t>
        </is>
      </c>
      <c r="M4" s="16" t="inlineStr">
        <is>
          <t>T4</t>
        </is>
      </c>
      <c r="N4" s="16" t="inlineStr">
        <is>
          <t>T2+T3+T4</t>
        </is>
      </c>
      <c r="O4" s="16" t="inlineStr">
        <is>
          <t>Quadrant</t>
        </is>
      </c>
    </row>
    <row r="5" ht="16" customHeight="1">
      <c r="A5" s="18" t="n">
        <v>1</v>
      </c>
      <c r="B5" s="83" t="inlineStr">
        <is>
          <t>Reliance Trends</t>
        </is>
      </c>
      <c r="C5" s="84" t="inlineStr">
        <is>
          <t>Value Fashion</t>
        </is>
      </c>
      <c r="D5" s="21" t="n">
        <v>21200</v>
      </c>
      <c r="E5" s="21" t="inlineStr">
        <is>
          <t>—</t>
        </is>
      </c>
      <c r="F5" s="19" t="inlineStr">
        <is>
          <t>—</t>
        </is>
      </c>
      <c r="G5" s="32" t="n">
        <v>10</v>
      </c>
      <c r="H5" s="19" t="n">
        <v>22526</v>
      </c>
      <c r="I5" s="19" t="n">
        <v>192</v>
      </c>
      <c r="J5" s="19" t="n">
        <v>281</v>
      </c>
      <c r="K5" s="19" t="n">
        <v>704</v>
      </c>
      <c r="L5" s="19" t="n">
        <v>532</v>
      </c>
      <c r="M5" s="19" t="n">
        <v>58</v>
      </c>
      <c r="N5" s="85" t="n">
        <v>1294</v>
      </c>
      <c r="O5" s="86" t="inlineStr">
        <is>
          <t>Multi-Tier Leader</t>
        </is>
      </c>
    </row>
    <row r="6" ht="16" customHeight="1">
      <c r="A6" s="25" t="n">
        <v>2</v>
      </c>
      <c r="B6" s="87" t="inlineStr">
        <is>
          <t>Zudio</t>
        </is>
      </c>
      <c r="C6" s="88" t="inlineStr">
        <is>
          <t>Value Fashion</t>
        </is>
      </c>
      <c r="D6" s="28" t="n">
        <v>11768.9</v>
      </c>
      <c r="E6" s="28" t="n">
        <v>7597.7</v>
      </c>
      <c r="F6" s="26" t="n">
        <v>3141</v>
      </c>
      <c r="G6" s="29" t="inlineStr">
        <is>
          <t>—</t>
        </is>
      </c>
      <c r="H6" s="26" t="n">
        <v>0</v>
      </c>
      <c r="I6" s="26" t="n">
        <v>217</v>
      </c>
      <c r="J6" s="26" t="n">
        <v>181</v>
      </c>
      <c r="K6" s="26" t="n">
        <v>225</v>
      </c>
      <c r="L6" s="26" t="n">
        <v>132</v>
      </c>
      <c r="M6" s="26" t="n">
        <v>21</v>
      </c>
      <c r="N6" s="85" t="n">
        <v>378</v>
      </c>
      <c r="O6" s="86" t="inlineStr">
        <is>
          <t>Multi-Tier Leader</t>
        </is>
      </c>
    </row>
    <row r="7" ht="16" customHeight="1">
      <c r="A7" s="18" t="n">
        <v>3</v>
      </c>
      <c r="B7" s="83" t="inlineStr">
        <is>
          <t>Westside</t>
        </is>
      </c>
      <c r="C7" s="89" t="inlineStr">
        <is>
          <t>Multi/Lifestyle</t>
        </is>
      </c>
      <c r="D7" s="21" t="n">
        <v>11768.9</v>
      </c>
      <c r="E7" s="21" t="n">
        <v>7597.7</v>
      </c>
      <c r="F7" s="19" t="n">
        <v>3141</v>
      </c>
      <c r="G7" s="32" t="inlineStr">
        <is>
          <t>—</t>
        </is>
      </c>
      <c r="H7" s="19" t="n">
        <v>0</v>
      </c>
      <c r="I7" s="19" t="n">
        <v>9</v>
      </c>
      <c r="J7" s="19" t="n">
        <v>0</v>
      </c>
      <c r="K7" s="19" t="n">
        <v>1</v>
      </c>
      <c r="L7" s="19" t="n">
        <v>236</v>
      </c>
      <c r="M7" s="19" t="n">
        <v>0</v>
      </c>
      <c r="N7" s="85" t="n">
        <v>237</v>
      </c>
      <c r="O7" s="90" t="inlineStr">
        <is>
          <t>Tier Pioneer</t>
        </is>
      </c>
    </row>
    <row r="8" ht="16" customHeight="1">
      <c r="A8" s="25" t="n">
        <v>4</v>
      </c>
      <c r="B8" s="87" t="inlineStr">
        <is>
          <t>Reliance Smart Bazaar</t>
        </is>
      </c>
      <c r="C8" s="91" t="inlineStr">
        <is>
          <t>Multi/Lifestyle</t>
        </is>
      </c>
      <c r="D8" s="28" t="n">
        <v>11143</v>
      </c>
      <c r="E8" s="28" t="inlineStr">
        <is>
          <t>—</t>
        </is>
      </c>
      <c r="F8" s="26" t="inlineStr">
        <is>
          <t>—</t>
        </is>
      </c>
      <c r="G8" s="29" t="n">
        <v>11</v>
      </c>
      <c r="H8" s="26" t="n">
        <v>0</v>
      </c>
      <c r="I8" s="26" t="n">
        <v>141</v>
      </c>
      <c r="J8" s="26" t="n">
        <v>151</v>
      </c>
      <c r="K8" s="26" t="n">
        <v>313</v>
      </c>
      <c r="L8" s="26" t="n">
        <v>274</v>
      </c>
      <c r="M8" s="26" t="n">
        <v>31</v>
      </c>
      <c r="N8" s="85" t="n">
        <v>618</v>
      </c>
      <c r="O8" s="86" t="inlineStr">
        <is>
          <t>Multi-Tier Leader</t>
        </is>
      </c>
    </row>
    <row r="9" ht="16" customHeight="1">
      <c r="A9" s="18" t="n">
        <v>5</v>
      </c>
      <c r="B9" s="83" t="inlineStr">
        <is>
          <t>Lifestyle</t>
        </is>
      </c>
      <c r="C9" s="89" t="inlineStr">
        <is>
          <t>Multi/Lifestyle</t>
        </is>
      </c>
      <c r="D9" s="21" t="n">
        <v>11083</v>
      </c>
      <c r="E9" s="21" t="n">
        <v>11573</v>
      </c>
      <c r="F9" s="19" t="n">
        <v>9133</v>
      </c>
      <c r="G9" s="32" t="inlineStr">
        <is>
          <t>—</t>
        </is>
      </c>
      <c r="H9" s="19" t="n">
        <v>0</v>
      </c>
      <c r="I9" s="19" t="n">
        <v>47</v>
      </c>
      <c r="J9" s="19" t="n">
        <v>40</v>
      </c>
      <c r="K9" s="19" t="n">
        <v>29</v>
      </c>
      <c r="L9" s="19" t="n">
        <v>4</v>
      </c>
      <c r="M9" s="19" t="n">
        <v>2</v>
      </c>
      <c r="N9" s="19" t="n">
        <v>35</v>
      </c>
      <c r="O9" s="92" t="inlineStr">
        <is>
          <t>Metro Fortress</t>
        </is>
      </c>
    </row>
    <row r="10" ht="16" customHeight="1">
      <c r="A10" s="25" t="n">
        <v>6</v>
      </c>
      <c r="B10" s="87" t="inlineStr">
        <is>
          <t>Westside</t>
        </is>
      </c>
      <c r="C10" s="91" t="inlineStr">
        <is>
          <t>Multi/Lifestyle</t>
        </is>
      </c>
      <c r="D10" s="28" t="n">
        <v>8376</v>
      </c>
      <c r="E10" s="28" t="n">
        <v>6882</v>
      </c>
      <c r="F10" s="26" t="n">
        <v>300</v>
      </c>
      <c r="G10" s="29" t="n">
        <v>27.92</v>
      </c>
      <c r="H10" s="26" t="n">
        <v>52</v>
      </c>
      <c r="I10" s="26" t="n">
        <v>9</v>
      </c>
      <c r="J10" s="26" t="n">
        <v>0</v>
      </c>
      <c r="K10" s="26" t="n">
        <v>1</v>
      </c>
      <c r="L10" s="26" t="n">
        <v>236</v>
      </c>
      <c r="M10" s="26" t="n">
        <v>0</v>
      </c>
      <c r="N10" s="85" t="n">
        <v>237</v>
      </c>
      <c r="O10" s="90" t="inlineStr">
        <is>
          <t>Tier Pioneer</t>
        </is>
      </c>
    </row>
    <row r="11" ht="16" customHeight="1">
      <c r="A11" s="18" t="n">
        <v>7</v>
      </c>
      <c r="B11" s="83" t="inlineStr">
        <is>
          <t>Zudio</t>
        </is>
      </c>
      <c r="C11" s="84" t="inlineStr">
        <is>
          <t>Value Fashion</t>
        </is>
      </c>
      <c r="D11" s="21" t="n">
        <v>8148</v>
      </c>
      <c r="E11" s="21" t="n">
        <v>6432</v>
      </c>
      <c r="F11" s="19" t="n">
        <v>963</v>
      </c>
      <c r="G11" s="32" t="n">
        <v>8.460000000000001</v>
      </c>
      <c r="H11" s="19" t="n">
        <v>198</v>
      </c>
      <c r="I11" s="19" t="n">
        <v>217</v>
      </c>
      <c r="J11" s="19" t="n">
        <v>181</v>
      </c>
      <c r="K11" s="19" t="n">
        <v>225</v>
      </c>
      <c r="L11" s="19" t="n">
        <v>132</v>
      </c>
      <c r="M11" s="19" t="n">
        <v>21</v>
      </c>
      <c r="N11" s="85" t="n">
        <v>378</v>
      </c>
      <c r="O11" s="86" t="inlineStr">
        <is>
          <t>Multi-Tier Leader</t>
        </is>
      </c>
    </row>
    <row r="12" ht="16" customHeight="1">
      <c r="A12" s="25" t="n">
        <v>8</v>
      </c>
      <c r="B12" s="87" t="inlineStr">
        <is>
          <t>Arvind</t>
        </is>
      </c>
      <c r="C12" s="93" t="inlineStr">
        <is>
          <t>Premium Menswear</t>
        </is>
      </c>
      <c r="D12" s="28" t="n">
        <v>6836.7</v>
      </c>
      <c r="E12" s="28" t="n">
        <v>7464.2</v>
      </c>
      <c r="F12" s="26" t="n">
        <v>6412</v>
      </c>
      <c r="G12" s="29" t="inlineStr">
        <is>
          <t>—</t>
        </is>
      </c>
      <c r="H12" s="26" t="n">
        <v>0</v>
      </c>
      <c r="I12" s="26" t="n">
        <v>28</v>
      </c>
      <c r="J12" s="26" t="n">
        <v>52</v>
      </c>
      <c r="K12" s="26" t="n">
        <v>47</v>
      </c>
      <c r="L12" s="26" t="n">
        <v>37</v>
      </c>
      <c r="M12" s="26" t="n">
        <v>9</v>
      </c>
      <c r="N12" s="26" t="n">
        <v>93</v>
      </c>
      <c r="O12" s="92" t="inlineStr">
        <is>
          <t>Metro Fortress</t>
        </is>
      </c>
    </row>
    <row r="13" ht="16" customHeight="1">
      <c r="A13" s="18" t="n">
        <v>9</v>
      </c>
      <c r="B13" s="83" t="inlineStr">
        <is>
          <t>Peter England</t>
        </is>
      </c>
      <c r="C13" s="89" t="inlineStr">
        <is>
          <t>nan</t>
        </is>
      </c>
      <c r="D13" s="21" t="n">
        <v>6345.3</v>
      </c>
      <c r="E13" s="21" t="n">
        <v>12352.8</v>
      </c>
      <c r="F13" s="19" t="n">
        <v>8721</v>
      </c>
      <c r="G13" s="32" t="inlineStr">
        <is>
          <t>—</t>
        </is>
      </c>
      <c r="H13" s="19" t="n">
        <v>0</v>
      </c>
      <c r="I13" s="19" t="n">
        <v>0</v>
      </c>
      <c r="J13" s="19" t="n">
        <v>0</v>
      </c>
      <c r="K13" s="19" t="n">
        <v>0</v>
      </c>
      <c r="L13" s="19" t="n">
        <v>0</v>
      </c>
      <c r="M13" s="19" t="n">
        <v>0</v>
      </c>
      <c r="N13" s="19" t="n">
        <v>0</v>
      </c>
      <c r="O13" s="94" t="inlineStr">
        <is>
          <t>Emerging</t>
        </is>
      </c>
    </row>
    <row r="14" ht="16" customHeight="1">
      <c r="A14" s="25" t="n">
        <v>10</v>
      </c>
      <c r="B14" s="87" t="inlineStr">
        <is>
          <t>Pantaloons</t>
        </is>
      </c>
      <c r="C14" s="91" t="inlineStr">
        <is>
          <t>Multi/Lifestyle</t>
        </is>
      </c>
      <c r="D14" s="28" t="n">
        <v>6345.3</v>
      </c>
      <c r="E14" s="28" t="n">
        <v>12352.8</v>
      </c>
      <c r="F14" s="26" t="n">
        <v>8721</v>
      </c>
      <c r="G14" s="29" t="inlineStr">
        <is>
          <t>—</t>
        </is>
      </c>
      <c r="H14" s="26" t="n">
        <v>0</v>
      </c>
      <c r="I14" s="26" t="n">
        <v>100</v>
      </c>
      <c r="J14" s="26" t="n">
        <v>84</v>
      </c>
      <c r="K14" s="26" t="n">
        <v>104</v>
      </c>
      <c r="L14" s="26" t="n">
        <v>70</v>
      </c>
      <c r="M14" s="26" t="n">
        <v>12</v>
      </c>
      <c r="N14" s="26" t="n">
        <v>186</v>
      </c>
      <c r="O14" s="86" t="inlineStr">
        <is>
          <t>Multi-Tier Leader</t>
        </is>
      </c>
    </row>
    <row r="15" ht="16" customHeight="1">
      <c r="A15" s="18" t="n">
        <v>11</v>
      </c>
      <c r="B15" s="83" t="inlineStr">
        <is>
          <t>Vishal Mega Mart</t>
        </is>
      </c>
      <c r="C15" s="84" t="inlineStr">
        <is>
          <t>Value Fashion</t>
        </is>
      </c>
      <c r="D15" s="21" t="n">
        <v>5419.4</v>
      </c>
      <c r="E15" s="21" t="n">
        <v>4499.8</v>
      </c>
      <c r="F15" s="19" t="n">
        <v>795</v>
      </c>
      <c r="G15" s="32" t="n">
        <v>6.82</v>
      </c>
      <c r="H15" s="19" t="n">
        <v>99</v>
      </c>
      <c r="I15" s="19" t="n">
        <v>102</v>
      </c>
      <c r="J15" s="19" t="n">
        <v>118</v>
      </c>
      <c r="K15" s="19" t="n">
        <v>260</v>
      </c>
      <c r="L15" s="19" t="n">
        <v>223</v>
      </c>
      <c r="M15" s="19" t="n">
        <v>35</v>
      </c>
      <c r="N15" s="85" t="n">
        <v>518</v>
      </c>
      <c r="O15" s="86" t="inlineStr">
        <is>
          <t>Multi-Tier Leader</t>
        </is>
      </c>
    </row>
    <row r="16" ht="16" customHeight="1">
      <c r="A16" s="25" t="n">
        <v>12</v>
      </c>
      <c r="B16" s="87" t="inlineStr">
        <is>
          <t>Max</t>
        </is>
      </c>
      <c r="C16" s="88" t="inlineStr">
        <is>
          <t>Value Fashion</t>
        </is>
      </c>
      <c r="D16" s="28" t="n">
        <v>5007</v>
      </c>
      <c r="E16" s="28" t="n">
        <v>4316.3</v>
      </c>
      <c r="F16" s="26" t="inlineStr">
        <is>
          <t>—</t>
        </is>
      </c>
      <c r="G16" s="29" t="n">
        <v>9.800000000000001</v>
      </c>
      <c r="H16" s="26" t="n">
        <v>0</v>
      </c>
      <c r="I16" s="26" t="n">
        <v>102</v>
      </c>
      <c r="J16" s="26" t="n">
        <v>120</v>
      </c>
      <c r="K16" s="26" t="n">
        <v>148</v>
      </c>
      <c r="L16" s="26" t="n">
        <v>66</v>
      </c>
      <c r="M16" s="26" t="n">
        <v>12</v>
      </c>
      <c r="N16" s="85" t="n">
        <v>226</v>
      </c>
      <c r="O16" s="86" t="inlineStr">
        <is>
          <t>Multi-Tier Leader</t>
        </is>
      </c>
    </row>
    <row r="17" ht="16" customHeight="1">
      <c r="A17" s="18" t="n">
        <v>13</v>
      </c>
      <c r="B17" s="83" t="inlineStr">
        <is>
          <t>Allen Solly</t>
        </is>
      </c>
      <c r="C17" s="95" t="inlineStr">
        <is>
          <t>Premium Menswear</t>
        </is>
      </c>
      <c r="D17" s="21" t="n">
        <v>4740</v>
      </c>
      <c r="E17" s="21" t="n">
        <v>8854</v>
      </c>
      <c r="F17" s="19" t="inlineStr">
        <is>
          <t>—</t>
        </is>
      </c>
      <c r="G17" s="32" t="inlineStr">
        <is>
          <t>—</t>
        </is>
      </c>
      <c r="H17" s="19" t="n">
        <v>0</v>
      </c>
      <c r="I17" s="19" t="n">
        <v>93</v>
      </c>
      <c r="J17" s="19" t="n">
        <v>83</v>
      </c>
      <c r="K17" s="19" t="n">
        <v>113</v>
      </c>
      <c r="L17" s="19" t="n">
        <v>47</v>
      </c>
      <c r="M17" s="19" t="n">
        <v>2</v>
      </c>
      <c r="N17" s="19" t="n">
        <v>162</v>
      </c>
      <c r="O17" s="86" t="inlineStr">
        <is>
          <t>Multi-Tier Leader</t>
        </is>
      </c>
    </row>
    <row r="18" ht="16" customHeight="1">
      <c r="A18" s="25" t="n">
        <v>14</v>
      </c>
      <c r="B18" s="87" t="inlineStr">
        <is>
          <t>Jockey.in</t>
        </is>
      </c>
      <c r="C18" s="91" t="inlineStr">
        <is>
          <t>nan</t>
        </is>
      </c>
      <c r="D18" s="28" t="n">
        <v>4547.1</v>
      </c>
      <c r="E18" s="28" t="n">
        <v>4678.3</v>
      </c>
      <c r="F18" s="26" t="n">
        <v>2893</v>
      </c>
      <c r="G18" s="29" t="inlineStr">
        <is>
          <t>—</t>
        </is>
      </c>
      <c r="H18" s="26" t="n">
        <v>0</v>
      </c>
      <c r="I18" s="26" t="n">
        <v>0</v>
      </c>
      <c r="J18" s="26" t="n">
        <v>0</v>
      </c>
      <c r="K18" s="26" t="n">
        <v>0</v>
      </c>
      <c r="L18" s="26" t="n">
        <v>0</v>
      </c>
      <c r="M18" s="26" t="n">
        <v>0</v>
      </c>
      <c r="N18" s="26" t="n">
        <v>0</v>
      </c>
      <c r="O18" s="94" t="inlineStr">
        <is>
          <t>Emerging</t>
        </is>
      </c>
    </row>
    <row r="19" ht="16" customHeight="1">
      <c r="A19" s="18" t="n">
        <v>15</v>
      </c>
      <c r="B19" s="83" t="inlineStr">
        <is>
          <t>Pantaloons</t>
        </is>
      </c>
      <c r="C19" s="89" t="inlineStr">
        <is>
          <t>Multi/Lifestyle</t>
        </is>
      </c>
      <c r="D19" s="21" t="n">
        <v>4247</v>
      </c>
      <c r="E19" s="21" t="n">
        <v>4196</v>
      </c>
      <c r="F19" s="19" t="n">
        <v>399</v>
      </c>
      <c r="G19" s="32" t="n">
        <v>10.64</v>
      </c>
      <c r="H19" s="19" t="n">
        <v>0</v>
      </c>
      <c r="I19" s="19" t="n">
        <v>100</v>
      </c>
      <c r="J19" s="19" t="n">
        <v>84</v>
      </c>
      <c r="K19" s="19" t="n">
        <v>104</v>
      </c>
      <c r="L19" s="19" t="n">
        <v>70</v>
      </c>
      <c r="M19" s="19" t="n">
        <v>12</v>
      </c>
      <c r="N19" s="19" t="n">
        <v>186</v>
      </c>
      <c r="O19" s="86" t="inlineStr">
        <is>
          <t>Multi-Tier Leader</t>
        </is>
      </c>
    </row>
    <row r="20" ht="16" customHeight="1">
      <c r="A20" s="25" t="n">
        <v>16</v>
      </c>
      <c r="B20" s="87" t="inlineStr">
        <is>
          <t>DECATHLON SPORTS INDIA PRIVATE LIMITED</t>
        </is>
      </c>
      <c r="C20" s="91" t="inlineStr">
        <is>
          <t>nan</t>
        </is>
      </c>
      <c r="D20" s="28" t="n">
        <v>3985.6</v>
      </c>
      <c r="E20" s="28" t="n">
        <v>3894.4</v>
      </c>
      <c r="F20" s="26" t="n">
        <v>2207</v>
      </c>
      <c r="G20" s="29" t="inlineStr">
        <is>
          <t>—</t>
        </is>
      </c>
      <c r="H20" s="26" t="n">
        <v>0</v>
      </c>
      <c r="I20" s="26" t="n">
        <v>0</v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  <c r="O20" s="94" t="inlineStr">
        <is>
          <t>Emerging</t>
        </is>
      </c>
    </row>
    <row r="21" ht="16" customHeight="1">
      <c r="A21" s="18" t="n">
        <v>17</v>
      </c>
      <c r="B21" s="83" t="inlineStr">
        <is>
          <t>Lifestyle</t>
        </is>
      </c>
      <c r="C21" s="89" t="inlineStr">
        <is>
          <t>Multi/Lifestyle</t>
        </is>
      </c>
      <c r="D21" s="21" t="n">
        <v>3958.5</v>
      </c>
      <c r="E21" s="21" t="n">
        <v>3773.6</v>
      </c>
      <c r="F21" s="19" t="inlineStr">
        <is>
          <t>—</t>
        </is>
      </c>
      <c r="G21" s="32" t="n">
        <v>30.22</v>
      </c>
      <c r="H21" s="19" t="n">
        <v>0</v>
      </c>
      <c r="I21" s="19" t="n">
        <v>47</v>
      </c>
      <c r="J21" s="19" t="n">
        <v>40</v>
      </c>
      <c r="K21" s="19" t="n">
        <v>29</v>
      </c>
      <c r="L21" s="19" t="n">
        <v>4</v>
      </c>
      <c r="M21" s="19" t="n">
        <v>2</v>
      </c>
      <c r="N21" s="19" t="n">
        <v>35</v>
      </c>
      <c r="O21" s="92" t="inlineStr">
        <is>
          <t>Metro Fortress</t>
        </is>
      </c>
    </row>
    <row r="22" ht="16" customHeight="1">
      <c r="A22" s="25" t="n">
        <v>18</v>
      </c>
      <c r="B22" s="87" t="inlineStr">
        <is>
          <t>Shoppers Stop</t>
        </is>
      </c>
      <c r="C22" s="91" t="inlineStr">
        <is>
          <t>nan</t>
        </is>
      </c>
      <c r="D22" s="28" t="n">
        <v>3937.9</v>
      </c>
      <c r="E22" s="28" t="n">
        <v>3705.1</v>
      </c>
      <c r="F22" s="26" t="n">
        <v>3105</v>
      </c>
      <c r="G22" s="29" t="inlineStr">
        <is>
          <t>—</t>
        </is>
      </c>
      <c r="H22" s="26" t="n">
        <v>0</v>
      </c>
      <c r="I22" s="26" t="n">
        <v>0</v>
      </c>
      <c r="J22" s="26" t="n">
        <v>0</v>
      </c>
      <c r="K22" s="26" t="n">
        <v>0</v>
      </c>
      <c r="L22" s="26" t="n">
        <v>0</v>
      </c>
      <c r="M22" s="26" t="n">
        <v>0</v>
      </c>
      <c r="N22" s="26" t="n">
        <v>0</v>
      </c>
      <c r="O22" s="94" t="inlineStr">
        <is>
          <t>Emerging</t>
        </is>
      </c>
    </row>
    <row r="23" ht="16" customHeight="1">
      <c r="A23" s="18" t="n">
        <v>19</v>
      </c>
      <c r="B23" s="83" t="inlineStr">
        <is>
          <t>H &amp; M HENNES &amp; MAURITZ INDIA PRIVATE LIMITED</t>
        </is>
      </c>
      <c r="C23" s="89" t="inlineStr">
        <is>
          <t>nan</t>
        </is>
      </c>
      <c r="D23" s="21" t="n">
        <v>3277.2</v>
      </c>
      <c r="E23" s="21" t="n">
        <v>2941.1</v>
      </c>
      <c r="F23" s="19" t="inlineStr">
        <is>
          <t>—</t>
        </is>
      </c>
      <c r="G23" s="32" t="inlineStr">
        <is>
          <t>—</t>
        </is>
      </c>
      <c r="H23" s="19" t="n">
        <v>0</v>
      </c>
      <c r="I23" s="19" t="n">
        <v>0</v>
      </c>
      <c r="J23" s="19" t="n">
        <v>0</v>
      </c>
      <c r="K23" s="19" t="n">
        <v>0</v>
      </c>
      <c r="L23" s="19" t="n">
        <v>0</v>
      </c>
      <c r="M23" s="19" t="n">
        <v>0</v>
      </c>
      <c r="N23" s="19" t="n">
        <v>0</v>
      </c>
      <c r="O23" s="94" t="inlineStr">
        <is>
          <t>Emerging</t>
        </is>
      </c>
    </row>
    <row r="24" ht="16" customHeight="1">
      <c r="A24" s="25" t="n">
        <v>20</v>
      </c>
      <c r="B24" s="87" t="inlineStr">
        <is>
          <t>V2</t>
        </is>
      </c>
      <c r="C24" s="88" t="inlineStr">
        <is>
          <t>Value Fashion</t>
        </is>
      </c>
      <c r="D24" s="28" t="n">
        <v>3067.1</v>
      </c>
      <c r="E24" s="28" t="n">
        <v>1884.5</v>
      </c>
      <c r="F24" s="26" t="n">
        <v>325</v>
      </c>
      <c r="G24" s="29" t="n">
        <v>9.44</v>
      </c>
      <c r="H24" s="26" t="n">
        <v>136</v>
      </c>
      <c r="I24" s="26" t="n">
        <v>24</v>
      </c>
      <c r="J24" s="26" t="n">
        <v>50</v>
      </c>
      <c r="K24" s="26" t="n">
        <v>93</v>
      </c>
      <c r="L24" s="26" t="n">
        <v>119</v>
      </c>
      <c r="M24" s="26" t="n">
        <v>22</v>
      </c>
      <c r="N24" s="85" t="n">
        <v>234</v>
      </c>
      <c r="O24" s="90" t="inlineStr">
        <is>
          <t>Tier Pioneer</t>
        </is>
      </c>
    </row>
    <row r="25" ht="16" customHeight="1">
      <c r="A25" s="18" t="n">
        <v>21</v>
      </c>
      <c r="B25" s="83" t="inlineStr">
        <is>
          <t>H&amp;M</t>
        </is>
      </c>
      <c r="C25" s="89" t="inlineStr">
        <is>
          <t>Multi/Lifestyle</t>
        </is>
      </c>
      <c r="D25" s="21" t="n">
        <v>2940.5</v>
      </c>
      <c r="E25" s="21" t="n">
        <v>2803.1</v>
      </c>
      <c r="F25" s="19" t="inlineStr">
        <is>
          <t>—</t>
        </is>
      </c>
      <c r="G25" s="32" t="n">
        <v>39.74</v>
      </c>
      <c r="H25" s="19" t="n">
        <v>0</v>
      </c>
      <c r="I25" s="19" t="n">
        <v>38</v>
      </c>
      <c r="J25" s="19" t="n">
        <v>22</v>
      </c>
      <c r="K25" s="19" t="n">
        <v>10</v>
      </c>
      <c r="L25" s="19" t="n">
        <v>1</v>
      </c>
      <c r="M25" s="19" t="n">
        <v>1</v>
      </c>
      <c r="N25" s="19" t="n">
        <v>12</v>
      </c>
      <c r="O25" s="94" t="inlineStr">
        <is>
          <t>Emerging</t>
        </is>
      </c>
    </row>
    <row r="26" ht="16" customHeight="1">
      <c r="A26" s="25" t="n">
        <v>22</v>
      </c>
      <c r="B26" s="87" t="inlineStr">
        <is>
          <t>Relaxo Footwear</t>
        </is>
      </c>
      <c r="C26" s="91" t="inlineStr">
        <is>
          <t>nan</t>
        </is>
      </c>
      <c r="D26" s="28" t="n">
        <v>2893.6</v>
      </c>
      <c r="E26" s="28" t="n">
        <v>2764.1</v>
      </c>
      <c r="F26" s="26" t="n">
        <v>2392</v>
      </c>
      <c r="G26" s="29" t="inlineStr">
        <is>
          <t>—</t>
        </is>
      </c>
      <c r="H26" s="26" t="n">
        <v>0</v>
      </c>
      <c r="I26" s="26" t="n">
        <v>0</v>
      </c>
      <c r="J26" s="26" t="n">
        <v>0</v>
      </c>
      <c r="K26" s="26" t="n">
        <v>0</v>
      </c>
      <c r="L26" s="26" t="n">
        <v>0</v>
      </c>
      <c r="M26" s="26" t="n">
        <v>0</v>
      </c>
      <c r="N26" s="26" t="n">
        <v>0</v>
      </c>
      <c r="O26" s="94" t="inlineStr">
        <is>
          <t>Emerging</t>
        </is>
      </c>
    </row>
    <row r="27" ht="16" customHeight="1">
      <c r="A27" s="18" t="n">
        <v>23</v>
      </c>
      <c r="B27" s="83" t="inlineStr">
        <is>
          <t>Shoppers Stop</t>
        </is>
      </c>
      <c r="C27" s="89" t="inlineStr">
        <is>
          <t>Multi/Lifestyle</t>
        </is>
      </c>
      <c r="D27" s="21" t="n">
        <v>2714</v>
      </c>
      <c r="E27" s="21" t="n">
        <v>2367.1</v>
      </c>
      <c r="F27" s="19" t="n">
        <v>121</v>
      </c>
      <c r="G27" s="32" t="n">
        <v>22.43</v>
      </c>
      <c r="H27" s="19" t="n">
        <v>9</v>
      </c>
      <c r="I27" s="19" t="n">
        <v>42</v>
      </c>
      <c r="J27" s="19" t="n">
        <v>35</v>
      </c>
      <c r="K27" s="19" t="n">
        <v>30</v>
      </c>
      <c r="L27" s="19" t="n">
        <v>4</v>
      </c>
      <c r="M27" s="19" t="n">
        <v>3</v>
      </c>
      <c r="N27" s="19" t="n">
        <v>37</v>
      </c>
      <c r="O27" s="94" t="inlineStr">
        <is>
          <t>Emerging</t>
        </is>
      </c>
    </row>
    <row r="28" ht="16" customHeight="1">
      <c r="A28" s="25" t="n">
        <v>24</v>
      </c>
      <c r="B28" s="87" t="inlineStr">
        <is>
          <t>V-Mart</t>
        </is>
      </c>
      <c r="C28" s="91" t="inlineStr">
        <is>
          <t>nan</t>
        </is>
      </c>
      <c r="D28" s="28" t="n">
        <v>2711.3</v>
      </c>
      <c r="E28" s="28" t="n">
        <v>2464.8</v>
      </c>
      <c r="F28" s="26" t="n">
        <v>1661</v>
      </c>
      <c r="G28" s="29" t="inlineStr">
        <is>
          <t>—</t>
        </is>
      </c>
      <c r="H28" s="26" t="n">
        <v>0</v>
      </c>
      <c r="I28" s="26" t="n">
        <v>0</v>
      </c>
      <c r="J28" s="26" t="n">
        <v>0</v>
      </c>
      <c r="K28" s="26" t="n">
        <v>0</v>
      </c>
      <c r="L28" s="26" t="n">
        <v>0</v>
      </c>
      <c r="M28" s="26" t="n">
        <v>0</v>
      </c>
      <c r="N28" s="26" t="n">
        <v>0</v>
      </c>
      <c r="O28" s="94" t="inlineStr">
        <is>
          <t>Emerging</t>
        </is>
      </c>
    </row>
    <row r="29" ht="16" customHeight="1">
      <c r="A29" s="18" t="n">
        <v>25</v>
      </c>
      <c r="B29" s="83" t="inlineStr">
        <is>
          <t>V Mart</t>
        </is>
      </c>
      <c r="C29" s="84" t="inlineStr">
        <is>
          <t>Value Fashion</t>
        </is>
      </c>
      <c r="D29" s="21" t="n">
        <v>2531.5</v>
      </c>
      <c r="E29" s="21" t="n">
        <v>2177</v>
      </c>
      <c r="F29" s="19" t="n">
        <v>478</v>
      </c>
      <c r="G29" s="32" t="n">
        <v>5.3</v>
      </c>
      <c r="H29" s="19" t="n">
        <v>66</v>
      </c>
      <c r="I29" s="19" t="n">
        <v>24</v>
      </c>
      <c r="J29" s="19" t="n">
        <v>97</v>
      </c>
      <c r="K29" s="19" t="n">
        <v>144</v>
      </c>
      <c r="L29" s="19" t="n">
        <v>119</v>
      </c>
      <c r="M29" s="19" t="n">
        <v>18</v>
      </c>
      <c r="N29" s="85" t="n">
        <v>281</v>
      </c>
      <c r="O29" s="86" t="inlineStr">
        <is>
          <t>Multi-Tier Leader</t>
        </is>
      </c>
    </row>
    <row r="30" ht="16" customHeight="1">
      <c r="A30" s="25" t="n">
        <v>26</v>
      </c>
      <c r="B30" s="87" t="inlineStr">
        <is>
          <t>Adidas</t>
        </is>
      </c>
      <c r="C30" s="96" t="inlineStr">
        <is>
          <t>Activewear</t>
        </is>
      </c>
      <c r="D30" s="28" t="n">
        <v>2348.7</v>
      </c>
      <c r="E30" s="28" t="n">
        <v>2084.4</v>
      </c>
      <c r="F30" s="26" t="inlineStr">
        <is>
          <t>—</t>
        </is>
      </c>
      <c r="G30" s="29" t="inlineStr">
        <is>
          <t>—</t>
        </is>
      </c>
      <c r="H30" s="26" t="n">
        <v>0</v>
      </c>
      <c r="I30" s="26" t="n">
        <v>110</v>
      </c>
      <c r="J30" s="26" t="n">
        <v>94</v>
      </c>
      <c r="K30" s="26" t="n">
        <v>110</v>
      </c>
      <c r="L30" s="26" t="n">
        <v>52</v>
      </c>
      <c r="M30" s="26" t="n">
        <v>8</v>
      </c>
      <c r="N30" s="26" t="n">
        <v>170</v>
      </c>
      <c r="O30" s="86" t="inlineStr">
        <is>
          <t>Multi-Tier Leader</t>
        </is>
      </c>
    </row>
    <row r="31" ht="16" customHeight="1">
      <c r="A31" s="18" t="n">
        <v>27</v>
      </c>
      <c r="B31" s="83" t="inlineStr">
        <is>
          <t>Metro Brands</t>
        </is>
      </c>
      <c r="C31" s="89" t="inlineStr">
        <is>
          <t>nan</t>
        </is>
      </c>
      <c r="D31" s="21" t="n">
        <v>2304.5</v>
      </c>
      <c r="E31" s="21" t="n">
        <v>2070.5</v>
      </c>
      <c r="F31" s="19" t="n">
        <v>1209</v>
      </c>
      <c r="G31" s="32" t="inlineStr">
        <is>
          <t>—</t>
        </is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94" t="inlineStr">
        <is>
          <t>Emerging</t>
        </is>
      </c>
    </row>
    <row r="32" ht="16" customHeight="1">
      <c r="A32" s="25" t="n">
        <v>28</v>
      </c>
      <c r="B32" s="87" t="inlineStr">
        <is>
          <t>Mochi Shoes</t>
        </is>
      </c>
      <c r="C32" s="91" t="inlineStr">
        <is>
          <t>nan</t>
        </is>
      </c>
      <c r="D32" s="28" t="n">
        <v>2304.5</v>
      </c>
      <c r="E32" s="28" t="n">
        <v>2070.5</v>
      </c>
      <c r="F32" s="26" t="n">
        <v>1209</v>
      </c>
      <c r="G32" s="29" t="inlineStr">
        <is>
          <t>—</t>
        </is>
      </c>
      <c r="H32" s="26" t="n">
        <v>0</v>
      </c>
      <c r="I32" s="26" t="n">
        <v>0</v>
      </c>
      <c r="J32" s="26" t="n">
        <v>0</v>
      </c>
      <c r="K32" s="26" t="n">
        <v>0</v>
      </c>
      <c r="L32" s="26" t="n">
        <v>0</v>
      </c>
      <c r="M32" s="26" t="n">
        <v>0</v>
      </c>
      <c r="N32" s="26" t="n">
        <v>0</v>
      </c>
      <c r="O32" s="94" t="inlineStr">
        <is>
          <t>Emerging</t>
        </is>
      </c>
    </row>
    <row r="33" ht="16" customHeight="1">
      <c r="A33" s="18" t="n">
        <v>29</v>
      </c>
      <c r="B33" s="83" t="inlineStr">
        <is>
          <t>Siyarams</t>
        </is>
      </c>
      <c r="C33" s="97" t="inlineStr">
        <is>
          <t>Mid Menswear</t>
        </is>
      </c>
      <c r="D33" s="21" t="n">
        <v>2158.2</v>
      </c>
      <c r="E33" s="21" t="n">
        <v>1885.5</v>
      </c>
      <c r="F33" s="19" t="inlineStr">
        <is>
          <t>—</t>
        </is>
      </c>
      <c r="G33" s="32" t="n">
        <v>9.34</v>
      </c>
      <c r="H33" s="19" t="n">
        <v>0</v>
      </c>
      <c r="I33" s="19" t="n">
        <v>20</v>
      </c>
      <c r="J33" s="19" t="n">
        <v>37</v>
      </c>
      <c r="K33" s="19" t="n">
        <v>64</v>
      </c>
      <c r="L33" s="19" t="n">
        <v>73</v>
      </c>
      <c r="M33" s="19" t="n">
        <v>20</v>
      </c>
      <c r="N33" s="19" t="n">
        <v>157</v>
      </c>
      <c r="O33" s="90" t="inlineStr">
        <is>
          <t>Tier Pioneer</t>
        </is>
      </c>
    </row>
    <row r="34" ht="16" customHeight="1">
      <c r="A34" s="25" t="n">
        <v>30</v>
      </c>
      <c r="B34" s="87" t="inlineStr">
        <is>
          <t>Zara</t>
        </is>
      </c>
      <c r="C34" s="91" t="inlineStr">
        <is>
          <t>Multi/Lifestyle</t>
        </is>
      </c>
      <c r="D34" s="28" t="n">
        <v>2089.2</v>
      </c>
      <c r="E34" s="28" t="n">
        <v>2114.3</v>
      </c>
      <c r="F34" s="26" t="n">
        <v>25</v>
      </c>
      <c r="G34" s="29" t="n">
        <v>83.56999999999999</v>
      </c>
      <c r="H34" s="26" t="n">
        <v>-1</v>
      </c>
      <c r="I34" s="26" t="n">
        <v>15</v>
      </c>
      <c r="J34" s="26" t="n">
        <v>4</v>
      </c>
      <c r="K34" s="26" t="n">
        <v>0</v>
      </c>
      <c r="L34" s="26" t="n">
        <v>0</v>
      </c>
      <c r="M34" s="26" t="n">
        <v>0</v>
      </c>
      <c r="N34" s="26" t="n">
        <v>0</v>
      </c>
      <c r="O34" s="94" t="inlineStr">
        <is>
          <t>Emerging</t>
        </is>
      </c>
    </row>
    <row r="35" ht="16" customHeight="1">
      <c r="A35" s="18" t="n">
        <v>31</v>
      </c>
      <c r="B35" s="83" t="inlineStr">
        <is>
          <t>Decathlon</t>
        </is>
      </c>
      <c r="C35" s="98" t="inlineStr">
        <is>
          <t>Activewear</t>
        </is>
      </c>
      <c r="D35" s="21" t="n">
        <v>2015.2</v>
      </c>
      <c r="E35" s="21" t="n">
        <v>1643.7</v>
      </c>
      <c r="F35" s="19" t="inlineStr">
        <is>
          <t>—</t>
        </is>
      </c>
      <c r="G35" s="32" t="n">
        <v>15.87</v>
      </c>
      <c r="H35" s="19" t="n">
        <v>0</v>
      </c>
      <c r="I35" s="19" t="n">
        <v>56</v>
      </c>
      <c r="J35" s="19" t="n">
        <v>33</v>
      </c>
      <c r="K35" s="19" t="n">
        <v>31</v>
      </c>
      <c r="L35" s="19" t="n">
        <v>4</v>
      </c>
      <c r="M35" s="19" t="n">
        <v>2</v>
      </c>
      <c r="N35" s="19" t="n">
        <v>37</v>
      </c>
      <c r="O35" s="92" t="inlineStr">
        <is>
          <t>Metro Fortress</t>
        </is>
      </c>
    </row>
    <row r="36" ht="16" customHeight="1">
      <c r="A36" s="25" t="n">
        <v>32</v>
      </c>
      <c r="B36" s="87" t="inlineStr">
        <is>
          <t>Red Tape</t>
        </is>
      </c>
      <c r="C36" s="91" t="inlineStr">
        <is>
          <t>nan</t>
        </is>
      </c>
      <c r="D36" s="28" t="n">
        <v>1831.8</v>
      </c>
      <c r="E36" s="28" t="n">
        <v>1458.7</v>
      </c>
      <c r="F36" s="26" t="inlineStr">
        <is>
          <t>—</t>
        </is>
      </c>
      <c r="G36" s="29" t="inlineStr">
        <is>
          <t>—</t>
        </is>
      </c>
      <c r="H36" s="26" t="n">
        <v>0</v>
      </c>
      <c r="I36" s="26" t="n">
        <v>0</v>
      </c>
      <c r="J36" s="26" t="n">
        <v>0</v>
      </c>
      <c r="K36" s="26" t="n">
        <v>0</v>
      </c>
      <c r="L36" s="26" t="n">
        <v>0</v>
      </c>
      <c r="M36" s="26" t="n">
        <v>0</v>
      </c>
      <c r="N36" s="26" t="n">
        <v>0</v>
      </c>
      <c r="O36" s="94" t="inlineStr">
        <is>
          <t>Emerging</t>
        </is>
      </c>
    </row>
    <row r="37" ht="16" customHeight="1">
      <c r="A37" s="18" t="n">
        <v>33</v>
      </c>
      <c r="B37" s="83" t="inlineStr">
        <is>
          <t>Skechers South Asia Private Limited</t>
        </is>
      </c>
      <c r="C37" s="89" t="inlineStr">
        <is>
          <t>nan</t>
        </is>
      </c>
      <c r="D37" s="21" t="n">
        <v>1745.5</v>
      </c>
      <c r="E37" s="21" t="n">
        <v>1739</v>
      </c>
      <c r="F37" s="19" t="n">
        <v>659</v>
      </c>
      <c r="G37" s="32" t="inlineStr">
        <is>
          <t>—</t>
        </is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0</v>
      </c>
      <c r="O37" s="94" t="inlineStr">
        <is>
          <t>Emerging</t>
        </is>
      </c>
    </row>
    <row r="38" ht="16" customHeight="1">
      <c r="A38" s="25" t="n">
        <v>34</v>
      </c>
      <c r="B38" s="87" t="inlineStr">
        <is>
          <t>Marks and Spencer Reliance India</t>
        </is>
      </c>
      <c r="C38" s="91" t="inlineStr">
        <is>
          <t>nan</t>
        </is>
      </c>
      <c r="D38" s="28" t="n">
        <v>1742.2</v>
      </c>
      <c r="E38" s="28" t="n">
        <v>1660.1</v>
      </c>
      <c r="F38" s="26" t="n">
        <v>1041</v>
      </c>
      <c r="G38" s="29" t="inlineStr">
        <is>
          <t>—</t>
        </is>
      </c>
      <c r="H38" s="26" t="n">
        <v>0</v>
      </c>
      <c r="I38" s="26" t="n">
        <v>0</v>
      </c>
      <c r="J38" s="26" t="n">
        <v>0</v>
      </c>
      <c r="K38" s="26" t="n">
        <v>0</v>
      </c>
      <c r="L38" s="26" t="n">
        <v>0</v>
      </c>
      <c r="M38" s="26" t="n">
        <v>0</v>
      </c>
      <c r="N38" s="26" t="n">
        <v>0</v>
      </c>
      <c r="O38" s="94" t="inlineStr">
        <is>
          <t>Emerging</t>
        </is>
      </c>
    </row>
    <row r="39" ht="16" customHeight="1">
      <c r="A39" s="18" t="n">
        <v>35</v>
      </c>
      <c r="B39" s="83" t="inlineStr">
        <is>
          <t>LEVI STRAUSS (INDIA) PRIVATE LIMITED</t>
        </is>
      </c>
      <c r="C39" s="89" t="inlineStr">
        <is>
          <t>nan</t>
        </is>
      </c>
      <c r="D39" s="21" t="n">
        <v>1668.7</v>
      </c>
      <c r="E39" s="21" t="n">
        <v>1615.1</v>
      </c>
      <c r="F39" s="19" t="inlineStr">
        <is>
          <t>—</t>
        </is>
      </c>
      <c r="G39" s="32" t="inlineStr">
        <is>
          <t>—</t>
        </is>
      </c>
      <c r="H39" s="19" t="n">
        <v>0</v>
      </c>
      <c r="I39" s="19" t="n">
        <v>0</v>
      </c>
      <c r="J39" s="19" t="n">
        <v>0</v>
      </c>
      <c r="K39" s="19" t="n">
        <v>0</v>
      </c>
      <c r="L39" s="19" t="n">
        <v>0</v>
      </c>
      <c r="M39" s="19" t="n">
        <v>0</v>
      </c>
      <c r="N39" s="19" t="n">
        <v>0</v>
      </c>
      <c r="O39" s="94" t="inlineStr">
        <is>
          <t>Emerging</t>
        </is>
      </c>
    </row>
    <row r="40" ht="16" customHeight="1">
      <c r="A40" s="25" t="n">
        <v>36</v>
      </c>
      <c r="B40" s="87" t="inlineStr">
        <is>
          <t>Manyawar</t>
        </is>
      </c>
      <c r="C40" s="99" t="inlineStr">
        <is>
          <t>Women's Ethnic</t>
        </is>
      </c>
      <c r="D40" s="28" t="n">
        <v>1666.7</v>
      </c>
      <c r="E40" s="28" t="n">
        <v>1571.1</v>
      </c>
      <c r="F40" s="26" t="inlineStr">
        <is>
          <t>—</t>
        </is>
      </c>
      <c r="G40" s="29" t="n">
        <v>5.48</v>
      </c>
      <c r="H40" s="26" t="n">
        <v>0</v>
      </c>
      <c r="I40" s="26" t="n">
        <v>77</v>
      </c>
      <c r="J40" s="26" t="n">
        <v>62</v>
      </c>
      <c r="K40" s="26" t="n">
        <v>80</v>
      </c>
      <c r="L40" s="26" t="n">
        <v>45</v>
      </c>
      <c r="M40" s="26" t="n">
        <v>13</v>
      </c>
      <c r="N40" s="26" t="n">
        <v>138</v>
      </c>
      <c r="O40" s="92" t="inlineStr">
        <is>
          <t>Metro Fortress</t>
        </is>
      </c>
    </row>
    <row r="41" ht="16" customHeight="1">
      <c r="A41" s="18" t="n">
        <v>37</v>
      </c>
      <c r="B41" s="83" t="inlineStr">
        <is>
          <t>Puma</t>
        </is>
      </c>
      <c r="C41" s="98" t="inlineStr">
        <is>
          <t>Activewear</t>
        </is>
      </c>
      <c r="D41" s="21" t="n">
        <v>1618.3</v>
      </c>
      <c r="E41" s="21" t="n">
        <v>1320</v>
      </c>
      <c r="F41" s="19" t="inlineStr">
        <is>
          <t>—</t>
        </is>
      </c>
      <c r="G41" s="32" t="n">
        <v>4.05</v>
      </c>
      <c r="H41" s="19" t="n">
        <v>0</v>
      </c>
      <c r="I41" s="19" t="n">
        <v>115</v>
      </c>
      <c r="J41" s="19" t="n">
        <v>89</v>
      </c>
      <c r="K41" s="19" t="n">
        <v>107</v>
      </c>
      <c r="L41" s="19" t="n">
        <v>35</v>
      </c>
      <c r="M41" s="19" t="n">
        <v>12</v>
      </c>
      <c r="N41" s="19" t="n">
        <v>154</v>
      </c>
      <c r="O41" s="86" t="inlineStr">
        <is>
          <t>Multi-Tier Leader</t>
        </is>
      </c>
    </row>
    <row r="42" ht="16" customHeight="1">
      <c r="A42" s="25" t="n">
        <v>38</v>
      </c>
      <c r="B42" s="87" t="inlineStr">
        <is>
          <t>Style Bazaar</t>
        </is>
      </c>
      <c r="C42" s="88" t="inlineStr">
        <is>
          <t>Value Fashion</t>
        </is>
      </c>
      <c r="D42" s="28" t="n">
        <v>1584.2</v>
      </c>
      <c r="E42" s="28" t="n">
        <v>1155.6</v>
      </c>
      <c r="F42" s="26" t="n">
        <v>263</v>
      </c>
      <c r="G42" s="29" t="n">
        <v>6.02</v>
      </c>
      <c r="H42" s="26" t="n">
        <v>49</v>
      </c>
      <c r="I42" s="26" t="n">
        <v>34</v>
      </c>
      <c r="J42" s="26" t="n">
        <v>28</v>
      </c>
      <c r="K42" s="26" t="n">
        <v>62</v>
      </c>
      <c r="L42" s="26" t="n">
        <v>95</v>
      </c>
      <c r="M42" s="26" t="n">
        <v>13</v>
      </c>
      <c r="N42" s="26" t="n">
        <v>170</v>
      </c>
      <c r="O42" s="90" t="inlineStr">
        <is>
          <t>Tier Pioneer</t>
        </is>
      </c>
    </row>
    <row r="43" ht="16" customHeight="1">
      <c r="A43" s="18" t="n">
        <v>39</v>
      </c>
      <c r="B43" s="83" t="inlineStr">
        <is>
          <t xml:space="preserve">Bata </t>
        </is>
      </c>
      <c r="C43" s="100" t="inlineStr">
        <is>
          <t>Footwear</t>
        </is>
      </c>
      <c r="D43" s="21" t="n">
        <v>1550.7</v>
      </c>
      <c r="E43" s="21" t="n">
        <v>1554.7</v>
      </c>
      <c r="F43" s="19" t="n">
        <v>1815</v>
      </c>
      <c r="G43" s="32" t="n">
        <v>0.85</v>
      </c>
      <c r="H43" s="19" t="n">
        <v>3</v>
      </c>
      <c r="I43" s="19" t="n">
        <v>284</v>
      </c>
      <c r="J43" s="19" t="n">
        <v>260</v>
      </c>
      <c r="K43" s="19" t="n">
        <v>384</v>
      </c>
      <c r="L43" s="19" t="n">
        <v>285</v>
      </c>
      <c r="M43" s="19" t="n">
        <v>48</v>
      </c>
      <c r="N43" s="85" t="n">
        <v>717</v>
      </c>
      <c r="O43" s="86" t="inlineStr">
        <is>
          <t>Multi-Tier Leader</t>
        </is>
      </c>
    </row>
    <row r="44" ht="16" customHeight="1">
      <c r="A44" s="25" t="n">
        <v>40</v>
      </c>
      <c r="B44" s="87" t="inlineStr">
        <is>
          <t>RedTape</t>
        </is>
      </c>
      <c r="C44" s="101" t="inlineStr">
        <is>
          <t>Footwear</t>
        </is>
      </c>
      <c r="D44" s="28" t="n">
        <v>1518</v>
      </c>
      <c r="E44" s="28" t="n">
        <v>1264</v>
      </c>
      <c r="F44" s="26" t="n">
        <v>521</v>
      </c>
      <c r="G44" s="29" t="n">
        <v>2.91</v>
      </c>
      <c r="H44" s="26" t="n">
        <v>39</v>
      </c>
      <c r="I44" s="26" t="n">
        <v>82</v>
      </c>
      <c r="J44" s="26" t="n">
        <v>68</v>
      </c>
      <c r="K44" s="26" t="n">
        <v>150</v>
      </c>
      <c r="L44" s="26" t="n">
        <v>117</v>
      </c>
      <c r="M44" s="26" t="n">
        <v>25</v>
      </c>
      <c r="N44" s="85" t="n">
        <v>292</v>
      </c>
      <c r="O44" s="86" t="inlineStr">
        <is>
          <t>Multi-Tier Leader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E185D"/>
    <outlinePr summaryBelow="1" summaryRight="1"/>
    <pageSetUpPr/>
  </sheetPr>
  <dimension ref="A1:J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30" customHeight="1">
      <c r="A1" s="102" t="inlineStr">
        <is>
          <t>EX-05  SEGMENT DEEP DIVE — Stores, Revenue &amp; Moat by Tier (Revenue-Validated)</t>
        </is>
      </c>
    </row>
    <row r="3" ht="22" customHeight="1">
      <c r="A3" s="103" t="inlineStr">
        <is>
          <t>Value Fashion  —  🏆 Most Democratised</t>
        </is>
      </c>
    </row>
    <row r="4" ht="22" customHeight="1">
      <c r="A4" s="16" t="inlineStr">
        <is>
          <t>Tier</t>
        </is>
      </c>
      <c r="B4" s="16" t="inlineStr">
        <is>
          <t>Stores</t>
        </is>
      </c>
      <c r="C4" s="16" t="inlineStr">
        <is>
          <t>St%</t>
        </is>
      </c>
      <c r="D4" s="16" t="inlineStr">
        <is>
          <t>Revenue</t>
        </is>
      </c>
      <c r="E4" s="16" t="inlineStr">
        <is>
          <t>Rev%</t>
        </is>
      </c>
      <c r="F4" s="16" t="inlineStr">
        <is>
          <t>Rev/Store</t>
        </is>
      </c>
      <c r="G4" s="16" t="inlineStr">
        <is>
          <t>Moat Pins</t>
        </is>
      </c>
      <c r="H4" s="16" t="inlineStr">
        <is>
          <t>Moat%</t>
        </is>
      </c>
      <c r="I4" s="16" t="inlineStr">
        <is>
          <t>Active Pins</t>
        </is>
      </c>
      <c r="J4" s="16" t="inlineStr">
        <is>
          <t>Coverage%</t>
        </is>
      </c>
    </row>
    <row r="5" ht="17" customHeight="1">
      <c r="A5" s="17" t="inlineStr">
        <is>
          <t>Metro</t>
        </is>
      </c>
      <c r="B5" s="19" t="n">
        <v>1234</v>
      </c>
      <c r="C5" s="18" t="inlineStr">
        <is>
          <t>17.9%</t>
        </is>
      </c>
      <c r="D5" s="21" t="n">
        <v>6379.8</v>
      </c>
      <c r="E5" s="18" t="inlineStr">
        <is>
          <t>15.0%</t>
        </is>
      </c>
      <c r="F5" s="32" t="n">
        <v>5.17</v>
      </c>
      <c r="G5" s="85" t="n">
        <v>173</v>
      </c>
      <c r="H5" s="18" t="inlineStr">
        <is>
          <t>41.4%</t>
        </is>
      </c>
      <c r="I5" s="19" t="n">
        <v>418</v>
      </c>
      <c r="J5" s="18" t="inlineStr">
        <is>
          <t>68.4%</t>
        </is>
      </c>
    </row>
    <row r="6" ht="17" customHeight="1">
      <c r="A6" s="24" t="inlineStr">
        <is>
          <t>T1</t>
        </is>
      </c>
      <c r="B6" s="26" t="n">
        <v>1403</v>
      </c>
      <c r="C6" s="25" t="inlineStr">
        <is>
          <t>20.3%</t>
        </is>
      </c>
      <c r="D6" s="28" t="n">
        <v>7930.6</v>
      </c>
      <c r="E6" s="25" t="inlineStr">
        <is>
          <t>18.6%</t>
        </is>
      </c>
      <c r="F6" s="29" t="n">
        <v>5.65</v>
      </c>
      <c r="G6" s="85" t="n">
        <v>218</v>
      </c>
      <c r="H6" s="25" t="inlineStr">
        <is>
          <t>44.3%</t>
        </is>
      </c>
      <c r="I6" s="26" t="n">
        <v>492</v>
      </c>
      <c r="J6" s="25" t="inlineStr">
        <is>
          <t>72.5%</t>
        </is>
      </c>
    </row>
    <row r="7" ht="17" customHeight="1">
      <c r="A7" s="31" t="inlineStr">
        <is>
          <t>T2</t>
        </is>
      </c>
      <c r="B7" s="19" t="n">
        <v>2269</v>
      </c>
      <c r="C7" s="104" t="inlineStr">
        <is>
          <t>32.9%</t>
        </is>
      </c>
      <c r="D7" s="21" t="n">
        <v>14804.8</v>
      </c>
      <c r="E7" s="18" t="inlineStr">
        <is>
          <t>34.8%</t>
        </is>
      </c>
      <c r="F7" s="32" t="n">
        <v>6.52</v>
      </c>
      <c r="G7" s="85" t="n">
        <v>626</v>
      </c>
      <c r="H7" s="18" t="inlineStr">
        <is>
          <t>59.0%</t>
        </is>
      </c>
      <c r="I7" s="19" t="n">
        <v>1061</v>
      </c>
      <c r="J7" s="18" t="inlineStr">
        <is>
          <t>74.2%</t>
        </is>
      </c>
    </row>
    <row r="8" ht="17" customHeight="1">
      <c r="A8" s="33" t="inlineStr">
        <is>
          <t>T3</t>
        </is>
      </c>
      <c r="B8" s="26" t="n">
        <v>1751</v>
      </c>
      <c r="C8" s="25" t="inlineStr">
        <is>
          <t>25.4%</t>
        </is>
      </c>
      <c r="D8" s="28" t="n">
        <v>11833.9</v>
      </c>
      <c r="E8" s="25" t="inlineStr">
        <is>
          <t>27.8%</t>
        </is>
      </c>
      <c r="F8" s="29" t="n">
        <v>6.76</v>
      </c>
      <c r="G8" s="85" t="n">
        <v>446</v>
      </c>
      <c r="H8" s="25" t="inlineStr">
        <is>
          <t>55.5%</t>
        </is>
      </c>
      <c r="I8" s="26" t="n">
        <v>803</v>
      </c>
      <c r="J8" s="25" t="inlineStr">
        <is>
          <t>62.5%</t>
        </is>
      </c>
    </row>
    <row r="9" ht="17" customHeight="1">
      <c r="A9" s="35" t="inlineStr">
        <is>
          <t>T4</t>
        </is>
      </c>
      <c r="B9" s="19" t="n">
        <v>250</v>
      </c>
      <c r="C9" s="18" t="inlineStr">
        <is>
          <t>3.6%</t>
        </is>
      </c>
      <c r="D9" s="21" t="n">
        <v>1596.2</v>
      </c>
      <c r="E9" s="18" t="inlineStr">
        <is>
          <t>3.8%</t>
        </is>
      </c>
      <c r="F9" s="32" t="n">
        <v>6.38</v>
      </c>
      <c r="G9" s="19" t="n">
        <v>51</v>
      </c>
      <c r="H9" s="18" t="inlineStr">
        <is>
          <t>48.6%</t>
        </is>
      </c>
      <c r="I9" s="19" t="n">
        <v>105</v>
      </c>
      <c r="J9" s="18" t="inlineStr">
        <is>
          <t>75.0%</t>
        </is>
      </c>
    </row>
    <row r="10" ht="18" customHeight="1">
      <c r="A10" s="105" t="inlineStr">
        <is>
          <t>→  Sole segment where T3 share&gt;Metro. ₹42,546 Cr. Infra brand.</t>
        </is>
      </c>
    </row>
    <row r="12" ht="22" customHeight="1">
      <c r="A12" s="106" t="inlineStr">
        <is>
          <t>Premium Menswear  —  ⚠️ Metro Captive</t>
        </is>
      </c>
    </row>
    <row r="13" ht="22" customHeight="1">
      <c r="A13" s="16" t="inlineStr">
        <is>
          <t>Tier</t>
        </is>
      </c>
      <c r="B13" s="16" t="inlineStr">
        <is>
          <t>Stores</t>
        </is>
      </c>
      <c r="C13" s="16" t="inlineStr">
        <is>
          <t>St%</t>
        </is>
      </c>
      <c r="D13" s="16" t="inlineStr">
        <is>
          <t>Revenue</t>
        </is>
      </c>
      <c r="E13" s="16" t="inlineStr">
        <is>
          <t>Rev%</t>
        </is>
      </c>
      <c r="F13" s="16" t="inlineStr">
        <is>
          <t>Rev/Store</t>
        </is>
      </c>
      <c r="G13" s="16" t="inlineStr">
        <is>
          <t>Moat Pins</t>
        </is>
      </c>
      <c r="H13" s="16" t="inlineStr">
        <is>
          <t>Moat%</t>
        </is>
      </c>
      <c r="I13" s="16" t="inlineStr">
        <is>
          <t>Active Pins</t>
        </is>
      </c>
      <c r="J13" s="16" t="inlineStr">
        <is>
          <t>Coverage%</t>
        </is>
      </c>
    </row>
    <row r="14" ht="17" customHeight="1">
      <c r="A14" s="17" t="inlineStr">
        <is>
          <t>Metro</t>
        </is>
      </c>
      <c r="B14" s="26" t="n">
        <v>1867</v>
      </c>
      <c r="C14" s="25" t="inlineStr">
        <is>
          <t>28.8%</t>
        </is>
      </c>
      <c r="D14" s="28" t="n">
        <v>2324</v>
      </c>
      <c r="E14" s="25" t="inlineStr">
        <is>
          <t>33.2%</t>
        </is>
      </c>
      <c r="F14" s="29" t="n">
        <v>1.24</v>
      </c>
      <c r="G14" s="85" t="n">
        <v>109</v>
      </c>
      <c r="H14" s="25" t="inlineStr">
        <is>
          <t>36.0%</t>
        </is>
      </c>
      <c r="I14" s="26" t="n">
        <v>303</v>
      </c>
      <c r="J14" s="25" t="inlineStr">
        <is>
          <t>49.6%</t>
        </is>
      </c>
    </row>
    <row r="15" ht="17" customHeight="1">
      <c r="A15" s="24" t="inlineStr">
        <is>
          <t>T1</t>
        </is>
      </c>
      <c r="B15" s="19" t="n">
        <v>1672</v>
      </c>
      <c r="C15" s="18" t="inlineStr">
        <is>
          <t>25.8%</t>
        </is>
      </c>
      <c r="D15" s="21" t="n">
        <v>1873.3</v>
      </c>
      <c r="E15" s="18" t="inlineStr">
        <is>
          <t>26.8%</t>
        </is>
      </c>
      <c r="F15" s="32" t="n">
        <v>1.12</v>
      </c>
      <c r="G15" s="85" t="n">
        <v>123</v>
      </c>
      <c r="H15" s="18" t="inlineStr">
        <is>
          <t>42.1%</t>
        </is>
      </c>
      <c r="I15" s="19" t="n">
        <v>292</v>
      </c>
      <c r="J15" s="18" t="inlineStr">
        <is>
          <t>43.0%</t>
        </is>
      </c>
    </row>
    <row r="16" ht="17" customHeight="1">
      <c r="A16" s="31" t="inlineStr">
        <is>
          <t>T2</t>
        </is>
      </c>
      <c r="B16" s="26" t="n">
        <v>1946</v>
      </c>
      <c r="C16" s="104" t="inlineStr">
        <is>
          <t>30.1%</t>
        </is>
      </c>
      <c r="D16" s="28" t="n">
        <v>1949</v>
      </c>
      <c r="E16" s="25" t="inlineStr">
        <is>
          <t>27.8%</t>
        </is>
      </c>
      <c r="F16" s="29" t="n">
        <v>1</v>
      </c>
      <c r="G16" s="85" t="n">
        <v>208</v>
      </c>
      <c r="H16" s="25" t="inlineStr">
        <is>
          <t>43.3%</t>
        </is>
      </c>
      <c r="I16" s="26" t="n">
        <v>480</v>
      </c>
      <c r="J16" s="25" t="inlineStr">
        <is>
          <t>33.6%</t>
        </is>
      </c>
    </row>
    <row r="17" ht="17" customHeight="1">
      <c r="A17" s="33" t="inlineStr">
        <is>
          <t>T3</t>
        </is>
      </c>
      <c r="B17" s="19" t="n">
        <v>837</v>
      </c>
      <c r="C17" s="18" t="inlineStr">
        <is>
          <t>12.9%</t>
        </is>
      </c>
      <c r="D17" s="21" t="n">
        <v>691.2</v>
      </c>
      <c r="E17" s="18" t="inlineStr">
        <is>
          <t>9.9%</t>
        </is>
      </c>
      <c r="F17" s="32" t="n">
        <v>0.83</v>
      </c>
      <c r="G17" s="85" t="n">
        <v>176</v>
      </c>
      <c r="H17" s="18" t="inlineStr">
        <is>
          <t>52.2%</t>
        </is>
      </c>
      <c r="I17" s="19" t="n">
        <v>337</v>
      </c>
      <c r="J17" s="18" t="inlineStr">
        <is>
          <t>26.2%</t>
        </is>
      </c>
    </row>
    <row r="18" ht="17" customHeight="1">
      <c r="A18" s="35" t="inlineStr">
        <is>
          <t>T4</t>
        </is>
      </c>
      <c r="B18" s="26" t="n">
        <v>153</v>
      </c>
      <c r="C18" s="25" t="inlineStr">
        <is>
          <t>2.4%</t>
        </is>
      </c>
      <c r="D18" s="28" t="n">
        <v>161.5</v>
      </c>
      <c r="E18" s="25" t="inlineStr">
        <is>
          <t>2.3%</t>
        </is>
      </c>
      <c r="F18" s="29" t="n">
        <v>1.06</v>
      </c>
      <c r="G18" s="26" t="n">
        <v>14</v>
      </c>
      <c r="H18" s="25" t="inlineStr">
        <is>
          <t>34.1%</t>
        </is>
      </c>
      <c r="I18" s="26" t="n">
        <v>41</v>
      </c>
      <c r="J18" s="25" t="inlineStr">
        <is>
          <t>29.3%</t>
        </is>
      </c>
    </row>
    <row r="19" ht="18" customHeight="1">
      <c r="A19" s="107" t="inlineStr">
        <is>
          <t>→  28.8% Metro, 12.9% T3. ₹2,324 Cr Metro. Heavy sat. risk.</t>
        </is>
      </c>
    </row>
    <row r="21" ht="22" customHeight="1">
      <c r="A21" s="103" t="inlineStr">
        <is>
          <t>Mid Menswear  —  📈 T3 Rising</t>
        </is>
      </c>
    </row>
    <row r="22" ht="22" customHeight="1">
      <c r="A22" s="16" t="inlineStr">
        <is>
          <t>Tier</t>
        </is>
      </c>
      <c r="B22" s="16" t="inlineStr">
        <is>
          <t>Stores</t>
        </is>
      </c>
      <c r="C22" s="16" t="inlineStr">
        <is>
          <t>St%</t>
        </is>
      </c>
      <c r="D22" s="16" t="inlineStr">
        <is>
          <t>Revenue</t>
        </is>
      </c>
      <c r="E22" s="16" t="inlineStr">
        <is>
          <t>Rev%</t>
        </is>
      </c>
      <c r="F22" s="16" t="inlineStr">
        <is>
          <t>Rev/Store</t>
        </is>
      </c>
      <c r="G22" s="16" t="inlineStr">
        <is>
          <t>Moat Pins</t>
        </is>
      </c>
      <c r="H22" s="16" t="inlineStr">
        <is>
          <t>Moat%</t>
        </is>
      </c>
      <c r="I22" s="16" t="inlineStr">
        <is>
          <t>Active Pins</t>
        </is>
      </c>
      <c r="J22" s="16" t="inlineStr">
        <is>
          <t>Coverage%</t>
        </is>
      </c>
    </row>
    <row r="23" ht="17" customHeight="1">
      <c r="A23" s="17" t="inlineStr">
        <is>
          <t>Metro</t>
        </is>
      </c>
      <c r="B23" s="19" t="n">
        <v>835</v>
      </c>
      <c r="C23" s="18" t="inlineStr">
        <is>
          <t>19.9%</t>
        </is>
      </c>
      <c r="D23" s="21" t="n">
        <v>598.4</v>
      </c>
      <c r="E23" s="18" t="inlineStr">
        <is>
          <t>15.0%</t>
        </is>
      </c>
      <c r="F23" s="32" t="n">
        <v>0.72</v>
      </c>
      <c r="G23" s="85" t="n">
        <v>125</v>
      </c>
      <c r="H23" s="18" t="inlineStr">
        <is>
          <t>46.5%</t>
        </is>
      </c>
      <c r="I23" s="19" t="n">
        <v>269</v>
      </c>
      <c r="J23" s="18" t="inlineStr">
        <is>
          <t>44.0%</t>
        </is>
      </c>
    </row>
    <row r="24" ht="17" customHeight="1">
      <c r="A24" s="24" t="inlineStr">
        <is>
          <t>T1</t>
        </is>
      </c>
      <c r="B24" s="26" t="n">
        <v>867</v>
      </c>
      <c r="C24" s="25" t="inlineStr">
        <is>
          <t>20.7%</t>
        </is>
      </c>
      <c r="D24" s="28" t="n">
        <v>756.1</v>
      </c>
      <c r="E24" s="25" t="inlineStr">
        <is>
          <t>19.0%</t>
        </is>
      </c>
      <c r="F24" s="29" t="n">
        <v>0.87</v>
      </c>
      <c r="G24" s="85" t="n">
        <v>122</v>
      </c>
      <c r="H24" s="25" t="inlineStr">
        <is>
          <t>46.2%</t>
        </is>
      </c>
      <c r="I24" s="26" t="n">
        <v>264</v>
      </c>
      <c r="J24" s="25" t="inlineStr">
        <is>
          <t>38.9%</t>
        </is>
      </c>
    </row>
    <row r="25" ht="17" customHeight="1">
      <c r="A25" s="31" t="inlineStr">
        <is>
          <t>T2</t>
        </is>
      </c>
      <c r="B25" s="19" t="n">
        <v>1337</v>
      </c>
      <c r="C25" s="104" t="inlineStr">
        <is>
          <t>31.8%</t>
        </is>
      </c>
      <c r="D25" s="21" t="n">
        <v>1185.1</v>
      </c>
      <c r="E25" s="18" t="inlineStr">
        <is>
          <t>29.7%</t>
        </is>
      </c>
      <c r="F25" s="32" t="n">
        <v>0.89</v>
      </c>
      <c r="G25" s="85" t="n">
        <v>224</v>
      </c>
      <c r="H25" s="18" t="inlineStr">
        <is>
          <t>49.3%</t>
        </is>
      </c>
      <c r="I25" s="19" t="n">
        <v>454</v>
      </c>
      <c r="J25" s="18" t="inlineStr">
        <is>
          <t>31.8%</t>
        </is>
      </c>
    </row>
    <row r="26" ht="17" customHeight="1">
      <c r="A26" s="33" t="inlineStr">
        <is>
          <t>T3</t>
        </is>
      </c>
      <c r="B26" s="26" t="n">
        <v>981</v>
      </c>
      <c r="C26" s="25" t="inlineStr">
        <is>
          <t>23.4%</t>
        </is>
      </c>
      <c r="D26" s="28" t="n">
        <v>1155.1</v>
      </c>
      <c r="E26" s="25" t="inlineStr">
        <is>
          <t>29.0%</t>
        </is>
      </c>
      <c r="F26" s="29" t="n">
        <v>1.18</v>
      </c>
      <c r="G26" s="85" t="n">
        <v>205</v>
      </c>
      <c r="H26" s="25" t="inlineStr">
        <is>
          <t>50.9%</t>
        </is>
      </c>
      <c r="I26" s="26" t="n">
        <v>403</v>
      </c>
      <c r="J26" s="25" t="inlineStr">
        <is>
          <t>31.4%</t>
        </is>
      </c>
    </row>
    <row r="27" ht="17" customHeight="1">
      <c r="A27" s="35" t="inlineStr">
        <is>
          <t>T4</t>
        </is>
      </c>
      <c r="B27" s="19" t="n">
        <v>178</v>
      </c>
      <c r="C27" s="18" t="inlineStr">
        <is>
          <t>4.2%</t>
        </is>
      </c>
      <c r="D27" s="21" t="n">
        <v>290.9</v>
      </c>
      <c r="E27" s="18" t="inlineStr">
        <is>
          <t>7.3%</t>
        </is>
      </c>
      <c r="F27" s="32" t="n">
        <v>1.63</v>
      </c>
      <c r="G27" s="19" t="n">
        <v>28</v>
      </c>
      <c r="H27" s="18" t="inlineStr">
        <is>
          <t>45.2%</t>
        </is>
      </c>
      <c r="I27" s="19" t="n">
        <v>62</v>
      </c>
      <c r="J27" s="18" t="inlineStr">
        <is>
          <t>44.3%</t>
        </is>
      </c>
    </row>
    <row r="28" ht="18" customHeight="1">
      <c r="A28" s="105" t="inlineStr">
        <is>
          <t>→  T3 revenue ₹1,155 Cr — strong given store count.</t>
        </is>
      </c>
    </row>
    <row r="30" ht="22" customHeight="1">
      <c r="A30" s="108" t="inlineStr">
        <is>
          <t>Footwear  —  ⚖️ Balanced</t>
        </is>
      </c>
    </row>
    <row r="31" ht="22" customHeight="1">
      <c r="A31" s="16" t="inlineStr">
        <is>
          <t>Tier</t>
        </is>
      </c>
      <c r="B31" s="16" t="inlineStr">
        <is>
          <t>Stores</t>
        </is>
      </c>
      <c r="C31" s="16" t="inlineStr">
        <is>
          <t>St%</t>
        </is>
      </c>
      <c r="D31" s="16" t="inlineStr">
        <is>
          <t>Revenue</t>
        </is>
      </c>
      <c r="E31" s="16" t="inlineStr">
        <is>
          <t>Rev%</t>
        </is>
      </c>
      <c r="F31" s="16" t="inlineStr">
        <is>
          <t>Rev/Store</t>
        </is>
      </c>
      <c r="G31" s="16" t="inlineStr">
        <is>
          <t>Moat Pins</t>
        </is>
      </c>
      <c r="H31" s="16" t="inlineStr">
        <is>
          <t>Moat%</t>
        </is>
      </c>
      <c r="I31" s="16" t="inlineStr">
        <is>
          <t>Active Pins</t>
        </is>
      </c>
      <c r="J31" s="16" t="inlineStr">
        <is>
          <t>Coverage%</t>
        </is>
      </c>
    </row>
    <row r="32" ht="17" customHeight="1">
      <c r="A32" s="17" t="inlineStr">
        <is>
          <t>Metro</t>
        </is>
      </c>
      <c r="B32" s="26" t="n">
        <v>1400</v>
      </c>
      <c r="C32" s="25" t="inlineStr">
        <is>
          <t>26.6%</t>
        </is>
      </c>
      <c r="D32" s="28" t="n">
        <v>2446.3</v>
      </c>
      <c r="E32" s="25" t="inlineStr">
        <is>
          <t>27.5%</t>
        </is>
      </c>
      <c r="F32" s="29" t="n">
        <v>1.75</v>
      </c>
      <c r="G32" s="85" t="n">
        <v>142</v>
      </c>
      <c r="H32" s="25" t="inlineStr">
        <is>
          <t>36.3%</t>
        </is>
      </c>
      <c r="I32" s="26" t="n">
        <v>391</v>
      </c>
      <c r="J32" s="25" t="inlineStr">
        <is>
          <t>64.0%</t>
        </is>
      </c>
    </row>
    <row r="33" ht="17" customHeight="1">
      <c r="A33" s="24" t="inlineStr">
        <is>
          <t>T1</t>
        </is>
      </c>
      <c r="B33" s="19" t="n">
        <v>1171</v>
      </c>
      <c r="C33" s="18" t="inlineStr">
        <is>
          <t>22.3%</t>
        </is>
      </c>
      <c r="D33" s="21" t="n">
        <v>1985</v>
      </c>
      <c r="E33" s="18" t="inlineStr">
        <is>
          <t>22.3%</t>
        </is>
      </c>
      <c r="F33" s="32" t="n">
        <v>1.7</v>
      </c>
      <c r="G33" s="85" t="n">
        <v>170</v>
      </c>
      <c r="H33" s="18" t="inlineStr">
        <is>
          <t>46.7%</t>
        </is>
      </c>
      <c r="I33" s="19" t="n">
        <v>364</v>
      </c>
      <c r="J33" s="18" t="inlineStr">
        <is>
          <t>53.6%</t>
        </is>
      </c>
    </row>
    <row r="34" ht="17" customHeight="1">
      <c r="A34" s="31" t="inlineStr">
        <is>
          <t>T2</t>
        </is>
      </c>
      <c r="B34" s="26" t="n">
        <v>1563</v>
      </c>
      <c r="C34" s="25" t="inlineStr">
        <is>
          <t>29.7%</t>
        </is>
      </c>
      <c r="D34" s="28" t="n">
        <v>2706.9</v>
      </c>
      <c r="E34" s="25" t="inlineStr">
        <is>
          <t>30.5%</t>
        </is>
      </c>
      <c r="F34" s="29" t="n">
        <v>1.73</v>
      </c>
      <c r="G34" s="85" t="n">
        <v>322</v>
      </c>
      <c r="H34" s="25" t="inlineStr">
        <is>
          <t>55.2%</t>
        </is>
      </c>
      <c r="I34" s="26" t="n">
        <v>583</v>
      </c>
      <c r="J34" s="25" t="inlineStr">
        <is>
          <t>40.8%</t>
        </is>
      </c>
    </row>
    <row r="35" ht="17" customHeight="1">
      <c r="A35" s="33" t="inlineStr">
        <is>
          <t>T3</t>
        </is>
      </c>
      <c r="B35" s="19" t="n">
        <v>945</v>
      </c>
      <c r="C35" s="18" t="inlineStr">
        <is>
          <t>18.0%</t>
        </is>
      </c>
      <c r="D35" s="21" t="n">
        <v>1439.1</v>
      </c>
      <c r="E35" s="18" t="inlineStr">
        <is>
          <t>16.2%</t>
        </is>
      </c>
      <c r="F35" s="32" t="n">
        <v>1.52</v>
      </c>
      <c r="G35" s="85" t="n">
        <v>237</v>
      </c>
      <c r="H35" s="18" t="inlineStr">
        <is>
          <t>55.6%</t>
        </is>
      </c>
      <c r="I35" s="19" t="n">
        <v>426</v>
      </c>
      <c r="J35" s="18" t="inlineStr">
        <is>
          <t>33.2%</t>
        </is>
      </c>
    </row>
    <row r="36" ht="17" customHeight="1">
      <c r="A36" s="35" t="inlineStr">
        <is>
          <t>T4</t>
        </is>
      </c>
      <c r="B36" s="26" t="n">
        <v>180</v>
      </c>
      <c r="C36" s="25" t="inlineStr">
        <is>
          <t>3.4%</t>
        </is>
      </c>
      <c r="D36" s="28" t="n">
        <v>310.3</v>
      </c>
      <c r="E36" s="25" t="inlineStr">
        <is>
          <t>3.5%</t>
        </is>
      </c>
      <c r="F36" s="29" t="n">
        <v>1.72</v>
      </c>
      <c r="G36" s="26" t="n">
        <v>41</v>
      </c>
      <c r="H36" s="25" t="inlineStr">
        <is>
          <t>57.7%</t>
        </is>
      </c>
      <c r="I36" s="26" t="n">
        <v>71</v>
      </c>
      <c r="J36" s="25" t="inlineStr">
        <is>
          <t>50.7%</t>
        </is>
      </c>
    </row>
    <row r="37" ht="18" customHeight="1">
      <c r="A37" s="109" t="inlineStr">
        <is>
          <t>→  Most balanced across tiers. Bata moat 552 pins. National brand.</t>
        </is>
      </c>
    </row>
    <row r="39" ht="22" customHeight="1">
      <c r="A39" s="110" t="inlineStr">
        <is>
          <t>Activewear  —  🏙️ Urban Skew</t>
        </is>
      </c>
    </row>
    <row r="40" ht="22" customHeight="1">
      <c r="A40" s="16" t="inlineStr">
        <is>
          <t>Tier</t>
        </is>
      </c>
      <c r="B40" s="16" t="inlineStr">
        <is>
          <t>Stores</t>
        </is>
      </c>
      <c r="C40" s="16" t="inlineStr">
        <is>
          <t>St%</t>
        </is>
      </c>
      <c r="D40" s="16" t="inlineStr">
        <is>
          <t>Revenue</t>
        </is>
      </c>
      <c r="E40" s="16" t="inlineStr">
        <is>
          <t>Rev%</t>
        </is>
      </c>
      <c r="F40" s="16" t="inlineStr">
        <is>
          <t>Rev/Store</t>
        </is>
      </c>
      <c r="G40" s="16" t="inlineStr">
        <is>
          <t>Moat Pins</t>
        </is>
      </c>
      <c r="H40" s="16" t="inlineStr">
        <is>
          <t>Moat%</t>
        </is>
      </c>
      <c r="I40" s="16" t="inlineStr">
        <is>
          <t>Active Pins</t>
        </is>
      </c>
      <c r="J40" s="16" t="inlineStr">
        <is>
          <t>Coverage%</t>
        </is>
      </c>
    </row>
    <row r="41" ht="17" customHeight="1">
      <c r="A41" s="17" t="inlineStr">
        <is>
          <t>Metro</t>
        </is>
      </c>
      <c r="B41" s="19" t="n">
        <v>953</v>
      </c>
      <c r="C41" s="18" t="inlineStr">
        <is>
          <t>28.2%</t>
        </is>
      </c>
      <c r="D41" s="21" t="n">
        <v>1605.5</v>
      </c>
      <c r="E41" s="18" t="inlineStr">
        <is>
          <t>39.8%</t>
        </is>
      </c>
      <c r="F41" s="32" t="n">
        <v>1.68</v>
      </c>
      <c r="G41" s="85" t="n">
        <v>143</v>
      </c>
      <c r="H41" s="18" t="inlineStr">
        <is>
          <t>46.4%</t>
        </is>
      </c>
      <c r="I41" s="19" t="n">
        <v>308</v>
      </c>
      <c r="J41" s="18" t="inlineStr">
        <is>
          <t>50.4%</t>
        </is>
      </c>
    </row>
    <row r="42" ht="17" customHeight="1">
      <c r="A42" s="24" t="inlineStr">
        <is>
          <t>T1</t>
        </is>
      </c>
      <c r="B42" s="26" t="n">
        <v>880</v>
      </c>
      <c r="C42" s="25" t="inlineStr">
        <is>
          <t>26.0%</t>
        </is>
      </c>
      <c r="D42" s="28" t="n">
        <v>1074.6</v>
      </c>
      <c r="E42" s="25" t="inlineStr">
        <is>
          <t>26.6%</t>
        </is>
      </c>
      <c r="F42" s="29" t="n">
        <v>1.22</v>
      </c>
      <c r="G42" s="85" t="n">
        <v>177</v>
      </c>
      <c r="H42" s="25" t="inlineStr">
        <is>
          <t>56.5%</t>
        </is>
      </c>
      <c r="I42" s="26" t="n">
        <v>313</v>
      </c>
      <c r="J42" s="25" t="inlineStr">
        <is>
          <t>46.1%</t>
        </is>
      </c>
    </row>
    <row r="43" ht="17" customHeight="1">
      <c r="A43" s="31" t="inlineStr">
        <is>
          <t>T2</t>
        </is>
      </c>
      <c r="B43" s="19" t="n">
        <v>981</v>
      </c>
      <c r="C43" s="18" t="inlineStr">
        <is>
          <t>29.0%</t>
        </is>
      </c>
      <c r="D43" s="21" t="n">
        <v>961.1</v>
      </c>
      <c r="E43" s="18" t="inlineStr">
        <is>
          <t>23.8%</t>
        </is>
      </c>
      <c r="F43" s="32" t="n">
        <v>0.98</v>
      </c>
      <c r="G43" s="85" t="n">
        <v>290</v>
      </c>
      <c r="H43" s="18" t="inlineStr">
        <is>
          <t>65.3%</t>
        </is>
      </c>
      <c r="I43" s="19" t="n">
        <v>444</v>
      </c>
      <c r="J43" s="18" t="inlineStr">
        <is>
          <t>31.1%</t>
        </is>
      </c>
    </row>
    <row r="44" ht="17" customHeight="1">
      <c r="A44" s="33" t="inlineStr">
        <is>
          <t>T3</t>
        </is>
      </c>
      <c r="B44" s="26" t="n">
        <v>479</v>
      </c>
      <c r="C44" s="25" t="inlineStr">
        <is>
          <t>14.2%</t>
        </is>
      </c>
      <c r="D44" s="28" t="n">
        <v>304.6</v>
      </c>
      <c r="E44" s="25" t="inlineStr">
        <is>
          <t>7.5%</t>
        </is>
      </c>
      <c r="F44" s="29" t="n">
        <v>0.64</v>
      </c>
      <c r="G44" s="85" t="n">
        <v>246</v>
      </c>
      <c r="H44" s="104" t="inlineStr">
        <is>
          <t>78.6%</t>
        </is>
      </c>
      <c r="I44" s="26" t="n">
        <v>313</v>
      </c>
      <c r="J44" s="25" t="inlineStr">
        <is>
          <t>24.4%</t>
        </is>
      </c>
    </row>
    <row r="45" ht="17" customHeight="1">
      <c r="A45" s="35" t="inlineStr">
        <is>
          <t>T4</t>
        </is>
      </c>
      <c r="B45" s="19" t="n">
        <v>92</v>
      </c>
      <c r="C45" s="18" t="inlineStr">
        <is>
          <t>2.7%</t>
        </is>
      </c>
      <c r="D45" s="21" t="n">
        <v>92.59999999999999</v>
      </c>
      <c r="E45" s="18" t="inlineStr">
        <is>
          <t>2.3%</t>
        </is>
      </c>
      <c r="F45" s="32" t="n">
        <v>1.01</v>
      </c>
      <c r="G45" s="19" t="n">
        <v>26</v>
      </c>
      <c r="H45" s="18" t="inlineStr">
        <is>
          <t>59.1%</t>
        </is>
      </c>
      <c r="I45" s="19" t="n">
        <v>44</v>
      </c>
      <c r="J45" s="18" t="inlineStr">
        <is>
          <t>31.4%</t>
        </is>
      </c>
    </row>
    <row r="46" ht="18" customHeight="1">
      <c r="A46" s="111" t="inlineStr">
        <is>
          <t>→  ₹1,606 Cr Metro vs ₹305 Cr T3. Gym-culture urban bias.</t>
        </is>
      </c>
    </row>
    <row r="48" ht="22" customHeight="1">
      <c r="A48" s="106" t="inlineStr">
        <is>
          <t>Women's Ethnic  —  🔴 Metro Fortress</t>
        </is>
      </c>
    </row>
    <row r="49" ht="22" customHeight="1">
      <c r="A49" s="16" t="inlineStr">
        <is>
          <t>Tier</t>
        </is>
      </c>
      <c r="B49" s="16" t="inlineStr">
        <is>
          <t>Stores</t>
        </is>
      </c>
      <c r="C49" s="16" t="inlineStr">
        <is>
          <t>St%</t>
        </is>
      </c>
      <c r="D49" s="16" t="inlineStr">
        <is>
          <t>Revenue</t>
        </is>
      </c>
      <c r="E49" s="16" t="inlineStr">
        <is>
          <t>Rev%</t>
        </is>
      </c>
      <c r="F49" s="16" t="inlineStr">
        <is>
          <t>Rev/Store</t>
        </is>
      </c>
      <c r="G49" s="16" t="inlineStr">
        <is>
          <t>Moat Pins</t>
        </is>
      </c>
      <c r="H49" s="16" t="inlineStr">
        <is>
          <t>Moat%</t>
        </is>
      </c>
      <c r="I49" s="16" t="inlineStr">
        <is>
          <t>Active Pins</t>
        </is>
      </c>
      <c r="J49" s="16" t="inlineStr">
        <is>
          <t>Coverage%</t>
        </is>
      </c>
    </row>
    <row r="50" ht="17" customHeight="1">
      <c r="A50" s="17" t="inlineStr">
        <is>
          <t>Metro</t>
        </is>
      </c>
      <c r="B50" s="26" t="n">
        <v>732</v>
      </c>
      <c r="C50" s="104" t="inlineStr">
        <is>
          <t>35.1%</t>
        </is>
      </c>
      <c r="D50" s="28" t="n">
        <v>759.5</v>
      </c>
      <c r="E50" s="25" t="inlineStr">
        <is>
          <t>30.2%</t>
        </is>
      </c>
      <c r="F50" s="29" t="n">
        <v>1.04</v>
      </c>
      <c r="G50" s="26" t="n">
        <v>74</v>
      </c>
      <c r="H50" s="25" t="inlineStr">
        <is>
          <t>35.6%</t>
        </is>
      </c>
      <c r="I50" s="26" t="n">
        <v>208</v>
      </c>
      <c r="J50" s="25" t="inlineStr">
        <is>
          <t>34.0%</t>
        </is>
      </c>
    </row>
    <row r="51" ht="17" customHeight="1">
      <c r="A51" s="24" t="inlineStr">
        <is>
          <t>T1</t>
        </is>
      </c>
      <c r="B51" s="19" t="n">
        <v>561</v>
      </c>
      <c r="C51" s="18" t="inlineStr">
        <is>
          <t>26.9%</t>
        </is>
      </c>
      <c r="D51" s="21" t="n">
        <v>606.9</v>
      </c>
      <c r="E51" s="18" t="inlineStr">
        <is>
          <t>24.1%</t>
        </is>
      </c>
      <c r="F51" s="32" t="n">
        <v>1.08</v>
      </c>
      <c r="G51" s="19" t="n">
        <v>65</v>
      </c>
      <c r="H51" s="18" t="inlineStr">
        <is>
          <t>39.9%</t>
        </is>
      </c>
      <c r="I51" s="19" t="n">
        <v>163</v>
      </c>
      <c r="J51" s="18" t="inlineStr">
        <is>
          <t>24.0%</t>
        </is>
      </c>
    </row>
    <row r="52" ht="17" customHeight="1">
      <c r="A52" s="31" t="inlineStr">
        <is>
          <t>T2</t>
        </is>
      </c>
      <c r="B52" s="26" t="n">
        <v>546</v>
      </c>
      <c r="C52" s="25" t="inlineStr">
        <is>
          <t>26.2%</t>
        </is>
      </c>
      <c r="D52" s="28" t="n">
        <v>692.4</v>
      </c>
      <c r="E52" s="25" t="inlineStr">
        <is>
          <t>27.5%</t>
        </is>
      </c>
      <c r="F52" s="29" t="n">
        <v>1.27</v>
      </c>
      <c r="G52" s="85" t="n">
        <v>116</v>
      </c>
      <c r="H52" s="25" t="inlineStr">
        <is>
          <t>50.2%</t>
        </is>
      </c>
      <c r="I52" s="26" t="n">
        <v>231</v>
      </c>
      <c r="J52" s="25" t="inlineStr">
        <is>
          <t>16.2%</t>
        </is>
      </c>
    </row>
    <row r="53" ht="17" customHeight="1">
      <c r="A53" s="33" t="inlineStr">
        <is>
          <t>T3</t>
        </is>
      </c>
      <c r="B53" s="19" t="n">
        <v>196</v>
      </c>
      <c r="C53" s="18" t="inlineStr">
        <is>
          <t>9.4%</t>
        </is>
      </c>
      <c r="D53" s="21" t="n">
        <v>340.3</v>
      </c>
      <c r="E53" s="18" t="inlineStr">
        <is>
          <t>13.5%</t>
        </is>
      </c>
      <c r="F53" s="32" t="n">
        <v>1.74</v>
      </c>
      <c r="G53" s="19" t="n">
        <v>64</v>
      </c>
      <c r="H53" s="18" t="inlineStr">
        <is>
          <t>60.4%</t>
        </is>
      </c>
      <c r="I53" s="19" t="n">
        <v>106</v>
      </c>
      <c r="J53" s="18" t="inlineStr">
        <is>
          <t>8.2%</t>
        </is>
      </c>
    </row>
    <row r="54" ht="17" customHeight="1">
      <c r="A54" s="35" t="inlineStr">
        <is>
          <t>T4</t>
        </is>
      </c>
      <c r="B54" s="26" t="n">
        <v>52</v>
      </c>
      <c r="C54" s="25" t="inlineStr">
        <is>
          <t>2.5%</t>
        </is>
      </c>
      <c r="D54" s="28" t="n">
        <v>114.8</v>
      </c>
      <c r="E54" s="25" t="inlineStr">
        <is>
          <t>4.6%</t>
        </is>
      </c>
      <c r="F54" s="29" t="n">
        <v>2.21</v>
      </c>
      <c r="G54" s="26" t="n">
        <v>13</v>
      </c>
      <c r="H54" s="25" t="inlineStr">
        <is>
          <t>54.2%</t>
        </is>
      </c>
      <c r="I54" s="26" t="n">
        <v>24</v>
      </c>
      <c r="J54" s="25" t="inlineStr">
        <is>
          <t>17.1%</t>
        </is>
      </c>
    </row>
    <row r="55" ht="18" customHeight="1">
      <c r="A55" s="107" t="inlineStr">
        <is>
          <t>→  ₹759 Cr Metro, ₹340 Cr T3. Barely organised below T1.</t>
        </is>
      </c>
    </row>
    <row r="57" ht="22" customHeight="1">
      <c r="A57" s="106" t="inlineStr">
        <is>
          <t>Women's Western  —  🚀 Biggest Gap</t>
        </is>
      </c>
    </row>
    <row r="58" ht="22" customHeight="1">
      <c r="A58" s="16" t="inlineStr">
        <is>
          <t>Tier</t>
        </is>
      </c>
      <c r="B58" s="16" t="inlineStr">
        <is>
          <t>Stores</t>
        </is>
      </c>
      <c r="C58" s="16" t="inlineStr">
        <is>
          <t>St%</t>
        </is>
      </c>
      <c r="D58" s="16" t="inlineStr">
        <is>
          <t>Revenue</t>
        </is>
      </c>
      <c r="E58" s="16" t="inlineStr">
        <is>
          <t>Rev%</t>
        </is>
      </c>
      <c r="F58" s="16" t="inlineStr">
        <is>
          <t>Rev/Store</t>
        </is>
      </c>
      <c r="G58" s="16" t="inlineStr">
        <is>
          <t>Moat Pins</t>
        </is>
      </c>
      <c r="H58" s="16" t="inlineStr">
        <is>
          <t>Moat%</t>
        </is>
      </c>
      <c r="I58" s="16" t="inlineStr">
        <is>
          <t>Active Pins</t>
        </is>
      </c>
      <c r="J58" s="16" t="inlineStr">
        <is>
          <t>Coverage%</t>
        </is>
      </c>
    </row>
    <row r="59" ht="17" customHeight="1">
      <c r="A59" s="17" t="inlineStr">
        <is>
          <t>Metro</t>
        </is>
      </c>
      <c r="B59" s="19" t="n">
        <v>467</v>
      </c>
      <c r="C59" s="104" t="inlineStr">
        <is>
          <t>35.2%</t>
        </is>
      </c>
      <c r="D59" s="21" t="n">
        <v>467</v>
      </c>
      <c r="E59" s="18" t="inlineStr">
        <is>
          <t>36.4%</t>
        </is>
      </c>
      <c r="F59" s="32" t="n">
        <v>1</v>
      </c>
      <c r="G59" s="85" t="n">
        <v>161</v>
      </c>
      <c r="H59" s="104" t="inlineStr">
        <is>
          <t>71.6%</t>
        </is>
      </c>
      <c r="I59" s="19" t="n">
        <v>225</v>
      </c>
      <c r="J59" s="18" t="inlineStr">
        <is>
          <t>36.8%</t>
        </is>
      </c>
    </row>
    <row r="60" ht="17" customHeight="1">
      <c r="A60" s="24" t="inlineStr">
        <is>
          <t>T1</t>
        </is>
      </c>
      <c r="B60" s="26" t="n">
        <v>379</v>
      </c>
      <c r="C60" s="25" t="inlineStr">
        <is>
          <t>28.5%</t>
        </is>
      </c>
      <c r="D60" s="28" t="n">
        <v>362.7</v>
      </c>
      <c r="E60" s="25" t="inlineStr">
        <is>
          <t>28.3%</t>
        </is>
      </c>
      <c r="F60" s="29" t="n">
        <v>0.96</v>
      </c>
      <c r="G60" s="85" t="n">
        <v>155</v>
      </c>
      <c r="H60" s="104" t="inlineStr">
        <is>
          <t>80.3%</t>
        </is>
      </c>
      <c r="I60" s="26" t="n">
        <v>193</v>
      </c>
      <c r="J60" s="25" t="inlineStr">
        <is>
          <t>28.4%</t>
        </is>
      </c>
    </row>
    <row r="61" ht="17" customHeight="1">
      <c r="A61" s="31" t="inlineStr">
        <is>
          <t>T2</t>
        </is>
      </c>
      <c r="B61" s="19" t="n">
        <v>329</v>
      </c>
      <c r="C61" s="18" t="inlineStr">
        <is>
          <t>24.8%</t>
        </is>
      </c>
      <c r="D61" s="21" t="n">
        <v>307.1</v>
      </c>
      <c r="E61" s="18" t="inlineStr">
        <is>
          <t>23.9%</t>
        </is>
      </c>
      <c r="F61" s="32" t="n">
        <v>0.93</v>
      </c>
      <c r="G61" s="85" t="n">
        <v>147</v>
      </c>
      <c r="H61" s="104" t="inlineStr">
        <is>
          <t>77.8%</t>
        </is>
      </c>
      <c r="I61" s="19" t="n">
        <v>189</v>
      </c>
      <c r="J61" s="18" t="inlineStr">
        <is>
          <t>13.2%</t>
        </is>
      </c>
    </row>
    <row r="62" ht="17" customHeight="1">
      <c r="A62" s="33" t="inlineStr">
        <is>
          <t>T3</t>
        </is>
      </c>
      <c r="B62" s="26" t="n">
        <v>123</v>
      </c>
      <c r="C62" s="25" t="inlineStr">
        <is>
          <t>9.3%</t>
        </is>
      </c>
      <c r="D62" s="28" t="n">
        <v>114.1</v>
      </c>
      <c r="E62" s="25" t="inlineStr">
        <is>
          <t>8.9%</t>
        </is>
      </c>
      <c r="F62" s="29" t="n">
        <v>0.93</v>
      </c>
      <c r="G62" s="26" t="n">
        <v>82</v>
      </c>
      <c r="H62" s="104" t="inlineStr">
        <is>
          <t>86.3%</t>
        </is>
      </c>
      <c r="I62" s="26" t="n">
        <v>95</v>
      </c>
      <c r="J62" s="25" t="inlineStr">
        <is>
          <t>7.4%</t>
        </is>
      </c>
    </row>
    <row r="63" ht="17" customHeight="1">
      <c r="A63" s="35" t="inlineStr">
        <is>
          <t>T4</t>
        </is>
      </c>
      <c r="B63" s="19" t="n">
        <v>30</v>
      </c>
      <c r="C63" s="18" t="inlineStr">
        <is>
          <t>2.3%</t>
        </is>
      </c>
      <c r="D63" s="21" t="n">
        <v>32.9</v>
      </c>
      <c r="E63" s="18" t="inlineStr">
        <is>
          <t>2.6%</t>
        </is>
      </c>
      <c r="F63" s="32" t="n">
        <v>1.1</v>
      </c>
      <c r="G63" s="19" t="n">
        <v>5</v>
      </c>
      <c r="H63" s="18" t="inlineStr">
        <is>
          <t>38.5%</t>
        </is>
      </c>
      <c r="I63" s="19" t="n">
        <v>13</v>
      </c>
      <c r="J63" s="18" t="inlineStr">
        <is>
          <t>9.3%</t>
        </is>
      </c>
    </row>
    <row r="64" ht="18" customHeight="1">
      <c r="A64" s="107" t="inlineStr">
        <is>
          <t>→  ₹467 Cr Metro vs ₹114 Cr T3. Widest % whitespace.</t>
        </is>
      </c>
    </row>
    <row r="66" ht="22" customHeight="1">
      <c r="A66" s="108" t="inlineStr">
        <is>
          <t>Multi/Lifestyle  —  🏪 Mall-Driven</t>
        </is>
      </c>
    </row>
    <row r="67" ht="22" customHeight="1">
      <c r="A67" s="16" t="inlineStr">
        <is>
          <t>Tier</t>
        </is>
      </c>
      <c r="B67" s="16" t="inlineStr">
        <is>
          <t>Stores</t>
        </is>
      </c>
      <c r="C67" s="16" t="inlineStr">
        <is>
          <t>St%</t>
        </is>
      </c>
      <c r="D67" s="16" t="inlineStr">
        <is>
          <t>Revenue</t>
        </is>
      </c>
      <c r="E67" s="16" t="inlineStr">
        <is>
          <t>Rev%</t>
        </is>
      </c>
      <c r="F67" s="16" t="inlineStr">
        <is>
          <t>Rev/Store</t>
        </is>
      </c>
      <c r="G67" s="16" t="inlineStr">
        <is>
          <t>Moat Pins</t>
        </is>
      </c>
      <c r="H67" s="16" t="inlineStr">
        <is>
          <t>Moat%</t>
        </is>
      </c>
      <c r="I67" s="16" t="inlineStr">
        <is>
          <t>Active Pins</t>
        </is>
      </c>
      <c r="J67" s="16" t="inlineStr">
        <is>
          <t>Coverage%</t>
        </is>
      </c>
    </row>
    <row r="68" ht="17" customHeight="1">
      <c r="A68" s="17" t="inlineStr">
        <is>
          <t>Metro</t>
        </is>
      </c>
      <c r="B68" s="26" t="n">
        <v>514</v>
      </c>
      <c r="C68" s="25" t="inlineStr">
        <is>
          <t>23.6%</t>
        </is>
      </c>
      <c r="D68" s="28" t="n">
        <v>6730</v>
      </c>
      <c r="E68" s="25" t="inlineStr">
        <is>
          <t>33.2%</t>
        </is>
      </c>
      <c r="F68" s="29" t="n">
        <v>13.09</v>
      </c>
      <c r="G68" s="85" t="n">
        <v>141</v>
      </c>
      <c r="H68" s="25" t="inlineStr">
        <is>
          <t>59.0%</t>
        </is>
      </c>
      <c r="I68" s="26" t="n">
        <v>239</v>
      </c>
      <c r="J68" s="25" t="inlineStr">
        <is>
          <t>39.1%</t>
        </is>
      </c>
    </row>
    <row r="69" ht="17" customHeight="1">
      <c r="A69" s="24" t="inlineStr">
        <is>
          <t>T1</t>
        </is>
      </c>
      <c r="B69" s="19" t="n">
        <v>407</v>
      </c>
      <c r="C69" s="18" t="inlineStr">
        <is>
          <t>18.7%</t>
        </is>
      </c>
      <c r="D69" s="21" t="n">
        <v>4450</v>
      </c>
      <c r="E69" s="18" t="inlineStr">
        <is>
          <t>21.9%</t>
        </is>
      </c>
      <c r="F69" s="32" t="n">
        <v>10.93</v>
      </c>
      <c r="G69" s="85" t="n">
        <v>152</v>
      </c>
      <c r="H69" s="18" t="inlineStr">
        <is>
          <t>68.2%</t>
        </is>
      </c>
      <c r="I69" s="19" t="n">
        <v>223</v>
      </c>
      <c r="J69" s="18" t="inlineStr">
        <is>
          <t>32.8%</t>
        </is>
      </c>
    </row>
    <row r="70" ht="17" customHeight="1">
      <c r="A70" s="31" t="inlineStr">
        <is>
          <t>T2</t>
        </is>
      </c>
      <c r="B70" s="26" t="n">
        <v>547</v>
      </c>
      <c r="C70" s="25" t="inlineStr">
        <is>
          <t>25.2%</t>
        </is>
      </c>
      <c r="D70" s="28" t="n">
        <v>5178.9</v>
      </c>
      <c r="E70" s="25" t="inlineStr">
        <is>
          <t>25.5%</t>
        </is>
      </c>
      <c r="F70" s="29" t="n">
        <v>9.470000000000001</v>
      </c>
      <c r="G70" s="85" t="n">
        <v>320</v>
      </c>
      <c r="H70" s="104" t="inlineStr">
        <is>
          <t>82.1%</t>
        </is>
      </c>
      <c r="I70" s="26" t="n">
        <v>390</v>
      </c>
      <c r="J70" s="25" t="inlineStr">
        <is>
          <t>27.3%</t>
        </is>
      </c>
    </row>
    <row r="71" ht="17" customHeight="1">
      <c r="A71" s="33" t="inlineStr">
        <is>
          <t>T3</t>
        </is>
      </c>
      <c r="B71" s="19" t="n">
        <v>651</v>
      </c>
      <c r="C71" s="18" t="inlineStr">
        <is>
          <t>29.9%</t>
        </is>
      </c>
      <c r="D71" s="21" t="n">
        <v>3410.8</v>
      </c>
      <c r="E71" s="18" t="inlineStr">
        <is>
          <t>16.8%</t>
        </is>
      </c>
      <c r="F71" s="32" t="n">
        <v>5.24</v>
      </c>
      <c r="G71" s="85" t="n">
        <v>481</v>
      </c>
      <c r="H71" s="104" t="inlineStr">
        <is>
          <t>90.6%</t>
        </is>
      </c>
      <c r="I71" s="19" t="n">
        <v>531</v>
      </c>
      <c r="J71" s="18" t="inlineStr">
        <is>
          <t>41.3%</t>
        </is>
      </c>
    </row>
    <row r="72" ht="17" customHeight="1">
      <c r="A72" s="35" t="inlineStr">
        <is>
          <t>T4</t>
        </is>
      </c>
      <c r="B72" s="26" t="n">
        <v>55</v>
      </c>
      <c r="C72" s="25" t="inlineStr">
        <is>
          <t>2.5%</t>
        </is>
      </c>
      <c r="D72" s="28" t="n">
        <v>523.1</v>
      </c>
      <c r="E72" s="25" t="inlineStr">
        <is>
          <t>2.6%</t>
        </is>
      </c>
      <c r="F72" s="29" t="n">
        <v>9.51</v>
      </c>
      <c r="G72" s="26" t="n">
        <v>26</v>
      </c>
      <c r="H72" s="104" t="inlineStr">
        <is>
          <t>70.3%</t>
        </is>
      </c>
      <c r="I72" s="26" t="n">
        <v>37</v>
      </c>
      <c r="J72" s="25" t="inlineStr">
        <is>
          <t>26.4%</t>
        </is>
      </c>
    </row>
    <row r="73" ht="18" customHeight="1">
      <c r="A73" s="109" t="inlineStr">
        <is>
          <t>→  ₹6,730 Cr Metro (largest seg). Mall-format dependent.</t>
        </is>
      </c>
    </row>
  </sheetData>
  <mergeCells count="17">
    <mergeCell ref="A1:J1"/>
    <mergeCell ref="A37:J37"/>
    <mergeCell ref="A46:J46"/>
    <mergeCell ref="A3:J3"/>
    <mergeCell ref="A21:J21"/>
    <mergeCell ref="A30:J30"/>
    <mergeCell ref="A39:J39"/>
    <mergeCell ref="A12:J12"/>
    <mergeCell ref="A55:J55"/>
    <mergeCell ref="A48:J48"/>
    <mergeCell ref="A57:J57"/>
    <mergeCell ref="A73:J73"/>
    <mergeCell ref="A64:J64"/>
    <mergeCell ref="A10:J10"/>
    <mergeCell ref="A28:J28"/>
    <mergeCell ref="A19:J19"/>
    <mergeCell ref="A66:J6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5803D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0" customWidth="1" min="4" max="4"/>
    <col width="60" customWidth="1" min="5" max="5"/>
  </cols>
  <sheetData>
    <row r="1" ht="30" customHeight="1">
      <c r="A1" s="112" t="inlineStr">
        <is>
          <t>EX-06  TAM FUNNEL — 19,000 Pincodes → ₹90,546 Cr Organised Revenue</t>
        </is>
      </c>
    </row>
    <row r="2" ht="18" customHeight="1">
      <c r="A2" s="2" t="inlineStr">
        <is>
          <t>79.4% of India's pincodes have zero organised apparel. Revenue model = actual Rev/Store × store count per brand per tier.</t>
        </is>
      </c>
    </row>
    <row r="4" ht="24" customHeight="1">
      <c r="A4" s="16" t="inlineStr">
        <is>
          <t>Category</t>
        </is>
      </c>
      <c r="B4" s="16" t="inlineStr">
        <is>
          <t>Pincodes / Value</t>
        </is>
      </c>
      <c r="C4" s="16" t="inlineStr">
        <is>
          <t>Revenue</t>
        </is>
      </c>
      <c r="D4" s="16" t="inlineStr">
        <is>
          <t>% of 19k</t>
        </is>
      </c>
      <c r="E4" s="16" t="inlineStr">
        <is>
          <t>Context</t>
        </is>
      </c>
    </row>
    <row r="5" ht="20" customHeight="1">
      <c r="A5" s="113" t="inlineStr">
        <is>
          <t>India Serviceable Pincodes</t>
        </is>
      </c>
      <c r="B5" s="114" t="n">
        <v>19000</v>
      </c>
      <c r="C5" s="115" t="inlineStr">
        <is>
          <t>—</t>
        </is>
      </c>
      <c r="D5" s="116" t="inlineStr">
        <is>
          <t>100%</t>
        </is>
      </c>
      <c r="E5" s="117" t="inlineStr">
        <is>
          <t>All addressable retail pincodes in India</t>
        </is>
      </c>
      <c r="F5" s="43" t="n"/>
      <c r="G5" s="43" t="n"/>
      <c r="H5" s="43" t="n"/>
      <c r="I5" s="43" t="n"/>
      <c r="J5" s="44" t="n"/>
    </row>
    <row r="6" ht="20" customHeight="1">
      <c r="A6" s="118" t="inlineStr">
        <is>
          <t xml:space="preserve">  Has Organised Apparel</t>
        </is>
      </c>
      <c r="B6" s="119" t="n">
        <v>3922</v>
      </c>
      <c r="C6" s="33" t="inlineStr">
        <is>
          <t>₹90,546 Cr</t>
        </is>
      </c>
      <c r="D6" s="119" t="inlineStr">
        <is>
          <t>20.6%</t>
        </is>
      </c>
      <c r="E6" s="120" t="inlineStr">
        <is>
          <t>At least 1 branded organised store</t>
        </is>
      </c>
      <c r="F6" s="43" t="n"/>
      <c r="G6" s="43" t="n"/>
      <c r="H6" s="43" t="n"/>
      <c r="I6" s="43" t="n"/>
      <c r="J6" s="44" t="n"/>
    </row>
    <row r="7" ht="20" customHeight="1">
      <c r="A7" s="121" t="inlineStr">
        <is>
          <t xml:space="preserve">    Metro Active</t>
        </is>
      </c>
      <c r="B7" s="122" t="n">
        <v>611</v>
      </c>
      <c r="C7" s="123" t="inlineStr">
        <is>
          <t>₹21,311 Cr</t>
        </is>
      </c>
      <c r="D7" s="122" t="inlineStr">
        <is>
          <t>3.2%</t>
        </is>
      </c>
      <c r="E7" s="124" t="inlineStr">
        <is>
          <t>13.1 stores/pin | ₹34.9 Cr rev/pin</t>
        </is>
      </c>
      <c r="F7" s="43" t="n"/>
      <c r="G7" s="43" t="n"/>
      <c r="H7" s="43" t="n"/>
      <c r="I7" s="43" t="n"/>
      <c r="J7" s="44" t="n"/>
    </row>
    <row r="8" ht="20" customHeight="1">
      <c r="A8" s="125" t="inlineStr">
        <is>
          <t xml:space="preserve">    T1 Active</t>
        </is>
      </c>
      <c r="B8" s="126" t="n">
        <v>679</v>
      </c>
      <c r="C8" s="127" t="inlineStr">
        <is>
          <t>₹19,039 Cr</t>
        </is>
      </c>
      <c r="D8" s="126" t="inlineStr">
        <is>
          <t>3.6%</t>
        </is>
      </c>
      <c r="E8" s="128" t="inlineStr">
        <is>
          <t>10.8 stores/pin | ₹28.0 Cr rev/pin</t>
        </is>
      </c>
      <c r="F8" s="43" t="n"/>
      <c r="G8" s="43" t="n"/>
      <c r="H8" s="43" t="n"/>
      <c r="I8" s="43" t="n"/>
      <c r="J8" s="44" t="n"/>
    </row>
    <row r="9" ht="20" customHeight="1">
      <c r="A9" s="129" t="inlineStr">
        <is>
          <t xml:space="preserve">    T2 Active</t>
        </is>
      </c>
      <c r="B9" s="130" t="n">
        <v>1429</v>
      </c>
      <c r="C9" s="131" t="inlineStr">
        <is>
          <t>₹27,785 Cr</t>
        </is>
      </c>
      <c r="D9" s="130" t="inlineStr">
        <is>
          <t>7.5%</t>
        </is>
      </c>
      <c r="E9" s="132" t="inlineStr">
        <is>
          <t>6.7 SPP — BENCHMARK | ₹19.4 Cr rev/pin</t>
        </is>
      </c>
      <c r="F9" s="43" t="n"/>
      <c r="G9" s="43" t="n"/>
      <c r="H9" s="43" t="n"/>
      <c r="I9" s="43" t="n"/>
      <c r="J9" s="44" t="n"/>
    </row>
    <row r="10" ht="20" customHeight="1">
      <c r="A10" s="118" t="inlineStr">
        <is>
          <t xml:space="preserve">    T3 Active</t>
        </is>
      </c>
      <c r="B10" s="119" t="n">
        <v>1285</v>
      </c>
      <c r="C10" s="33" t="inlineStr">
        <is>
          <t>₹19,289 Cr</t>
        </is>
      </c>
      <c r="D10" s="119" t="inlineStr">
        <is>
          <t>6.8%</t>
        </is>
      </c>
      <c r="E10" s="120" t="inlineStr">
        <is>
          <t>4.6 SPP — WHITESPACE | ₹15.0 Cr rev/pin</t>
        </is>
      </c>
      <c r="F10" s="43" t="n"/>
      <c r="G10" s="43" t="n"/>
      <c r="H10" s="43" t="n"/>
      <c r="I10" s="43" t="n"/>
      <c r="J10" s="44" t="n"/>
    </row>
    <row r="11" ht="20" customHeight="1">
      <c r="A11" s="133" t="inlineStr">
        <is>
          <t xml:space="preserve">    T4 Active</t>
        </is>
      </c>
      <c r="B11" s="134" t="n">
        <v>140</v>
      </c>
      <c r="C11" s="135" t="inlineStr">
        <is>
          <t>₹3,122 Cr</t>
        </is>
      </c>
      <c r="D11" s="134" t="inlineStr">
        <is>
          <t>0.7%</t>
        </is>
      </c>
      <c r="E11" s="136" t="inlineStr">
        <is>
          <t>Micro-markets</t>
        </is>
      </c>
      <c r="F11" s="43" t="n"/>
      <c r="G11" s="43" t="n"/>
      <c r="H11" s="43" t="n"/>
      <c r="I11" s="43" t="n"/>
      <c r="J11" s="44" t="n"/>
    </row>
    <row r="12" ht="20" customHeight="1">
      <c r="A12" s="137" t="inlineStr">
        <is>
          <t xml:space="preserve">  Zero Organised Apparel</t>
        </is>
      </c>
      <c r="B12" s="138" t="n">
        <v>15078</v>
      </c>
      <c r="C12" s="139" t="inlineStr">
        <is>
          <t>—</t>
        </is>
      </c>
      <c r="D12" s="138" t="inlineStr">
        <is>
          <t>79.4%</t>
        </is>
      </c>
      <c r="E12" s="140" t="inlineStr">
        <is>
          <t>Unorganised / untouched — the long-run TAM</t>
        </is>
      </c>
      <c r="F12" s="43" t="n"/>
      <c r="G12" s="43" t="n"/>
      <c r="H12" s="43" t="n"/>
      <c r="I12" s="43" t="n"/>
      <c r="J12" s="44" t="n"/>
    </row>
    <row r="13" ht="8" customHeight="1"/>
    <row r="14" ht="20" customHeight="1">
      <c r="A14" s="113" t="inlineStr">
        <is>
          <t>REVENUE SIZING</t>
        </is>
      </c>
      <c r="B14" s="114" t="inlineStr"/>
      <c r="C14" s="115" t="inlineStr"/>
      <c r="D14" s="116" t="inlineStr"/>
      <c r="E14" s="117" t="inlineStr"/>
      <c r="F14" s="43" t="n"/>
      <c r="G14" s="43" t="n"/>
      <c r="H14" s="43" t="n"/>
      <c r="I14" s="43" t="n"/>
      <c r="J14" s="44" t="n"/>
    </row>
    <row r="15" ht="20" customHeight="1">
      <c r="A15" s="141" t="inlineStr">
        <is>
          <t>Organised Revenue (actual)</t>
        </is>
      </c>
      <c r="B15" s="62" t="inlineStr">
        <is>
          <t>₹90,546 Cr</t>
        </is>
      </c>
      <c r="C15" s="33" t="inlineStr">
        <is>
          <t>FY25 est.</t>
        </is>
      </c>
      <c r="D15" s="119" t="inlineStr">
        <is>
          <t>—</t>
        </is>
      </c>
      <c r="E15" s="120" t="inlineStr">
        <is>
          <t>Sum of Rev/Store × store count for all mapped brands</t>
        </is>
      </c>
      <c r="F15" s="43" t="n"/>
      <c r="G15" s="43" t="n"/>
      <c r="H15" s="43" t="n"/>
      <c r="I15" s="43" t="n"/>
      <c r="J15" s="44" t="n"/>
    </row>
    <row r="16" ht="20" customHeight="1">
      <c r="A16" s="142" t="inlineStr">
        <is>
          <t>T3 Density Uplift</t>
        </is>
      </c>
      <c r="B16" s="143" t="inlineStr">
        <is>
          <t>₹2,820 Cr</t>
        </is>
      </c>
      <c r="C16" s="127" t="inlineStr">
        <is>
          <t>1,410 new stores</t>
        </is>
      </c>
      <c r="D16" s="126" t="inlineStr">
        <is>
          <t>—</t>
        </is>
      </c>
      <c r="E16" s="128" t="inlineStr">
        <is>
          <t>Brings T3 to T2 SPP benchmark @ avg ₹2 Cr/store</t>
        </is>
      </c>
      <c r="F16" s="43" t="n"/>
      <c r="G16" s="43" t="n"/>
      <c r="H16" s="43" t="n"/>
      <c r="I16" s="43" t="n"/>
      <c r="J16" s="44" t="n"/>
    </row>
    <row r="17" ht="20" customHeight="1">
      <c r="A17" s="141" t="inlineStr">
        <is>
          <t>Greenfield (20% of T3 zeros)</t>
        </is>
      </c>
      <c r="B17" s="62" t="inlineStr">
        <is>
          <t>₹1,834 Cr</t>
        </is>
      </c>
      <c r="C17" s="33" t="inlineStr">
        <is>
          <t>917 new stores</t>
        </is>
      </c>
      <c r="D17" s="119" t="inlineStr">
        <is>
          <t>—</t>
        </is>
      </c>
      <c r="E17" s="120" t="inlineStr">
        <is>
          <t>15% of 688 T3 zero-pincodes activate × 6.7 stores</t>
        </is>
      </c>
      <c r="F17" s="43" t="n"/>
      <c r="G17" s="43" t="n"/>
      <c r="H17" s="43" t="n"/>
      <c r="I17" s="43" t="n"/>
      <c r="J17" s="44" t="n"/>
    </row>
    <row r="18" ht="20" customHeight="1">
      <c r="A18" s="144" t="inlineStr">
        <is>
          <t>Total Incremental TAM (5yr)</t>
        </is>
      </c>
      <c r="B18" s="145" t="inlineStr">
        <is>
          <t>₹4,654 Cr</t>
        </is>
      </c>
      <c r="C18" s="146" t="inlineStr">
        <is>
          <t>2,327 new stores</t>
        </is>
      </c>
      <c r="D18" s="104" t="inlineStr">
        <is>
          <t>—</t>
        </is>
      </c>
      <c r="E18" s="147" t="inlineStr">
        <is>
          <t>Conservative density-based build estimate</t>
        </is>
      </c>
      <c r="F18" s="43" t="n"/>
      <c r="G18" s="43" t="n"/>
      <c r="H18" s="43" t="n"/>
      <c r="I18" s="43" t="n"/>
      <c r="J18" s="44" t="n"/>
    </row>
  </sheetData>
  <mergeCells count="15">
    <mergeCell ref="A1:J1"/>
    <mergeCell ref="E16:J16"/>
    <mergeCell ref="E11:J11"/>
    <mergeCell ref="E10:J10"/>
    <mergeCell ref="E14:J14"/>
    <mergeCell ref="E5:J5"/>
    <mergeCell ref="E17:J17"/>
    <mergeCell ref="E9:J9"/>
    <mergeCell ref="E18:J18"/>
    <mergeCell ref="E8:J8"/>
    <mergeCell ref="A2:J2"/>
    <mergeCell ref="E12:J12"/>
    <mergeCell ref="E6:J6"/>
    <mergeCell ref="E15:J15"/>
    <mergeCell ref="E7:J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2410C"/>
    <outlinePr summaryBelow="1" summaryRight="1"/>
    <pageSetUpPr/>
  </sheetPr>
  <dimension ref="A1:J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8" customWidth="1" min="3" max="3"/>
    <col width="10" customWidth="1" min="4" max="4"/>
    <col width="8" customWidth="1" min="5" max="5"/>
    <col width="8" customWidth="1" min="6" max="6"/>
    <col width="10" customWidth="1" min="7" max="7"/>
    <col width="14" customWidth="1" min="8" max="8"/>
    <col width="10" customWidth="1" min="9" max="9"/>
    <col width="12" customWidth="1" min="10" max="10"/>
  </cols>
  <sheetData>
    <row r="1" ht="30" customHeight="1">
      <c r="A1" s="148" t="inlineStr">
        <is>
          <t>EX-07  CITY RANKINGS — Store Density &amp; Revenue by Tier</t>
        </is>
      </c>
    </row>
    <row r="2" ht="18" customHeight="1">
      <c r="A2" s="2" t="inlineStr">
        <is>
          <t>Noida=21.3 SPP. Indore=20.7. Delhi=19.1. Saturated. vs T3 cities at 4-5 SPP — wide open. Revenue confirms.</t>
        </is>
      </c>
    </row>
    <row r="4" ht="24" customHeight="1">
      <c r="A4" s="16" t="inlineStr">
        <is>
          <t>Rank</t>
        </is>
      </c>
      <c r="B4" s="16" t="inlineStr">
        <is>
          <t>City</t>
        </is>
      </c>
      <c r="C4" s="16" t="inlineStr">
        <is>
          <t>Tier</t>
        </is>
      </c>
      <c r="D4" s="16" t="inlineStr">
        <is>
          <t>Stores</t>
        </is>
      </c>
      <c r="E4" s="16" t="inlineStr">
        <is>
          <t>Pins</t>
        </is>
      </c>
      <c r="F4" s="16" t="inlineStr">
        <is>
          <t>Brands</t>
        </is>
      </c>
      <c r="G4" s="16" t="inlineStr">
        <is>
          <t>SPP</t>
        </is>
      </c>
      <c r="H4" s="16" t="inlineStr">
        <is>
          <t>Revenue (₹Cr)</t>
        </is>
      </c>
      <c r="I4" s="16" t="inlineStr">
        <is>
          <t>Rev/Pin</t>
        </is>
      </c>
      <c r="J4" s="16" t="inlineStr">
        <is>
          <t>Status</t>
        </is>
      </c>
    </row>
    <row r="5" ht="20" customHeight="1">
      <c r="A5" s="106" t="inlineStr">
        <is>
          <t>── Metro — Mega Metro ──</t>
        </is>
      </c>
    </row>
    <row r="6" ht="16" customHeight="1">
      <c r="A6" s="25" t="n">
        <v>1</v>
      </c>
      <c r="B6" s="149" t="inlineStr">
        <is>
          <t>Noida</t>
        </is>
      </c>
      <c r="C6" s="17" t="inlineStr">
        <is>
          <t>Metro</t>
        </is>
      </c>
      <c r="D6" s="26" t="n">
        <v>359</v>
      </c>
      <c r="E6" s="26" t="n">
        <v>17</v>
      </c>
      <c r="F6" s="26" t="n">
        <v>86</v>
      </c>
      <c r="G6" s="22" t="n">
        <v>21.12</v>
      </c>
      <c r="H6" s="28" t="n">
        <v>1042.2</v>
      </c>
      <c r="I6" s="150" t="n">
        <v>61.3</v>
      </c>
      <c r="J6" s="66" t="inlineStr">
        <is>
          <t>⛔ SAT</t>
        </is>
      </c>
    </row>
    <row r="7" ht="16" customHeight="1">
      <c r="A7" s="18" t="n">
        <v>2</v>
      </c>
      <c r="B7" s="149" t="inlineStr">
        <is>
          <t>Delhi</t>
        </is>
      </c>
      <c r="C7" s="17" t="inlineStr">
        <is>
          <t>Metro</t>
        </is>
      </c>
      <c r="D7" s="19" t="n">
        <v>1365</v>
      </c>
      <c r="E7" s="19" t="n">
        <v>72</v>
      </c>
      <c r="F7" s="19" t="n">
        <v>91</v>
      </c>
      <c r="G7" s="22" t="n">
        <v>18.96</v>
      </c>
      <c r="H7" s="21" t="n">
        <v>2977.2</v>
      </c>
      <c r="I7" s="151" t="n">
        <v>41.4</v>
      </c>
      <c r="J7" s="66" t="inlineStr">
        <is>
          <t>⛔ SAT</t>
        </is>
      </c>
    </row>
    <row r="8" ht="16" customHeight="1">
      <c r="A8" s="25" t="n">
        <v>3</v>
      </c>
      <c r="B8" s="149" t="inlineStr">
        <is>
          <t>Gurgaon</t>
        </is>
      </c>
      <c r="C8" s="17" t="inlineStr">
        <is>
          <t>Metro</t>
        </is>
      </c>
      <c r="D8" s="26" t="n">
        <v>436</v>
      </c>
      <c r="E8" s="26" t="n">
        <v>24</v>
      </c>
      <c r="F8" s="26" t="n">
        <v>90</v>
      </c>
      <c r="G8" s="22" t="n">
        <v>18.17</v>
      </c>
      <c r="H8" s="28" t="n">
        <v>1351.2</v>
      </c>
      <c r="I8" s="150" t="n">
        <v>56.3</v>
      </c>
      <c r="J8" s="66" t="inlineStr">
        <is>
          <t>⛔ SAT</t>
        </is>
      </c>
    </row>
    <row r="9" ht="16" customHeight="1">
      <c r="A9" s="18" t="n">
        <v>4</v>
      </c>
      <c r="B9" s="149" t="inlineStr">
        <is>
          <t>Faridabad</t>
        </is>
      </c>
      <c r="C9" s="17" t="inlineStr">
        <is>
          <t>Metro</t>
        </is>
      </c>
      <c r="D9" s="19" t="n">
        <v>132</v>
      </c>
      <c r="E9" s="19" t="n">
        <v>8</v>
      </c>
      <c r="F9" s="19" t="n">
        <v>62</v>
      </c>
      <c r="G9" s="22" t="n">
        <v>16.5</v>
      </c>
      <c r="H9" s="21" t="n">
        <v>342</v>
      </c>
      <c r="I9" s="151" t="n">
        <v>42.8</v>
      </c>
      <c r="J9" s="152" t="inlineStr">
        <is>
          <t>🔴 HIGH</t>
        </is>
      </c>
    </row>
    <row r="10" ht="16" customHeight="1">
      <c r="A10" s="25" t="n">
        <v>5</v>
      </c>
      <c r="B10" s="149" t="inlineStr">
        <is>
          <t>Thane</t>
        </is>
      </c>
      <c r="C10" s="17" t="inlineStr">
        <is>
          <t>Metro</t>
        </is>
      </c>
      <c r="D10" s="26" t="n">
        <v>525</v>
      </c>
      <c r="E10" s="26" t="n">
        <v>32</v>
      </c>
      <c r="F10" s="26" t="n">
        <v>81</v>
      </c>
      <c r="G10" s="22" t="n">
        <v>16.41</v>
      </c>
      <c r="H10" s="28" t="n">
        <v>1275.7</v>
      </c>
      <c r="I10" s="150" t="n">
        <v>39.9</v>
      </c>
      <c r="J10" s="152" t="inlineStr">
        <is>
          <t>🔴 HIGH</t>
        </is>
      </c>
    </row>
    <row r="11" ht="16" customHeight="1">
      <c r="A11" s="18" t="n">
        <v>6</v>
      </c>
      <c r="B11" s="149" t="inlineStr">
        <is>
          <t>Bengaluru</t>
        </is>
      </c>
      <c r="C11" s="17" t="inlineStr">
        <is>
          <t>Metro</t>
        </is>
      </c>
      <c r="D11" s="19" t="n">
        <v>1735</v>
      </c>
      <c r="E11" s="19" t="n">
        <v>110</v>
      </c>
      <c r="F11" s="19" t="n">
        <v>94</v>
      </c>
      <c r="G11" s="22" t="n">
        <v>15.77</v>
      </c>
      <c r="H11" s="21" t="n">
        <v>4951.1</v>
      </c>
      <c r="I11" s="151" t="n">
        <v>45</v>
      </c>
      <c r="J11" s="152" t="inlineStr">
        <is>
          <t>🔴 HIGH</t>
        </is>
      </c>
    </row>
    <row r="12" ht="16" customHeight="1">
      <c r="A12" s="25" t="n">
        <v>7</v>
      </c>
      <c r="B12" s="149" t="inlineStr">
        <is>
          <t>Ghaziabad</t>
        </is>
      </c>
      <c r="C12" s="17" t="inlineStr">
        <is>
          <t>Metro</t>
        </is>
      </c>
      <c r="D12" s="26" t="n">
        <v>288</v>
      </c>
      <c r="E12" s="26" t="n">
        <v>21</v>
      </c>
      <c r="F12" s="26" t="n">
        <v>66</v>
      </c>
      <c r="G12" s="76" t="n">
        <v>13.71</v>
      </c>
      <c r="H12" s="28" t="n">
        <v>688</v>
      </c>
      <c r="I12" s="150" t="n">
        <v>32.8</v>
      </c>
      <c r="J12" s="152" t="inlineStr">
        <is>
          <t>🔴 HIGH</t>
        </is>
      </c>
    </row>
    <row r="13" ht="16" customHeight="1">
      <c r="A13" s="18" t="n">
        <v>8</v>
      </c>
      <c r="B13" s="149" t="inlineStr">
        <is>
          <t>Mumbai</t>
        </is>
      </c>
      <c r="C13" s="17" t="inlineStr">
        <is>
          <t>Metro</t>
        </is>
      </c>
      <c r="D13" s="19" t="n">
        <v>831</v>
      </c>
      <c r="E13" s="19" t="n">
        <v>62</v>
      </c>
      <c r="F13" s="19" t="n">
        <v>86</v>
      </c>
      <c r="G13" s="76" t="n">
        <v>13.4</v>
      </c>
      <c r="H13" s="21" t="n">
        <v>2248</v>
      </c>
      <c r="I13" s="151" t="n">
        <v>36.3</v>
      </c>
      <c r="J13" s="152" t="inlineStr">
        <is>
          <t>🔴 HIGH</t>
        </is>
      </c>
    </row>
    <row r="14" ht="16" customHeight="1">
      <c r="A14" s="25" t="n">
        <v>9</v>
      </c>
      <c r="B14" s="149" t="inlineStr">
        <is>
          <t>Pune</t>
        </is>
      </c>
      <c r="C14" s="17" t="inlineStr">
        <is>
          <t>Metro</t>
        </is>
      </c>
      <c r="D14" s="26" t="n">
        <v>775</v>
      </c>
      <c r="E14" s="26" t="n">
        <v>63</v>
      </c>
      <c r="F14" s="26" t="n">
        <v>95</v>
      </c>
      <c r="G14" s="76" t="n">
        <v>12.3</v>
      </c>
      <c r="H14" s="28" t="n">
        <v>1967.9</v>
      </c>
      <c r="I14" s="150" t="n">
        <v>31.2</v>
      </c>
      <c r="J14" s="152" t="inlineStr">
        <is>
          <t>🔴 HIGH</t>
        </is>
      </c>
    </row>
    <row r="15" ht="16" customHeight="1">
      <c r="A15" s="18" t="n">
        <v>10</v>
      </c>
      <c r="B15" s="149" t="inlineStr">
        <is>
          <t>Ahmedabad</t>
        </is>
      </c>
      <c r="C15" s="17" t="inlineStr">
        <is>
          <t>Metro</t>
        </is>
      </c>
      <c r="D15" s="19" t="n">
        <v>581</v>
      </c>
      <c r="E15" s="19" t="n">
        <v>48</v>
      </c>
      <c r="F15" s="19" t="n">
        <v>90</v>
      </c>
      <c r="G15" s="76" t="n">
        <v>12.1</v>
      </c>
      <c r="H15" s="21" t="n">
        <v>1437.1</v>
      </c>
      <c r="I15" s="151" t="n">
        <v>29.9</v>
      </c>
      <c r="J15" s="152" t="inlineStr">
        <is>
          <t>🔴 HIGH</t>
        </is>
      </c>
    </row>
    <row r="17" ht="20" customHeight="1">
      <c r="A17" s="110" t="inlineStr">
        <is>
          <t>── T1 — Tier 1 City ──</t>
        </is>
      </c>
    </row>
    <row r="18" ht="16" customHeight="1">
      <c r="A18" s="25" t="n">
        <v>1</v>
      </c>
      <c r="B18" s="153" t="inlineStr">
        <is>
          <t>Indore</t>
        </is>
      </c>
      <c r="C18" s="24" t="inlineStr">
        <is>
          <t>T1</t>
        </is>
      </c>
      <c r="D18" s="26" t="n">
        <v>307</v>
      </c>
      <c r="E18" s="26" t="n">
        <v>15</v>
      </c>
      <c r="F18" s="26" t="n">
        <v>86</v>
      </c>
      <c r="G18" s="22" t="n">
        <v>20.47</v>
      </c>
      <c r="H18" s="28" t="n">
        <v>683.4</v>
      </c>
      <c r="I18" s="150" t="n">
        <v>45.6</v>
      </c>
      <c r="J18" s="66" t="inlineStr">
        <is>
          <t>⛔ SAT</t>
        </is>
      </c>
    </row>
    <row r="19" ht="16" customHeight="1">
      <c r="A19" s="18" t="n">
        <v>2</v>
      </c>
      <c r="B19" s="153" t="inlineStr">
        <is>
          <t>Lucknow</t>
        </is>
      </c>
      <c r="C19" s="24" t="inlineStr">
        <is>
          <t>T1</t>
        </is>
      </c>
      <c r="D19" s="19" t="n">
        <v>632</v>
      </c>
      <c r="E19" s="19" t="n">
        <v>34</v>
      </c>
      <c r="F19" s="19" t="n">
        <v>94</v>
      </c>
      <c r="G19" s="22" t="n">
        <v>18.59</v>
      </c>
      <c r="H19" s="21" t="n">
        <v>1575.2</v>
      </c>
      <c r="I19" s="151" t="n">
        <v>46.3</v>
      </c>
      <c r="J19" s="66" t="inlineStr">
        <is>
          <t>⛔ SAT</t>
        </is>
      </c>
    </row>
    <row r="20" ht="16" customHeight="1">
      <c r="A20" s="25" t="n">
        <v>3</v>
      </c>
      <c r="B20" s="153" t="inlineStr">
        <is>
          <t>Kota</t>
        </is>
      </c>
      <c r="C20" s="24" t="inlineStr">
        <is>
          <t>T1</t>
        </is>
      </c>
      <c r="D20" s="26" t="n">
        <v>98</v>
      </c>
      <c r="E20" s="26" t="n">
        <v>7</v>
      </c>
      <c r="F20" s="26" t="n">
        <v>54</v>
      </c>
      <c r="G20" s="76" t="n">
        <v>14</v>
      </c>
      <c r="H20" s="28" t="n">
        <v>185.6</v>
      </c>
      <c r="I20" s="150" t="n">
        <v>26.5</v>
      </c>
      <c r="J20" s="152" t="inlineStr">
        <is>
          <t>🔴 HIGH</t>
        </is>
      </c>
    </row>
    <row r="21" ht="16" customHeight="1">
      <c r="A21" s="18" t="n">
        <v>4</v>
      </c>
      <c r="B21" s="153" t="inlineStr">
        <is>
          <t>Puducherry</t>
        </is>
      </c>
      <c r="C21" s="24" t="inlineStr">
        <is>
          <t>T1</t>
        </is>
      </c>
      <c r="D21" s="19" t="n">
        <v>84</v>
      </c>
      <c r="E21" s="19" t="n">
        <v>6</v>
      </c>
      <c r="F21" s="19" t="n">
        <v>37</v>
      </c>
      <c r="G21" s="76" t="n">
        <v>14</v>
      </c>
      <c r="H21" s="21" t="n">
        <v>159.9</v>
      </c>
      <c r="I21" s="151" t="n">
        <v>26.6</v>
      </c>
      <c r="J21" s="152" t="inlineStr">
        <is>
          <t>🔴 HIGH</t>
        </is>
      </c>
    </row>
    <row r="22" ht="16" customHeight="1">
      <c r="A22" s="25" t="n">
        <v>5</v>
      </c>
      <c r="B22" s="153" t="inlineStr">
        <is>
          <t>Agra</t>
        </is>
      </c>
      <c r="C22" s="24" t="inlineStr">
        <is>
          <t>T1</t>
        </is>
      </c>
      <c r="D22" s="26" t="n">
        <v>94</v>
      </c>
      <c r="E22" s="26" t="n">
        <v>7</v>
      </c>
      <c r="F22" s="26" t="n">
        <v>47</v>
      </c>
      <c r="G22" s="76" t="n">
        <v>13.43</v>
      </c>
      <c r="H22" s="28" t="n">
        <v>211.6</v>
      </c>
      <c r="I22" s="150" t="n">
        <v>30.2</v>
      </c>
      <c r="J22" s="152" t="inlineStr">
        <is>
          <t>🔴 HIGH</t>
        </is>
      </c>
    </row>
    <row r="23" ht="16" customHeight="1">
      <c r="A23" s="18" t="n">
        <v>6</v>
      </c>
      <c r="B23" s="153" t="inlineStr">
        <is>
          <t>Surat</t>
        </is>
      </c>
      <c r="C23" s="24" t="inlineStr">
        <is>
          <t>T1</t>
        </is>
      </c>
      <c r="D23" s="19" t="n">
        <v>273</v>
      </c>
      <c r="E23" s="19" t="n">
        <v>21</v>
      </c>
      <c r="F23" s="19" t="n">
        <v>79</v>
      </c>
      <c r="G23" s="76" t="n">
        <v>13</v>
      </c>
      <c r="H23" s="21" t="n">
        <v>675.8</v>
      </c>
      <c r="I23" s="151" t="n">
        <v>32.2</v>
      </c>
      <c r="J23" s="152" t="inlineStr">
        <is>
          <t>🔴 HIGH</t>
        </is>
      </c>
    </row>
    <row r="24" ht="16" customHeight="1">
      <c r="A24" s="25" t="n">
        <v>7</v>
      </c>
      <c r="B24" s="153" t="inlineStr">
        <is>
          <t>Jaipur</t>
        </is>
      </c>
      <c r="C24" s="24" t="inlineStr">
        <is>
          <t>T1</t>
        </is>
      </c>
      <c r="D24" s="26" t="n">
        <v>493</v>
      </c>
      <c r="E24" s="26" t="n">
        <v>38</v>
      </c>
      <c r="F24" s="26" t="n">
        <v>82</v>
      </c>
      <c r="G24" s="76" t="n">
        <v>12.97</v>
      </c>
      <c r="H24" s="28" t="n">
        <v>1173.2</v>
      </c>
      <c r="I24" s="150" t="n">
        <v>30.9</v>
      </c>
      <c r="J24" s="152" t="inlineStr">
        <is>
          <t>🔴 HIGH</t>
        </is>
      </c>
    </row>
    <row r="25" ht="16" customHeight="1">
      <c r="A25" s="18" t="n">
        <v>8</v>
      </c>
      <c r="B25" s="153" t="inlineStr">
        <is>
          <t>Chandigarh</t>
        </is>
      </c>
      <c r="C25" s="24" t="inlineStr">
        <is>
          <t>T1</t>
        </is>
      </c>
      <c r="D25" s="19" t="n">
        <v>450</v>
      </c>
      <c r="E25" s="19" t="n">
        <v>35</v>
      </c>
      <c r="F25" s="19" t="n">
        <v>79</v>
      </c>
      <c r="G25" s="76" t="n">
        <v>12.86</v>
      </c>
      <c r="H25" s="21" t="n">
        <v>1050.1</v>
      </c>
      <c r="I25" s="151" t="n">
        <v>30</v>
      </c>
      <c r="J25" s="152" t="inlineStr">
        <is>
          <t>🔴 HIGH</t>
        </is>
      </c>
    </row>
    <row r="26" ht="16" customHeight="1">
      <c r="A26" s="25" t="n">
        <v>9</v>
      </c>
      <c r="B26" s="153" t="inlineStr">
        <is>
          <t>Dehra Dun</t>
        </is>
      </c>
      <c r="C26" s="24" t="inlineStr">
        <is>
          <t>T1</t>
        </is>
      </c>
      <c r="D26" s="26" t="n">
        <v>305</v>
      </c>
      <c r="E26" s="26" t="n">
        <v>24</v>
      </c>
      <c r="F26" s="26" t="n">
        <v>85</v>
      </c>
      <c r="G26" s="76" t="n">
        <v>12.71</v>
      </c>
      <c r="H26" s="28" t="n">
        <v>747.1</v>
      </c>
      <c r="I26" s="150" t="n">
        <v>31.1</v>
      </c>
      <c r="J26" s="152" t="inlineStr">
        <is>
          <t>🔴 HIGH</t>
        </is>
      </c>
    </row>
    <row r="27" ht="16" customHeight="1">
      <c r="A27" s="18" t="n">
        <v>10</v>
      </c>
      <c r="B27" s="153" t="inlineStr">
        <is>
          <t>Hyderabad</t>
        </is>
      </c>
      <c r="C27" s="24" t="inlineStr">
        <is>
          <t>T1</t>
        </is>
      </c>
      <c r="D27" s="19" t="n">
        <v>1246</v>
      </c>
      <c r="E27" s="19" t="n">
        <v>100</v>
      </c>
      <c r="F27" s="19" t="n">
        <v>92</v>
      </c>
      <c r="G27" s="76" t="n">
        <v>12.46</v>
      </c>
      <c r="H27" s="21" t="n">
        <v>3437.5</v>
      </c>
      <c r="I27" s="151" t="n">
        <v>34.4</v>
      </c>
      <c r="J27" s="152" t="inlineStr">
        <is>
          <t>🔴 HIGH</t>
        </is>
      </c>
    </row>
    <row r="29" ht="20" customHeight="1">
      <c r="A29" s="108" t="inlineStr">
        <is>
          <t>── T2 — Tier 2 City ──</t>
        </is>
      </c>
    </row>
    <row r="30" ht="16" customHeight="1">
      <c r="A30" s="25" t="n">
        <v>1</v>
      </c>
      <c r="B30" s="154" t="inlineStr">
        <is>
          <t>Pathankot</t>
        </is>
      </c>
      <c r="C30" s="31" t="inlineStr">
        <is>
          <t>T2</t>
        </is>
      </c>
      <c r="D30" s="26" t="n">
        <v>46</v>
      </c>
      <c r="E30" s="26" t="n">
        <v>2</v>
      </c>
      <c r="F30" s="26" t="n">
        <v>36</v>
      </c>
      <c r="G30" s="22" t="n">
        <v>23</v>
      </c>
      <c r="H30" s="28" t="n">
        <v>96.40000000000001</v>
      </c>
      <c r="I30" s="150" t="n">
        <v>48.2</v>
      </c>
      <c r="J30" s="66" t="inlineStr">
        <is>
          <t>⛔ SAT</t>
        </is>
      </c>
    </row>
    <row r="31" ht="16" customHeight="1">
      <c r="A31" s="18" t="n">
        <v>2</v>
      </c>
      <c r="B31" s="154" t="inlineStr">
        <is>
          <t>Moradabad</t>
        </is>
      </c>
      <c r="C31" s="31" t="inlineStr">
        <is>
          <t>T2</t>
        </is>
      </c>
      <c r="D31" s="19" t="n">
        <v>59</v>
      </c>
      <c r="E31" s="19" t="n">
        <v>3</v>
      </c>
      <c r="F31" s="19" t="n">
        <v>36</v>
      </c>
      <c r="G31" s="22" t="n">
        <v>19.67</v>
      </c>
      <c r="H31" s="21" t="n">
        <v>93.5</v>
      </c>
      <c r="I31" s="151" t="n">
        <v>31.2</v>
      </c>
      <c r="J31" s="66" t="inlineStr">
        <is>
          <t>⛔ SAT</t>
        </is>
      </c>
    </row>
    <row r="32" ht="16" customHeight="1">
      <c r="A32" s="25" t="n">
        <v>3</v>
      </c>
      <c r="B32" s="154" t="inlineStr">
        <is>
          <t>Yamunanagar</t>
        </is>
      </c>
      <c r="C32" s="31" t="inlineStr">
        <is>
          <t>T2</t>
        </is>
      </c>
      <c r="D32" s="26" t="n">
        <v>39</v>
      </c>
      <c r="E32" s="26" t="n">
        <v>2</v>
      </c>
      <c r="F32" s="26" t="n">
        <v>33</v>
      </c>
      <c r="G32" s="22" t="n">
        <v>19.5</v>
      </c>
      <c r="H32" s="28" t="n">
        <v>65.2</v>
      </c>
      <c r="I32" s="150" t="n">
        <v>32.6</v>
      </c>
      <c r="J32" s="66" t="inlineStr">
        <is>
          <t>⛔ SAT</t>
        </is>
      </c>
    </row>
    <row r="33" ht="16" customHeight="1">
      <c r="A33" s="18" t="n">
        <v>4</v>
      </c>
      <c r="B33" s="154" t="inlineStr">
        <is>
          <t>Udaipur</t>
        </is>
      </c>
      <c r="C33" s="31" t="inlineStr">
        <is>
          <t>T2</t>
        </is>
      </c>
      <c r="D33" s="19" t="n">
        <v>133</v>
      </c>
      <c r="E33" s="19" t="n">
        <v>7</v>
      </c>
      <c r="F33" s="19" t="n">
        <v>63</v>
      </c>
      <c r="G33" s="22" t="n">
        <v>19</v>
      </c>
      <c r="H33" s="21" t="n">
        <v>310.4</v>
      </c>
      <c r="I33" s="151" t="n">
        <v>44.4</v>
      </c>
      <c r="J33" s="66" t="inlineStr">
        <is>
          <t>⛔ SAT</t>
        </is>
      </c>
    </row>
    <row r="34" ht="16" customHeight="1">
      <c r="A34" s="25" t="n">
        <v>5</v>
      </c>
      <c r="B34" s="154" t="inlineStr">
        <is>
          <t>Guna</t>
        </is>
      </c>
      <c r="C34" s="31" t="inlineStr">
        <is>
          <t>T2</t>
        </is>
      </c>
      <c r="D34" s="26" t="n">
        <v>17</v>
      </c>
      <c r="E34" s="26" t="n">
        <v>1</v>
      </c>
      <c r="F34" s="26" t="n">
        <v>17</v>
      </c>
      <c r="G34" s="22" t="n">
        <v>17</v>
      </c>
      <c r="H34" s="28" t="n">
        <v>52.3</v>
      </c>
      <c r="I34" s="150" t="n">
        <v>52.3</v>
      </c>
      <c r="J34" s="152" t="inlineStr">
        <is>
          <t>🔴 HIGH</t>
        </is>
      </c>
    </row>
    <row r="35" ht="16" customHeight="1">
      <c r="A35" s="18" t="n">
        <v>6</v>
      </c>
      <c r="B35" s="154" t="inlineStr">
        <is>
          <t>Bathinda</t>
        </is>
      </c>
      <c r="C35" s="31" t="inlineStr">
        <is>
          <t>T2</t>
        </is>
      </c>
      <c r="D35" s="19" t="n">
        <v>99</v>
      </c>
      <c r="E35" s="19" t="n">
        <v>6</v>
      </c>
      <c r="F35" s="19" t="n">
        <v>56</v>
      </c>
      <c r="G35" s="22" t="n">
        <v>16.5</v>
      </c>
      <c r="H35" s="21" t="n">
        <v>179.3</v>
      </c>
      <c r="I35" s="151" t="n">
        <v>29.9</v>
      </c>
      <c r="J35" s="152" t="inlineStr">
        <is>
          <t>🔴 HIGH</t>
        </is>
      </c>
    </row>
    <row r="36" ht="16" customHeight="1">
      <c r="A36" s="25" t="n">
        <v>7</v>
      </c>
      <c r="B36" s="154" t="inlineStr">
        <is>
          <t>Ganganagar</t>
        </is>
      </c>
      <c r="C36" s="31" t="inlineStr">
        <is>
          <t>T2</t>
        </is>
      </c>
      <c r="D36" s="26" t="n">
        <v>82</v>
      </c>
      <c r="E36" s="26" t="n">
        <v>5</v>
      </c>
      <c r="F36" s="26" t="n">
        <v>50</v>
      </c>
      <c r="G36" s="22" t="n">
        <v>16.4</v>
      </c>
      <c r="H36" s="28" t="n">
        <v>145.3</v>
      </c>
      <c r="I36" s="150" t="n">
        <v>29.1</v>
      </c>
      <c r="J36" s="152" t="inlineStr">
        <is>
          <t>🔴 HIGH</t>
        </is>
      </c>
    </row>
    <row r="37" ht="16" customHeight="1">
      <c r="A37" s="18" t="n">
        <v>8</v>
      </c>
      <c r="B37" s="154" t="inlineStr">
        <is>
          <t>Rajkot</t>
        </is>
      </c>
      <c r="C37" s="31" t="inlineStr">
        <is>
          <t>T2</t>
        </is>
      </c>
      <c r="D37" s="19" t="n">
        <v>130</v>
      </c>
      <c r="E37" s="19" t="n">
        <v>8</v>
      </c>
      <c r="F37" s="19" t="n">
        <v>58</v>
      </c>
      <c r="G37" s="22" t="n">
        <v>16.25</v>
      </c>
      <c r="H37" s="21" t="n">
        <v>239.6</v>
      </c>
      <c r="I37" s="151" t="n">
        <v>29.9</v>
      </c>
      <c r="J37" s="152" t="inlineStr">
        <is>
          <t>🔴 HIGH</t>
        </is>
      </c>
    </row>
    <row r="38" ht="16" customHeight="1">
      <c r="A38" s="25" t="n">
        <v>9</v>
      </c>
      <c r="B38" s="154" t="inlineStr">
        <is>
          <t>Ambala</t>
        </is>
      </c>
      <c r="C38" s="31" t="inlineStr">
        <is>
          <t>T2</t>
        </is>
      </c>
      <c r="D38" s="26" t="n">
        <v>104</v>
      </c>
      <c r="E38" s="26" t="n">
        <v>7</v>
      </c>
      <c r="F38" s="26" t="n">
        <v>48</v>
      </c>
      <c r="G38" s="76" t="n">
        <v>14.86</v>
      </c>
      <c r="H38" s="28" t="n">
        <v>194.4</v>
      </c>
      <c r="I38" s="150" t="n">
        <v>27.8</v>
      </c>
      <c r="J38" s="152" t="inlineStr">
        <is>
          <t>🔴 HIGH</t>
        </is>
      </c>
    </row>
    <row r="39" ht="16" customHeight="1">
      <c r="A39" s="18" t="n">
        <v>10</v>
      </c>
      <c r="B39" s="154" t="inlineStr">
        <is>
          <t>Saharanpur</t>
        </is>
      </c>
      <c r="C39" s="31" t="inlineStr">
        <is>
          <t>T2</t>
        </is>
      </c>
      <c r="D39" s="19" t="n">
        <v>44</v>
      </c>
      <c r="E39" s="19" t="n">
        <v>3</v>
      </c>
      <c r="F39" s="19" t="n">
        <v>35</v>
      </c>
      <c r="G39" s="76" t="n">
        <v>14.67</v>
      </c>
      <c r="H39" s="21" t="n">
        <v>95.2</v>
      </c>
      <c r="I39" s="151" t="n">
        <v>31.7</v>
      </c>
      <c r="J39" s="152" t="inlineStr">
        <is>
          <t>🔴 HIGH</t>
        </is>
      </c>
    </row>
    <row r="41" ht="20" customHeight="1">
      <c r="A41" s="103" t="inlineStr">
        <is>
          <t>── T3 — Tier 3 Town ──</t>
        </is>
      </c>
    </row>
    <row r="42" ht="16" customHeight="1">
      <c r="A42" s="25" t="n">
        <v>1</v>
      </c>
      <c r="B42" s="155" t="inlineStr">
        <is>
          <t>Bhilwara</t>
        </is>
      </c>
      <c r="C42" s="33" t="inlineStr">
        <is>
          <t>T3</t>
        </is>
      </c>
      <c r="D42" s="26" t="n">
        <v>41</v>
      </c>
      <c r="E42" s="26" t="n">
        <v>2</v>
      </c>
      <c r="F42" s="26" t="n">
        <v>31</v>
      </c>
      <c r="G42" s="22" t="n">
        <v>20.5</v>
      </c>
      <c r="H42" s="28" t="n">
        <v>110.1</v>
      </c>
      <c r="I42" s="150" t="n">
        <v>55.1</v>
      </c>
      <c r="J42" s="66" t="inlineStr">
        <is>
          <t>⛔ SAT</t>
        </is>
      </c>
    </row>
    <row r="43" ht="16" customHeight="1">
      <c r="A43" s="18" t="n">
        <v>2</v>
      </c>
      <c r="B43" s="155" t="inlineStr">
        <is>
          <t>Rohtak</t>
        </is>
      </c>
      <c r="C43" s="33" t="inlineStr">
        <is>
          <t>T3</t>
        </is>
      </c>
      <c r="D43" s="19" t="n">
        <v>72</v>
      </c>
      <c r="E43" s="19" t="n">
        <v>4</v>
      </c>
      <c r="F43" s="19" t="n">
        <v>49</v>
      </c>
      <c r="G43" s="22" t="n">
        <v>18</v>
      </c>
      <c r="H43" s="21" t="n">
        <v>150.9</v>
      </c>
      <c r="I43" s="151" t="n">
        <v>37.7</v>
      </c>
      <c r="J43" s="152" t="inlineStr">
        <is>
          <t>🔴 HIGH</t>
        </is>
      </c>
    </row>
    <row r="44" ht="16" customHeight="1">
      <c r="A44" s="25" t="n">
        <v>3</v>
      </c>
      <c r="B44" s="155" t="inlineStr">
        <is>
          <t>Budaun</t>
        </is>
      </c>
      <c r="C44" s="33" t="inlineStr">
        <is>
          <t>T3</t>
        </is>
      </c>
      <c r="D44" s="26" t="n">
        <v>18</v>
      </c>
      <c r="E44" s="26" t="n">
        <v>1</v>
      </c>
      <c r="F44" s="26" t="n">
        <v>16</v>
      </c>
      <c r="G44" s="22" t="n">
        <v>18</v>
      </c>
      <c r="H44" s="28" t="n">
        <v>52.9</v>
      </c>
      <c r="I44" s="150" t="n">
        <v>52.9</v>
      </c>
      <c r="J44" s="152" t="inlineStr">
        <is>
          <t>🔴 HIGH</t>
        </is>
      </c>
    </row>
    <row r="45" ht="16" customHeight="1">
      <c r="A45" s="18" t="n">
        <v>4</v>
      </c>
      <c r="B45" s="155" t="inlineStr">
        <is>
          <t>Rewa</t>
        </is>
      </c>
      <c r="C45" s="33" t="inlineStr">
        <is>
          <t>T3</t>
        </is>
      </c>
      <c r="D45" s="19" t="n">
        <v>36</v>
      </c>
      <c r="E45" s="19" t="n">
        <v>2</v>
      </c>
      <c r="F45" s="19" t="n">
        <v>29</v>
      </c>
      <c r="G45" s="22" t="n">
        <v>18</v>
      </c>
      <c r="H45" s="21" t="n">
        <v>72.40000000000001</v>
      </c>
      <c r="I45" s="151" t="n">
        <v>36.2</v>
      </c>
      <c r="J45" s="152" t="inlineStr">
        <is>
          <t>🔴 HIGH</t>
        </is>
      </c>
    </row>
    <row r="46" ht="16" customHeight="1">
      <c r="A46" s="25" t="n">
        <v>5</v>
      </c>
      <c r="B46" s="155" t="inlineStr">
        <is>
          <t>Raebareli</t>
        </is>
      </c>
      <c r="C46" s="33" t="inlineStr">
        <is>
          <t>T3</t>
        </is>
      </c>
      <c r="D46" s="26" t="n">
        <v>35</v>
      </c>
      <c r="E46" s="26" t="n">
        <v>2</v>
      </c>
      <c r="F46" s="26" t="n">
        <v>31</v>
      </c>
      <c r="G46" s="22" t="n">
        <v>17.5</v>
      </c>
      <c r="H46" s="28" t="n">
        <v>83.5</v>
      </c>
      <c r="I46" s="150" t="n">
        <v>41.7</v>
      </c>
      <c r="J46" s="152" t="inlineStr">
        <is>
          <t>🔴 HIGH</t>
        </is>
      </c>
    </row>
    <row r="47" ht="16" customHeight="1">
      <c r="A47" s="18" t="n">
        <v>6</v>
      </c>
      <c r="B47" s="155" t="inlineStr">
        <is>
          <t>Bharatpur</t>
        </is>
      </c>
      <c r="C47" s="33" t="inlineStr">
        <is>
          <t>T3</t>
        </is>
      </c>
      <c r="D47" s="19" t="n">
        <v>17</v>
      </c>
      <c r="E47" s="19" t="n">
        <v>1</v>
      </c>
      <c r="F47" s="19" t="n">
        <v>14</v>
      </c>
      <c r="G47" s="22" t="n">
        <v>17</v>
      </c>
      <c r="H47" s="21" t="n">
        <v>28.4</v>
      </c>
      <c r="I47" s="151" t="n">
        <v>28.4</v>
      </c>
      <c r="J47" s="152" t="inlineStr">
        <is>
          <t>🔴 HIGH</t>
        </is>
      </c>
    </row>
    <row r="48" ht="16" customHeight="1">
      <c r="A48" s="25" t="n">
        <v>7</v>
      </c>
      <c r="B48" s="155" t="inlineStr">
        <is>
          <t>Udhampur</t>
        </is>
      </c>
      <c r="C48" s="33" t="inlineStr">
        <is>
          <t>T3</t>
        </is>
      </c>
      <c r="D48" s="26" t="n">
        <v>17</v>
      </c>
      <c r="E48" s="26" t="n">
        <v>1</v>
      </c>
      <c r="F48" s="26" t="n">
        <v>16</v>
      </c>
      <c r="G48" s="22" t="n">
        <v>17</v>
      </c>
      <c r="H48" s="28" t="n">
        <v>49.5</v>
      </c>
      <c r="I48" s="150" t="n">
        <v>49.5</v>
      </c>
      <c r="J48" s="152" t="inlineStr">
        <is>
          <t>🔴 HIGH</t>
        </is>
      </c>
    </row>
    <row r="49" ht="16" customHeight="1">
      <c r="A49" s="18" t="n">
        <v>8</v>
      </c>
      <c r="B49" s="155" t="inlineStr">
        <is>
          <t>Deoghar</t>
        </is>
      </c>
      <c r="C49" s="33" t="inlineStr">
        <is>
          <t>T3</t>
        </is>
      </c>
      <c r="D49" s="19" t="n">
        <v>33</v>
      </c>
      <c r="E49" s="19" t="n">
        <v>2</v>
      </c>
      <c r="F49" s="19" t="n">
        <v>28</v>
      </c>
      <c r="G49" s="22" t="n">
        <v>16.5</v>
      </c>
      <c r="H49" s="21" t="n">
        <v>76.5</v>
      </c>
      <c r="I49" s="151" t="n">
        <v>38.2</v>
      </c>
      <c r="J49" s="152" t="inlineStr">
        <is>
          <t>🔴 HIGH</t>
        </is>
      </c>
    </row>
    <row r="50" ht="16" customHeight="1">
      <c r="A50" s="25" t="n">
        <v>9</v>
      </c>
      <c r="B50" s="155" t="inlineStr">
        <is>
          <t>Shahjanpur</t>
        </is>
      </c>
      <c r="C50" s="33" t="inlineStr">
        <is>
          <t>T3</t>
        </is>
      </c>
      <c r="D50" s="26" t="n">
        <v>32</v>
      </c>
      <c r="E50" s="26" t="n">
        <v>2</v>
      </c>
      <c r="F50" s="26" t="n">
        <v>26</v>
      </c>
      <c r="G50" s="22" t="n">
        <v>16</v>
      </c>
      <c r="H50" s="28" t="n">
        <v>52.1</v>
      </c>
      <c r="I50" s="150" t="n">
        <v>26.1</v>
      </c>
      <c r="J50" s="152" t="inlineStr">
        <is>
          <t>🔴 HIGH</t>
        </is>
      </c>
    </row>
    <row r="51" ht="16" customHeight="1">
      <c r="A51" s="18" t="n">
        <v>10</v>
      </c>
      <c r="B51" s="155" t="inlineStr">
        <is>
          <t>Deoria</t>
        </is>
      </c>
      <c r="C51" s="33" t="inlineStr">
        <is>
          <t>T3</t>
        </is>
      </c>
      <c r="D51" s="19" t="n">
        <v>29</v>
      </c>
      <c r="E51" s="19" t="n">
        <v>2</v>
      </c>
      <c r="F51" s="19" t="n">
        <v>23</v>
      </c>
      <c r="G51" s="76" t="n">
        <v>14.5</v>
      </c>
      <c r="H51" s="21" t="n">
        <v>86</v>
      </c>
      <c r="I51" s="151" t="n">
        <v>43</v>
      </c>
      <c r="J51" s="152" t="inlineStr">
        <is>
          <t>🔴 HIGH</t>
        </is>
      </c>
    </row>
    <row r="53" ht="20" customHeight="1">
      <c r="A53" s="156" t="inlineStr">
        <is>
          <t>── T4 — Tier 4 Micro ──</t>
        </is>
      </c>
    </row>
    <row r="54" ht="16" customHeight="1">
      <c r="A54" s="25" t="n">
        <v>1</v>
      </c>
      <c r="B54" s="157" t="inlineStr">
        <is>
          <t>Moga</t>
        </is>
      </c>
      <c r="C54" s="35" t="inlineStr">
        <is>
          <t>T4</t>
        </is>
      </c>
      <c r="D54" s="26" t="n">
        <v>29</v>
      </c>
      <c r="E54" s="26" t="n">
        <v>1</v>
      </c>
      <c r="F54" s="26" t="n">
        <v>26</v>
      </c>
      <c r="G54" s="22" t="n">
        <v>29</v>
      </c>
      <c r="H54" s="28" t="n">
        <v>65.8</v>
      </c>
      <c r="I54" s="150" t="n">
        <v>65.8</v>
      </c>
      <c r="J54" s="66" t="inlineStr">
        <is>
          <t>⛔ SAT</t>
        </is>
      </c>
    </row>
    <row r="55" ht="16" customHeight="1">
      <c r="A55" s="18" t="n">
        <v>2</v>
      </c>
      <c r="B55" s="157" t="inlineStr">
        <is>
          <t>Buxar</t>
        </is>
      </c>
      <c r="C55" s="35" t="inlineStr">
        <is>
          <t>T4</t>
        </is>
      </c>
      <c r="D55" s="19" t="n">
        <v>30</v>
      </c>
      <c r="E55" s="19" t="n">
        <v>2</v>
      </c>
      <c r="F55" s="19" t="n">
        <v>23</v>
      </c>
      <c r="G55" s="76" t="n">
        <v>15</v>
      </c>
      <c r="H55" s="21" t="n">
        <v>61</v>
      </c>
      <c r="I55" s="151" t="n">
        <v>30.5</v>
      </c>
      <c r="J55" s="152" t="inlineStr">
        <is>
          <t>🔴 HIGH</t>
        </is>
      </c>
    </row>
    <row r="56" ht="16" customHeight="1">
      <c r="A56" s="25" t="n">
        <v>3</v>
      </c>
      <c r="B56" s="157" t="inlineStr">
        <is>
          <t>Sangrur</t>
        </is>
      </c>
      <c r="C56" s="35" t="inlineStr">
        <is>
          <t>T4</t>
        </is>
      </c>
      <c r="D56" s="26" t="n">
        <v>61</v>
      </c>
      <c r="E56" s="26" t="n">
        <v>5</v>
      </c>
      <c r="F56" s="26" t="n">
        <v>26</v>
      </c>
      <c r="G56" s="76" t="n">
        <v>12.2</v>
      </c>
      <c r="H56" s="28" t="n">
        <v>100.4</v>
      </c>
      <c r="I56" s="150" t="n">
        <v>20.1</v>
      </c>
      <c r="J56" s="152" t="inlineStr">
        <is>
          <t>🔴 HIGH</t>
        </is>
      </c>
    </row>
    <row r="57" ht="16" customHeight="1">
      <c r="A57" s="18" t="n">
        <v>4</v>
      </c>
      <c r="B57" s="157" t="inlineStr">
        <is>
          <t>Dharuhera</t>
        </is>
      </c>
      <c r="C57" s="35" t="inlineStr">
        <is>
          <t>T4</t>
        </is>
      </c>
      <c r="D57" s="19" t="n">
        <v>31</v>
      </c>
      <c r="E57" s="19" t="n">
        <v>3</v>
      </c>
      <c r="F57" s="19" t="n">
        <v>23</v>
      </c>
      <c r="G57" s="76" t="n">
        <v>10.33</v>
      </c>
      <c r="H57" s="21" t="n">
        <v>71.09999999999999</v>
      </c>
      <c r="I57" s="151" t="n">
        <v>23.7</v>
      </c>
      <c r="J57" s="69" t="inlineStr">
        <is>
          <t>🟡 MID</t>
        </is>
      </c>
    </row>
    <row r="58" ht="16" customHeight="1">
      <c r="A58" s="25" t="n">
        <v>5</v>
      </c>
      <c r="B58" s="157" t="inlineStr">
        <is>
          <t>Bettiah</t>
        </is>
      </c>
      <c r="C58" s="35" t="inlineStr">
        <is>
          <t>T4</t>
        </is>
      </c>
      <c r="D58" s="26" t="n">
        <v>51</v>
      </c>
      <c r="E58" s="26" t="n">
        <v>5</v>
      </c>
      <c r="F58" s="26" t="n">
        <v>33</v>
      </c>
      <c r="G58" s="76" t="n">
        <v>10.2</v>
      </c>
      <c r="H58" s="28" t="n">
        <v>150.6</v>
      </c>
      <c r="I58" s="150" t="n">
        <v>30.1</v>
      </c>
      <c r="J58" s="69" t="inlineStr">
        <is>
          <t>🟡 MID</t>
        </is>
      </c>
    </row>
    <row r="59" ht="16" customHeight="1">
      <c r="A59" s="18" t="n">
        <v>6</v>
      </c>
      <c r="B59" s="157" t="inlineStr">
        <is>
          <t>Siliguri</t>
        </is>
      </c>
      <c r="C59" s="35" t="inlineStr">
        <is>
          <t>T4</t>
        </is>
      </c>
      <c r="D59" s="19" t="n">
        <v>182</v>
      </c>
      <c r="E59" s="19" t="n">
        <v>19</v>
      </c>
      <c r="F59" s="19" t="n">
        <v>66</v>
      </c>
      <c r="G59" s="34" t="n">
        <v>9.58</v>
      </c>
      <c r="H59" s="21" t="n">
        <v>712.3</v>
      </c>
      <c r="I59" s="151" t="n">
        <v>37.5</v>
      </c>
      <c r="J59" s="69" t="inlineStr">
        <is>
          <t>🟡 MID</t>
        </is>
      </c>
    </row>
    <row r="60" ht="16" customHeight="1">
      <c r="A60" s="25" t="n">
        <v>7</v>
      </c>
      <c r="B60" s="157" t="inlineStr">
        <is>
          <t>Gurdaspur</t>
        </is>
      </c>
      <c r="C60" s="35" t="inlineStr">
        <is>
          <t>T4</t>
        </is>
      </c>
      <c r="D60" s="26" t="n">
        <v>36</v>
      </c>
      <c r="E60" s="26" t="n">
        <v>4</v>
      </c>
      <c r="F60" s="26" t="n">
        <v>21</v>
      </c>
      <c r="G60" s="34" t="n">
        <v>9</v>
      </c>
      <c r="H60" s="28" t="n">
        <v>110.4</v>
      </c>
      <c r="I60" s="150" t="n">
        <v>27.6</v>
      </c>
      <c r="J60" s="69" t="inlineStr">
        <is>
          <t>🟡 MID</t>
        </is>
      </c>
    </row>
    <row r="61" ht="16" customHeight="1">
      <c r="A61" s="18" t="n">
        <v>8</v>
      </c>
      <c r="B61" s="157" t="inlineStr">
        <is>
          <t>Panaji</t>
        </is>
      </c>
      <c r="C61" s="35" t="inlineStr">
        <is>
          <t>T4</t>
        </is>
      </c>
      <c r="D61" s="19" t="n">
        <v>114</v>
      </c>
      <c r="E61" s="19" t="n">
        <v>13</v>
      </c>
      <c r="F61" s="19" t="n">
        <v>50</v>
      </c>
      <c r="G61" s="34" t="n">
        <v>8.77</v>
      </c>
      <c r="H61" s="21" t="n">
        <v>275</v>
      </c>
      <c r="I61" s="151" t="n">
        <v>21.2</v>
      </c>
      <c r="J61" s="69" t="inlineStr">
        <is>
          <t>🟡 MID</t>
        </is>
      </c>
    </row>
    <row r="62" ht="16" customHeight="1">
      <c r="A62" s="25" t="n">
        <v>9</v>
      </c>
      <c r="B62" s="157" t="inlineStr">
        <is>
          <t>Porbandar</t>
        </is>
      </c>
      <c r="C62" s="35" t="inlineStr">
        <is>
          <t>T4</t>
        </is>
      </c>
      <c r="D62" s="26" t="n">
        <v>8</v>
      </c>
      <c r="E62" s="26" t="n">
        <v>1</v>
      </c>
      <c r="F62" s="26" t="n">
        <v>8</v>
      </c>
      <c r="G62" s="34" t="n">
        <v>8</v>
      </c>
      <c r="H62" s="28" t="n">
        <v>18.9</v>
      </c>
      <c r="I62" s="150" t="n">
        <v>18.9</v>
      </c>
      <c r="J62" s="69" t="inlineStr">
        <is>
          <t>🟡 MID</t>
        </is>
      </c>
    </row>
    <row r="63" ht="16" customHeight="1">
      <c r="A63" s="18" t="n">
        <v>10</v>
      </c>
      <c r="B63" s="157" t="inlineStr">
        <is>
          <t>Motihari</t>
        </is>
      </c>
      <c r="C63" s="35" t="inlineStr">
        <is>
          <t>T4</t>
        </is>
      </c>
      <c r="D63" s="19" t="n">
        <v>58</v>
      </c>
      <c r="E63" s="19" t="n">
        <v>8</v>
      </c>
      <c r="F63" s="19" t="n">
        <v>32</v>
      </c>
      <c r="G63" s="34" t="n">
        <v>7.25</v>
      </c>
      <c r="H63" s="21" t="n">
        <v>181.4</v>
      </c>
      <c r="I63" s="151" t="n">
        <v>22.7</v>
      </c>
      <c r="J63" s="69" t="inlineStr">
        <is>
          <t>🟡 MID</t>
        </is>
      </c>
    </row>
  </sheetData>
  <mergeCells count="7">
    <mergeCell ref="A1:J1"/>
    <mergeCell ref="A5:J5"/>
    <mergeCell ref="A17:J17"/>
    <mergeCell ref="A53:J53"/>
    <mergeCell ref="A29:J29"/>
    <mergeCell ref="A2:J2"/>
    <mergeCell ref="A41:J4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4151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 ht="30" customHeight="1">
      <c r="A1" s="158" t="inlineStr">
        <is>
          <t>EX-08  TIER CONCLUSIONS — Revenue-Validated Investor Narrative</t>
        </is>
      </c>
    </row>
    <row r="3" ht="26" customHeight="1">
      <c r="A3" s="159" t="inlineStr">
        <is>
          <t>[C1]  Metro Saturation is Structural</t>
        </is>
      </c>
    </row>
    <row r="4" ht="60" customHeight="1">
      <c r="A4" s="160" t="inlineStr">
        <is>
          <t>Metro = 13.1 SPP, ₹21,311 Cr revenue from 611 pincodes (₹34.9 Cr/pin). Premium Menswear = 28.8% Metro stores, ₹2,324 Cr. 5+ premium brands compete in 37% of premium pincodes. Revenue-per-store is being split among increasingly many competitors.</t>
        </is>
      </c>
    </row>
    <row r="5" ht="32" customHeight="1">
      <c r="A5" s="161" t="inlineStr">
        <is>
          <t>📌 Discount Metro premium greenfield capex. Underweight Metro-heavy premium expansion stories. SPP &gt; 15 = value-destructive for new entrants.</t>
        </is>
      </c>
    </row>
    <row r="7" ht="26" customHeight="1">
      <c r="A7" s="162" t="inlineStr">
        <is>
          <t>[C2]  T2 = Scale + Runway. Revenue Confirms.</t>
        </is>
      </c>
    </row>
    <row r="8" ht="60" customHeight="1">
      <c r="A8" s="160" t="inlineStr">
        <is>
          <t>T2 = ₹27,785 Cr revenue across 1,429 pincodes (₹19.4 Cr/pin) at 6.7 SPP. Under-monetised vs Metro (₹34.9 Cr/pin) — confirming wallet exists but brands haven't arrived. Revenue gap × active pincodes = the uncaptured opportunity.</t>
        </is>
      </c>
    </row>
    <row r="9" ht="32" customHeight="1">
      <c r="A9" s="163" t="inlineStr">
        <is>
          <t>📌 Overweight T2-first expansion brands. Revenue density gap to Metro is the investment signal — not risk.</t>
        </is>
      </c>
    </row>
    <row r="11" ht="26" customHeight="1">
      <c r="A11" s="164" t="inlineStr">
        <is>
          <t>[C3]  Zudio 3,000+ Store Target — Data-Validated. ₹27,100 Cr Upside.</t>
        </is>
      </c>
    </row>
    <row r="12" ht="60" customHeight="1">
      <c r="A12" s="160" t="inlineStr">
        <is>
          <t>Zudio FY26 = ₹8,148 Cr, 963 stores, ₹8.46 Cr/store. 1,204 T2 + 931 T3 pincodes untouched (79% + 88% of each tier). At 1.5 stores/pin × ₹8.46 Cr = ₹27,100 Cr revenue upside. Pincode math independently validates management guidance.</t>
        </is>
      </c>
    </row>
    <row r="13" ht="32" customHeight="1">
      <c r="A13" s="165" t="inlineStr">
        <is>
          <t>📌 Long Trent. Store runway AND revenue math agree. The 3,000+ store target is data-supported, not just management optimism.</t>
        </is>
      </c>
    </row>
    <row r="15" ht="26" customHeight="1">
      <c r="A15" s="159" t="inlineStr">
        <is>
          <t>[C4]  Women's Wear = Largest Revenue Whitespace</t>
        </is>
      </c>
    </row>
    <row r="16" ht="60" customHeight="1">
      <c r="A16" s="160" t="inlineStr">
        <is>
          <t>Women's Ethnic + Western: ₹944 Cr T3 vs ₹3,195 Cr Metro. T3 has 60% more districts but generates 70% less women's revenue. Revenue per capita gap is 12×. The 38% women's wallet in T3 household spend is almost entirely unorganised.</t>
        </is>
      </c>
    </row>
    <row r="17" ht="32" customHeight="1">
      <c r="A17" s="161" t="inlineStr">
        <is>
          <t>📌 Long Go Colors (₹609 Cr, 473 moat pins — largest Women's Western moat). Watch Biba T2/T3 push. Category runway is 5-10× current organised base.</t>
        </is>
      </c>
    </row>
    <row r="19" ht="26" customHeight="1">
      <c r="A19" s="166" t="inlineStr">
        <is>
          <t>[C5]  Multi-Tier Revenue Leaders Are Identifiable Today</t>
        </is>
      </c>
    </row>
    <row r="20" ht="60" customHeight="1">
      <c r="A20" s="160" t="inlineStr">
        <is>
          <t>Reliance Trends: 1,768 pincodes, 792 VF moat pins, widest organised apparel moat. Bata: 552 Footwear moat pins. Jockey: 706 Activewear moat pins. These three generate more T2+ revenue than their next 10 competitors combined. The gap is structural.</t>
        </is>
      </c>
    </row>
    <row r="21" ht="32" customHeight="1">
      <c r="A21" s="167" t="inlineStr">
        <is>
          <t>📌 Revenue from T2+T3+T4 is the key metric for identifying organised apparel compounders. These brands are already visible.</t>
        </is>
      </c>
    </row>
    <row r="23" ht="26" customHeight="1">
      <c r="A23" s="164" t="inlineStr">
        <is>
          <t>[C6]  India T3 = China 2003 — Decade of Density Convergence</t>
        </is>
      </c>
    </row>
    <row r="24" ht="60" customHeight="1">
      <c r="A24" s="160" t="inlineStr">
        <is>
          <t>India T3 at ₹15 Cr/pin = China 2003 organised retail density. China went 10× in 15 years → 8-12% CAGR for leaders. If India T3 converges to T2 (₹19.4 Cr/pin): 1,285 pins × ₹4.4 Cr uplift = ₹5,654 Cr incremental annual revenue. Plus 688 zero-pincodes activating.</t>
        </is>
      </c>
    </row>
    <row r="25" ht="32" customHeight="1">
      <c r="A25" s="165" t="inlineStr">
        <is>
          <t>📌 Brands with T3 pincode depth TODAY are building the distribution infrastructure for 2030-2035 compounding. The winners are visible now.</t>
        </is>
      </c>
    </row>
  </sheetData>
  <mergeCells count="19">
    <mergeCell ref="A9:H9"/>
    <mergeCell ref="A15:H15"/>
    <mergeCell ref="A24:H24"/>
    <mergeCell ref="A11:H11"/>
    <mergeCell ref="A7:H7"/>
    <mergeCell ref="A25:H25"/>
    <mergeCell ref="A16:H16"/>
    <mergeCell ref="A12:H12"/>
    <mergeCell ref="A1:J1"/>
    <mergeCell ref="A3:H3"/>
    <mergeCell ref="A21:H21"/>
    <mergeCell ref="A5:H5"/>
    <mergeCell ref="A23:H23"/>
    <mergeCell ref="A8:H8"/>
    <mergeCell ref="A17:H17"/>
    <mergeCell ref="A4:H4"/>
    <mergeCell ref="A20:H20"/>
    <mergeCell ref="A13:H13"/>
    <mergeCell ref="A19:H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4151"/>
    <outlinePr summaryBelow="1" summaryRight="1"/>
    <pageSetUpPr/>
  </sheetPr>
  <dimension ref="A1:L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4" customHeight="1">
      <c r="A1" s="168" t="inlineStr">
        <is>
          <t>⚙️ DATA — Master Source Table  |  Update here → all exhibits auto-refresh via formulas</t>
        </is>
      </c>
    </row>
    <row r="3" ht="18" customHeight="1">
      <c r="A3" s="110" t="inlineStr">
        <is>
          <t>A — TIER SUMMARY</t>
        </is>
      </c>
    </row>
    <row r="4" ht="22" customHeight="1">
      <c r="A4" s="16" t="inlineStr">
        <is>
          <t>Tier</t>
        </is>
      </c>
      <c r="B4" s="16" t="inlineStr">
        <is>
          <t>Label</t>
        </is>
      </c>
      <c r="C4" s="16" t="inlineStr">
        <is>
          <t>Stores</t>
        </is>
      </c>
      <c r="D4" s="16" t="inlineStr">
        <is>
          <t>Revenue_Cr</t>
        </is>
      </c>
      <c r="E4" s="16" t="inlineStr">
        <is>
          <t>Active_Pins</t>
        </is>
      </c>
      <c r="F4" s="16" t="inlineStr">
        <is>
          <t>SPP</t>
        </is>
      </c>
      <c r="G4" s="16" t="inlineStr">
        <is>
          <t>Rev_per_Store</t>
        </is>
      </c>
      <c r="H4" s="16" t="inlineStr">
        <is>
          <t>Rev_per_Pin</t>
        </is>
      </c>
      <c r="I4" s="16" t="inlineStr">
        <is>
          <t>Stores_%</t>
        </is>
      </c>
    </row>
    <row r="5" ht="18" customHeight="1">
      <c r="A5" s="169" t="inlineStr">
        <is>
          <t>Metro</t>
        </is>
      </c>
      <c r="B5" s="18" t="inlineStr">
        <is>
          <t>Mega Metro</t>
        </is>
      </c>
      <c r="C5" s="19" t="n">
        <v>8002</v>
      </c>
      <c r="D5" s="21" t="n">
        <v>21310.5</v>
      </c>
      <c r="E5" s="19" t="n">
        <v>611</v>
      </c>
      <c r="F5" s="32" t="n">
        <v>13.1</v>
      </c>
      <c r="G5" s="32" t="n">
        <v>2.66</v>
      </c>
      <c r="H5" s="32" t="n">
        <v>34.88</v>
      </c>
      <c r="I5" s="20">
        <f>C5/C10</f>
        <v/>
      </c>
    </row>
    <row r="6" ht="18" customHeight="1">
      <c r="A6" s="170" t="inlineStr">
        <is>
          <t>T1</t>
        </is>
      </c>
      <c r="B6" s="25" t="inlineStr">
        <is>
          <t>Tier 1 City</t>
        </is>
      </c>
      <c r="C6" s="26" t="n">
        <v>7340</v>
      </c>
      <c r="D6" s="28" t="n">
        <v>19039.1</v>
      </c>
      <c r="E6" s="26" t="n">
        <v>679</v>
      </c>
      <c r="F6" s="29" t="n">
        <v>10.81</v>
      </c>
      <c r="G6" s="29" t="n">
        <v>2.59</v>
      </c>
      <c r="H6" s="29" t="n">
        <v>28.04</v>
      </c>
      <c r="I6" s="27">
        <f>C6/C10</f>
        <v/>
      </c>
    </row>
    <row r="7" ht="18" customHeight="1">
      <c r="A7" s="171" t="inlineStr">
        <is>
          <t>T2</t>
        </is>
      </c>
      <c r="B7" s="18" t="inlineStr">
        <is>
          <t>Tier 2 City</t>
        </is>
      </c>
      <c r="C7" s="19" t="n">
        <v>9518</v>
      </c>
      <c r="D7" s="21" t="n">
        <v>27785.4</v>
      </c>
      <c r="E7" s="19" t="n">
        <v>1429</v>
      </c>
      <c r="F7" s="32" t="n">
        <v>6.66</v>
      </c>
      <c r="G7" s="32" t="n">
        <v>2.92</v>
      </c>
      <c r="H7" s="32" t="n">
        <v>19.44</v>
      </c>
      <c r="I7" s="20">
        <f>C7/C10</f>
        <v/>
      </c>
    </row>
    <row r="8" ht="18" customHeight="1">
      <c r="A8" s="172" t="inlineStr">
        <is>
          <t>T3</t>
        </is>
      </c>
      <c r="B8" s="25" t="inlineStr">
        <is>
          <t>Tier 3 Town</t>
        </is>
      </c>
      <c r="C8" s="26" t="n">
        <v>5963</v>
      </c>
      <c r="D8" s="28" t="n">
        <v>19289.1</v>
      </c>
      <c r="E8" s="26" t="n">
        <v>1285</v>
      </c>
      <c r="F8" s="29" t="n">
        <v>4.64</v>
      </c>
      <c r="G8" s="29" t="n">
        <v>3.23</v>
      </c>
      <c r="H8" s="29" t="n">
        <v>15.01</v>
      </c>
      <c r="I8" s="27">
        <f>C8/C10</f>
        <v/>
      </c>
    </row>
    <row r="9" ht="18" customHeight="1">
      <c r="A9" s="173" t="inlineStr">
        <is>
          <t>T4</t>
        </is>
      </c>
      <c r="B9" s="18" t="inlineStr">
        <is>
          <t>Tier 4 Micro</t>
        </is>
      </c>
      <c r="C9" s="19" t="n">
        <v>990</v>
      </c>
      <c r="D9" s="21" t="n">
        <v>3122.2</v>
      </c>
      <c r="E9" s="19" t="n">
        <v>140</v>
      </c>
      <c r="F9" s="32" t="n">
        <v>7.07</v>
      </c>
      <c r="G9" s="32" t="n">
        <v>3.15</v>
      </c>
      <c r="H9" s="32" t="n">
        <v>22.3</v>
      </c>
      <c r="I9" s="20">
        <f>C9/C10</f>
        <v/>
      </c>
    </row>
    <row r="10" ht="20" customHeight="1">
      <c r="A10" s="174" t="inlineStr">
        <is>
          <t>TOTAL</t>
        </is>
      </c>
      <c r="B10" s="37" t="inlineStr">
        <is>
          <t>All India</t>
        </is>
      </c>
      <c r="C10" s="38">
        <f>SUM(C5:C9)</f>
        <v/>
      </c>
      <c r="D10" s="39">
        <f>SUM(D5:D9)</f>
        <v/>
      </c>
      <c r="E10" s="38">
        <f>SUM(E5:E9)</f>
        <v/>
      </c>
      <c r="F10" s="175">
        <f>C10/E10</f>
        <v/>
      </c>
      <c r="G10" s="175">
        <f>D10/C10</f>
        <v/>
      </c>
      <c r="H10" s="175">
        <f>D10/E10</f>
        <v/>
      </c>
      <c r="I10" s="36" t="inlineStr">
        <is>
          <t>100.0%</t>
        </is>
      </c>
    </row>
    <row r="12" ht="18" customHeight="1">
      <c r="A12" s="108" t="inlineStr">
        <is>
          <t>B — STORES by Tier × Segment</t>
        </is>
      </c>
    </row>
    <row r="13" ht="24" customHeight="1">
      <c r="A13" s="53" t="inlineStr">
        <is>
          <t>Tier</t>
        </is>
      </c>
      <c r="B13" s="53" t="inlineStr">
        <is>
          <t>Value Fashion</t>
        </is>
      </c>
      <c r="C13" s="53" t="inlineStr">
        <is>
          <t>Premium Menswear</t>
        </is>
      </c>
      <c r="D13" s="53" t="inlineStr">
        <is>
          <t>Mid Menswear</t>
        </is>
      </c>
      <c r="E13" s="53" t="inlineStr">
        <is>
          <t>Footwear</t>
        </is>
      </c>
      <c r="F13" s="53" t="inlineStr">
        <is>
          <t>Activewear</t>
        </is>
      </c>
      <c r="G13" s="53" t="inlineStr">
        <is>
          <t>Women's Ethnic</t>
        </is>
      </c>
      <c r="H13" s="53" t="inlineStr">
        <is>
          <t>Women's Western</t>
        </is>
      </c>
      <c r="I13" s="53" t="inlineStr">
        <is>
          <t>Multi/Lifestyle</t>
        </is>
      </c>
      <c r="J13" s="53" t="inlineStr">
        <is>
          <t>TOTAL</t>
        </is>
      </c>
    </row>
    <row r="14" ht="18" customHeight="1">
      <c r="A14" s="169" t="inlineStr">
        <is>
          <t>Metro</t>
        </is>
      </c>
      <c r="B14" s="26" t="n">
        <v>1234</v>
      </c>
      <c r="C14" s="26" t="n">
        <v>1867</v>
      </c>
      <c r="D14" s="26" t="n">
        <v>835</v>
      </c>
      <c r="E14" s="26" t="n">
        <v>1400</v>
      </c>
      <c r="F14" s="26" t="n">
        <v>953</v>
      </c>
      <c r="G14" s="26" t="n">
        <v>732</v>
      </c>
      <c r="H14" s="26" t="n">
        <v>467</v>
      </c>
      <c r="I14" s="26" t="n">
        <v>514</v>
      </c>
      <c r="J14" s="48">
        <f>SUM(B14:I14)</f>
        <v/>
      </c>
    </row>
    <row r="15" ht="18" customHeight="1">
      <c r="A15" s="170" t="inlineStr">
        <is>
          <t>T1</t>
        </is>
      </c>
      <c r="B15" s="19" t="n">
        <v>1403</v>
      </c>
      <c r="C15" s="19" t="n">
        <v>1672</v>
      </c>
      <c r="D15" s="19" t="n">
        <v>867</v>
      </c>
      <c r="E15" s="19" t="n">
        <v>1171</v>
      </c>
      <c r="F15" s="19" t="n">
        <v>880</v>
      </c>
      <c r="G15" s="19" t="n">
        <v>561</v>
      </c>
      <c r="H15" s="19" t="n">
        <v>379</v>
      </c>
      <c r="I15" s="19" t="n">
        <v>407</v>
      </c>
      <c r="J15" s="49">
        <f>SUM(B15:I15)</f>
        <v/>
      </c>
    </row>
    <row r="16" ht="18" customHeight="1">
      <c r="A16" s="171" t="inlineStr">
        <is>
          <t>T2</t>
        </is>
      </c>
      <c r="B16" s="26" t="n">
        <v>2269</v>
      </c>
      <c r="C16" s="26" t="n">
        <v>1946</v>
      </c>
      <c r="D16" s="26" t="n">
        <v>1337</v>
      </c>
      <c r="E16" s="26" t="n">
        <v>1563</v>
      </c>
      <c r="F16" s="26" t="n">
        <v>981</v>
      </c>
      <c r="G16" s="26" t="n">
        <v>546</v>
      </c>
      <c r="H16" s="26" t="n">
        <v>329</v>
      </c>
      <c r="I16" s="26" t="n">
        <v>547</v>
      </c>
      <c r="J16" s="50">
        <f>SUM(B16:I16)</f>
        <v/>
      </c>
    </row>
    <row r="17" ht="18" customHeight="1">
      <c r="A17" s="172" t="inlineStr">
        <is>
          <t>T3</t>
        </is>
      </c>
      <c r="B17" s="19" t="n">
        <v>1751</v>
      </c>
      <c r="C17" s="19" t="n">
        <v>837</v>
      </c>
      <c r="D17" s="19" t="n">
        <v>981</v>
      </c>
      <c r="E17" s="19" t="n">
        <v>945</v>
      </c>
      <c r="F17" s="19" t="n">
        <v>479</v>
      </c>
      <c r="G17" s="19" t="n">
        <v>196</v>
      </c>
      <c r="H17" s="19" t="n">
        <v>123</v>
      </c>
      <c r="I17" s="19" t="n">
        <v>651</v>
      </c>
      <c r="J17" s="51">
        <f>SUM(B17:I17)</f>
        <v/>
      </c>
    </row>
    <row r="18" ht="18" customHeight="1">
      <c r="A18" s="173" t="inlineStr">
        <is>
          <t>T4</t>
        </is>
      </c>
      <c r="B18" s="26" t="n">
        <v>250</v>
      </c>
      <c r="C18" s="26" t="n">
        <v>153</v>
      </c>
      <c r="D18" s="26" t="n">
        <v>178</v>
      </c>
      <c r="E18" s="26" t="n">
        <v>180</v>
      </c>
      <c r="F18" s="26" t="n">
        <v>92</v>
      </c>
      <c r="G18" s="26" t="n">
        <v>52</v>
      </c>
      <c r="H18" s="26" t="n">
        <v>30</v>
      </c>
      <c r="I18" s="26" t="n">
        <v>55</v>
      </c>
      <c r="J18" s="52">
        <f>SUM(B18:I18)</f>
        <v/>
      </c>
    </row>
    <row r="19" ht="20" customHeight="1">
      <c r="A19" s="174" t="inlineStr">
        <is>
          <t>TOTAL</t>
        </is>
      </c>
      <c r="B19" s="38">
        <f>SUM(B14:B18)</f>
        <v/>
      </c>
      <c r="C19" s="38">
        <f>SUM(C14:C18)</f>
        <v/>
      </c>
      <c r="D19" s="38">
        <f>SUM(D14:D18)</f>
        <v/>
      </c>
      <c r="E19" s="38">
        <f>SUM(E14:E18)</f>
        <v/>
      </c>
      <c r="F19" s="38">
        <f>SUM(F14:F18)</f>
        <v/>
      </c>
      <c r="G19" s="38">
        <f>SUM(G14:G18)</f>
        <v/>
      </c>
      <c r="H19" s="38">
        <f>SUM(H14:H18)</f>
        <v/>
      </c>
      <c r="I19" s="38">
        <f>SUM(I14:I18)</f>
        <v/>
      </c>
      <c r="J19" s="38">
        <f>SUM(J14:J18)</f>
        <v/>
      </c>
    </row>
    <row r="21" ht="18" customHeight="1">
      <c r="A21" s="103" t="inlineStr">
        <is>
          <t>C — REVENUE by Tier × Segment (₹ Cr)</t>
        </is>
      </c>
    </row>
    <row r="22" ht="24" customHeight="1">
      <c r="A22" s="55" t="inlineStr">
        <is>
          <t>Tier</t>
        </is>
      </c>
      <c r="B22" s="55" t="inlineStr">
        <is>
          <t>Value Fashion</t>
        </is>
      </c>
      <c r="C22" s="55" t="inlineStr">
        <is>
          <t>Premium Menswear</t>
        </is>
      </c>
      <c r="D22" s="55" t="inlineStr">
        <is>
          <t>Mid Menswear</t>
        </is>
      </c>
      <c r="E22" s="55" t="inlineStr">
        <is>
          <t>Footwear</t>
        </is>
      </c>
      <c r="F22" s="55" t="inlineStr">
        <is>
          <t>Activewear</t>
        </is>
      </c>
      <c r="G22" s="55" t="inlineStr">
        <is>
          <t>Women's Ethnic</t>
        </is>
      </c>
      <c r="H22" s="55" t="inlineStr">
        <is>
          <t>Women's Western</t>
        </is>
      </c>
      <c r="I22" s="55" t="inlineStr">
        <is>
          <t>Multi/Lifestyle</t>
        </is>
      </c>
      <c r="J22" s="55" t="inlineStr">
        <is>
          <t>TOTAL</t>
        </is>
      </c>
    </row>
    <row r="23" ht="18" customHeight="1">
      <c r="A23" s="169" t="inlineStr">
        <is>
          <t>Metro</t>
        </is>
      </c>
      <c r="B23" s="21" t="n">
        <v>6379.8</v>
      </c>
      <c r="C23" s="21" t="n">
        <v>2324</v>
      </c>
      <c r="D23" s="21" t="n">
        <v>598.4</v>
      </c>
      <c r="E23" s="21" t="n">
        <v>2446.3</v>
      </c>
      <c r="F23" s="21" t="n">
        <v>1605.5</v>
      </c>
      <c r="G23" s="21" t="n">
        <v>759.5</v>
      </c>
      <c r="H23" s="21" t="n">
        <v>467</v>
      </c>
      <c r="I23" s="21" t="n">
        <v>6730</v>
      </c>
      <c r="J23" s="56">
        <f>SUM(B23:I23)</f>
        <v/>
      </c>
    </row>
    <row r="24" ht="18" customHeight="1">
      <c r="A24" s="170" t="inlineStr">
        <is>
          <t>T1</t>
        </is>
      </c>
      <c r="B24" s="28" t="n">
        <v>7930.6</v>
      </c>
      <c r="C24" s="28" t="n">
        <v>1873.3</v>
      </c>
      <c r="D24" s="28" t="n">
        <v>756.1</v>
      </c>
      <c r="E24" s="28" t="n">
        <v>1985</v>
      </c>
      <c r="F24" s="28" t="n">
        <v>1074.6</v>
      </c>
      <c r="G24" s="28" t="n">
        <v>606.9</v>
      </c>
      <c r="H24" s="28" t="n">
        <v>362.7</v>
      </c>
      <c r="I24" s="28" t="n">
        <v>4450</v>
      </c>
      <c r="J24" s="57">
        <f>SUM(B24:I24)</f>
        <v/>
      </c>
    </row>
    <row r="25" ht="18" customHeight="1">
      <c r="A25" s="171" t="inlineStr">
        <is>
          <t>T2</t>
        </is>
      </c>
      <c r="B25" s="21" t="n">
        <v>14804.8</v>
      </c>
      <c r="C25" s="21" t="n">
        <v>1949</v>
      </c>
      <c r="D25" s="21" t="n">
        <v>1185.1</v>
      </c>
      <c r="E25" s="21" t="n">
        <v>2706.9</v>
      </c>
      <c r="F25" s="21" t="n">
        <v>961.1</v>
      </c>
      <c r="G25" s="21" t="n">
        <v>692.4</v>
      </c>
      <c r="H25" s="21" t="n">
        <v>307.1</v>
      </c>
      <c r="I25" s="21" t="n">
        <v>5178.9</v>
      </c>
      <c r="J25" s="58">
        <f>SUM(B25:I25)</f>
        <v/>
      </c>
    </row>
    <row r="26" ht="18" customHeight="1">
      <c r="A26" s="172" t="inlineStr">
        <is>
          <t>T3</t>
        </is>
      </c>
      <c r="B26" s="28" t="n">
        <v>11833.9</v>
      </c>
      <c r="C26" s="28" t="n">
        <v>691.2</v>
      </c>
      <c r="D26" s="28" t="n">
        <v>1155.1</v>
      </c>
      <c r="E26" s="28" t="n">
        <v>1439.1</v>
      </c>
      <c r="F26" s="28" t="n">
        <v>304.6</v>
      </c>
      <c r="G26" s="28" t="n">
        <v>340.3</v>
      </c>
      <c r="H26" s="28" t="n">
        <v>114.1</v>
      </c>
      <c r="I26" s="28" t="n">
        <v>3410.8</v>
      </c>
      <c r="J26" s="59">
        <f>SUM(B26:I26)</f>
        <v/>
      </c>
    </row>
    <row r="27" ht="18" customHeight="1">
      <c r="A27" s="173" t="inlineStr">
        <is>
          <t>T4</t>
        </is>
      </c>
      <c r="B27" s="21" t="n">
        <v>1596.2</v>
      </c>
      <c r="C27" s="21" t="n">
        <v>161.5</v>
      </c>
      <c r="D27" s="21" t="n">
        <v>290.9</v>
      </c>
      <c r="E27" s="21" t="n">
        <v>310.3</v>
      </c>
      <c r="F27" s="21" t="n">
        <v>92.59999999999999</v>
      </c>
      <c r="G27" s="21" t="n">
        <v>114.8</v>
      </c>
      <c r="H27" s="21" t="n">
        <v>32.9</v>
      </c>
      <c r="I27" s="21" t="n">
        <v>523.1</v>
      </c>
      <c r="J27" s="60">
        <f>SUM(B27:I27)</f>
        <v/>
      </c>
    </row>
    <row r="28" ht="20" customHeight="1">
      <c r="A28" s="174" t="inlineStr">
        <is>
          <t>TOTAL</t>
        </is>
      </c>
      <c r="B28" s="39">
        <f>SUM(B23:B27)</f>
        <v/>
      </c>
      <c r="C28" s="39">
        <f>SUM(C23:C27)</f>
        <v/>
      </c>
      <c r="D28" s="39">
        <f>SUM(D23:D27)</f>
        <v/>
      </c>
      <c r="E28" s="39">
        <f>SUM(E23:E27)</f>
        <v/>
      </c>
      <c r="F28" s="39">
        <f>SUM(F23:F27)</f>
        <v/>
      </c>
      <c r="G28" s="39">
        <f>SUM(G23:G27)</f>
        <v/>
      </c>
      <c r="H28" s="39">
        <f>SUM(H23:H27)</f>
        <v/>
      </c>
      <c r="I28" s="39">
        <f>SUM(I23:I27)</f>
        <v/>
      </c>
      <c r="J28" s="39">
        <f>SUM(J23:J27)</f>
        <v/>
      </c>
    </row>
    <row r="30" ht="18" customHeight="1">
      <c r="A30" s="106" t="inlineStr">
        <is>
          <t>D — SEGMENT % WITHIN TIER (formulas → Block B)</t>
        </is>
      </c>
    </row>
    <row r="31" ht="22" customHeight="1">
      <c r="A31" s="176" t="inlineStr">
        <is>
          <t>Tier</t>
        </is>
      </c>
      <c r="B31" s="176" t="inlineStr">
        <is>
          <t>Value Fashion</t>
        </is>
      </c>
      <c r="C31" s="176" t="inlineStr">
        <is>
          <t>Premium Menswear</t>
        </is>
      </c>
      <c r="D31" s="176" t="inlineStr">
        <is>
          <t>Mid Menswear</t>
        </is>
      </c>
      <c r="E31" s="176" t="inlineStr">
        <is>
          <t>Footwear</t>
        </is>
      </c>
      <c r="F31" s="176" t="inlineStr">
        <is>
          <t>Activewear</t>
        </is>
      </c>
      <c r="G31" s="176" t="inlineStr">
        <is>
          <t>Women's Ethnic</t>
        </is>
      </c>
      <c r="H31" s="176" t="inlineStr">
        <is>
          <t>Women's Western</t>
        </is>
      </c>
      <c r="I31" s="176" t="inlineStr">
        <is>
          <t>Multi/Lifestyle</t>
        </is>
      </c>
    </row>
    <row r="32" ht="18" customHeight="1">
      <c r="A32" s="169" t="inlineStr">
        <is>
          <t>Metro</t>
        </is>
      </c>
      <c r="B32" s="177">
        <f>IF(J14=0,0,B14/J14)</f>
        <v/>
      </c>
      <c r="C32" s="177">
        <f>IF(J14=0,0,C14/J14)</f>
        <v/>
      </c>
      <c r="D32" s="177">
        <f>IF(J14=0,0,D14/J14)</f>
        <v/>
      </c>
      <c r="E32" s="177">
        <f>IF(J14=0,0,E14/J14)</f>
        <v/>
      </c>
      <c r="F32" s="177">
        <f>IF(J14=0,0,F14/J14)</f>
        <v/>
      </c>
      <c r="G32" s="177">
        <f>IF(J14=0,0,G14/J14)</f>
        <v/>
      </c>
      <c r="H32" s="177">
        <f>IF(J14=0,0,H14/J14)</f>
        <v/>
      </c>
      <c r="I32" s="177">
        <f>IF(J14=0,0,I14/J14)</f>
        <v/>
      </c>
    </row>
    <row r="33" ht="18" customHeight="1">
      <c r="A33" s="170" t="inlineStr">
        <is>
          <t>T1</t>
        </is>
      </c>
      <c r="B33" s="178">
        <f>IF(J15=0,0,B15/J15)</f>
        <v/>
      </c>
      <c r="C33" s="178">
        <f>IF(J15=0,0,C15/J15)</f>
        <v/>
      </c>
      <c r="D33" s="178">
        <f>IF(J15=0,0,D15/J15)</f>
        <v/>
      </c>
      <c r="E33" s="178">
        <f>IF(J15=0,0,E15/J15)</f>
        <v/>
      </c>
      <c r="F33" s="178">
        <f>IF(J15=0,0,F15/J15)</f>
        <v/>
      </c>
      <c r="G33" s="178">
        <f>IF(J15=0,0,G15/J15)</f>
        <v/>
      </c>
      <c r="H33" s="178">
        <f>IF(J15=0,0,H15/J15)</f>
        <v/>
      </c>
      <c r="I33" s="178">
        <f>IF(J15=0,0,I15/J15)</f>
        <v/>
      </c>
    </row>
    <row r="34" ht="18" customHeight="1">
      <c r="A34" s="171" t="inlineStr">
        <is>
          <t>T2</t>
        </is>
      </c>
      <c r="B34" s="177">
        <f>IF(J16=0,0,B16/J16)</f>
        <v/>
      </c>
      <c r="C34" s="177">
        <f>IF(J16=0,0,C16/J16)</f>
        <v/>
      </c>
      <c r="D34" s="177">
        <f>IF(J16=0,0,D16/J16)</f>
        <v/>
      </c>
      <c r="E34" s="177">
        <f>IF(J16=0,0,E16/J16)</f>
        <v/>
      </c>
      <c r="F34" s="177">
        <f>IF(J16=0,0,F16/J16)</f>
        <v/>
      </c>
      <c r="G34" s="177">
        <f>IF(J16=0,0,G16/J16)</f>
        <v/>
      </c>
      <c r="H34" s="177">
        <f>IF(J16=0,0,H16/J16)</f>
        <v/>
      </c>
      <c r="I34" s="177">
        <f>IF(J16=0,0,I16/J16)</f>
        <v/>
      </c>
    </row>
    <row r="35" ht="18" customHeight="1">
      <c r="A35" s="172" t="inlineStr">
        <is>
          <t>T3</t>
        </is>
      </c>
      <c r="B35" s="178">
        <f>IF(J17=0,0,B17/J17)</f>
        <v/>
      </c>
      <c r="C35" s="178">
        <f>IF(J17=0,0,C17/J17)</f>
        <v/>
      </c>
      <c r="D35" s="178">
        <f>IF(J17=0,0,D17/J17)</f>
        <v/>
      </c>
      <c r="E35" s="178">
        <f>IF(J17=0,0,E17/J17)</f>
        <v/>
      </c>
      <c r="F35" s="178">
        <f>IF(J17=0,0,F17/J17)</f>
        <v/>
      </c>
      <c r="G35" s="178">
        <f>IF(J17=0,0,G17/J17)</f>
        <v/>
      </c>
      <c r="H35" s="178">
        <f>IF(J17=0,0,H17/J17)</f>
        <v/>
      </c>
      <c r="I35" s="178">
        <f>IF(J17=0,0,I17/J17)</f>
        <v/>
      </c>
    </row>
    <row r="36" ht="18" customHeight="1">
      <c r="A36" s="173" t="inlineStr">
        <is>
          <t>T4</t>
        </is>
      </c>
      <c r="B36" s="177">
        <f>IF(J18=0,0,B18/J18)</f>
        <v/>
      </c>
      <c r="C36" s="177">
        <f>IF(J18=0,0,C18/J18)</f>
        <v/>
      </c>
      <c r="D36" s="177">
        <f>IF(J18=0,0,D18/J18)</f>
        <v/>
      </c>
      <c r="E36" s="177">
        <f>IF(J18=0,0,E18/J18)</f>
        <v/>
      </c>
      <c r="F36" s="177">
        <f>IF(J18=0,0,F18/J18)</f>
        <v/>
      </c>
      <c r="G36" s="177">
        <f>IF(J18=0,0,G18/J18)</f>
        <v/>
      </c>
      <c r="H36" s="177">
        <f>IF(J18=0,0,H18/J18)</f>
        <v/>
      </c>
      <c r="I36" s="177">
        <f>IF(J18=0,0,I18/J18)</f>
        <v/>
      </c>
    </row>
    <row r="38" ht="18" customHeight="1">
      <c r="A38" s="156" t="inlineStr">
        <is>
          <t>E — BRAND FINANCIALS (FY25/26 actual — update here to refresh exhibits)</t>
        </is>
      </c>
    </row>
    <row r="39" ht="24" customHeight="1">
      <c r="A39" s="179" t="inlineStr">
        <is>
          <t>Brand</t>
        </is>
      </c>
      <c r="B39" s="179" t="inlineStr">
        <is>
          <t>Segment</t>
        </is>
      </c>
      <c r="C39" s="179" t="inlineStr">
        <is>
          <t>Rev FY26</t>
        </is>
      </c>
      <c r="D39" s="179" t="inlineStr">
        <is>
          <t>Rev FY25</t>
        </is>
      </c>
      <c r="E39" s="179" t="inlineStr">
        <is>
          <t>Stores Mar26</t>
        </is>
      </c>
      <c r="F39" s="179" t="inlineStr">
        <is>
          <t>Rev/Store</t>
        </is>
      </c>
      <c r="G39" s="179" t="inlineStr">
        <is>
          <t>Store Adds FY25</t>
        </is>
      </c>
      <c r="H39" s="179" t="inlineStr">
        <is>
          <t>Store Adds FY26</t>
        </is>
      </c>
      <c r="I39" s="179" t="inlineStr">
        <is>
          <t>Metro Pins</t>
        </is>
      </c>
      <c r="J39" s="179" t="inlineStr">
        <is>
          <t>T1 Pins</t>
        </is>
      </c>
      <c r="K39" s="179" t="inlineStr">
        <is>
          <t>T2 Pins</t>
        </is>
      </c>
      <c r="L39" s="179" t="inlineStr">
        <is>
          <t>T3 Pins</t>
        </is>
      </c>
    </row>
    <row r="40" ht="16" customHeight="1">
      <c r="A40" s="87" t="inlineStr">
        <is>
          <t>Reliance_Trends</t>
        </is>
      </c>
      <c r="B40" s="88" t="inlineStr">
        <is>
          <t>Value Fashion</t>
        </is>
      </c>
      <c r="C40" s="28" t="n">
        <v>21200</v>
      </c>
      <c r="D40" s="28" t="n">
        <v>0</v>
      </c>
      <c r="E40" s="26" t="n">
        <v>0</v>
      </c>
      <c r="F40" s="29" t="n">
        <v>10</v>
      </c>
      <c r="G40" s="26" t="n">
        <v>2022</v>
      </c>
      <c r="H40" s="26" t="n">
        <v>22526</v>
      </c>
      <c r="I40" s="26" t="n">
        <v>192</v>
      </c>
      <c r="J40" s="26" t="n">
        <v>281</v>
      </c>
      <c r="K40" s="26" t="n">
        <v>704</v>
      </c>
      <c r="L40" s="26" t="n">
        <v>532</v>
      </c>
    </row>
    <row r="41" ht="16" customHeight="1">
      <c r="A41" s="83" t="inlineStr">
        <is>
          <t>Zudio</t>
        </is>
      </c>
      <c r="B41" s="84" t="inlineStr">
        <is>
          <t>Value Fashion</t>
        </is>
      </c>
      <c r="C41" s="21" t="n">
        <v>11768.88</v>
      </c>
      <c r="D41" s="21" t="n">
        <v>7597.7</v>
      </c>
      <c r="E41" s="19" t="n">
        <v>3141</v>
      </c>
      <c r="F41" s="32" t="n">
        <v>0</v>
      </c>
      <c r="G41" s="19" t="n">
        <v>0</v>
      </c>
      <c r="H41" s="19" t="n">
        <v>0</v>
      </c>
      <c r="I41" s="19" t="n">
        <v>217</v>
      </c>
      <c r="J41" s="19" t="n">
        <v>181</v>
      </c>
      <c r="K41" s="19" t="n">
        <v>225</v>
      </c>
      <c r="L41" s="19" t="n">
        <v>132</v>
      </c>
    </row>
    <row r="42" ht="16" customHeight="1">
      <c r="A42" s="87" t="inlineStr">
        <is>
          <t>Westside</t>
        </is>
      </c>
      <c r="B42" s="91" t="inlineStr">
        <is>
          <t>Multi/Lifestyle</t>
        </is>
      </c>
      <c r="C42" s="28" t="n">
        <v>11768.88</v>
      </c>
      <c r="D42" s="28" t="n">
        <v>7597.7</v>
      </c>
      <c r="E42" s="26" t="n">
        <v>3141</v>
      </c>
      <c r="F42" s="29" t="n">
        <v>0</v>
      </c>
      <c r="G42" s="26" t="n">
        <v>0</v>
      </c>
      <c r="H42" s="26" t="n">
        <v>0</v>
      </c>
      <c r="I42" s="26" t="n">
        <v>9</v>
      </c>
      <c r="J42" s="26" t="n">
        <v>0</v>
      </c>
      <c r="K42" s="26" t="n">
        <v>1</v>
      </c>
      <c r="L42" s="26" t="n">
        <v>236</v>
      </c>
    </row>
    <row r="43" ht="16" customHeight="1">
      <c r="A43" s="83" t="inlineStr">
        <is>
          <t>Reliance_Smart_Bazaar</t>
        </is>
      </c>
      <c r="B43" s="89" t="inlineStr">
        <is>
          <t>Multi/Lifestyle</t>
        </is>
      </c>
      <c r="C43" s="21" t="n">
        <v>11143</v>
      </c>
      <c r="D43" s="21" t="n">
        <v>0</v>
      </c>
      <c r="E43" s="19" t="n">
        <v>0</v>
      </c>
      <c r="F43" s="32" t="n">
        <v>11</v>
      </c>
      <c r="G43" s="19" t="n">
        <v>0</v>
      </c>
      <c r="H43" s="19" t="n">
        <v>0</v>
      </c>
      <c r="I43" s="19" t="n">
        <v>141</v>
      </c>
      <c r="J43" s="19" t="n">
        <v>151</v>
      </c>
      <c r="K43" s="19" t="n">
        <v>313</v>
      </c>
      <c r="L43" s="19" t="n">
        <v>274</v>
      </c>
    </row>
    <row r="44" ht="16" customHeight="1">
      <c r="A44" s="87" t="inlineStr">
        <is>
          <t>Lifestyle</t>
        </is>
      </c>
      <c r="B44" s="91" t="inlineStr">
        <is>
          <t>Multi/Lifestyle</t>
        </is>
      </c>
      <c r="C44" s="28" t="n">
        <v>11083</v>
      </c>
      <c r="D44" s="28" t="n">
        <v>11573</v>
      </c>
      <c r="E44" s="26" t="n">
        <v>9133</v>
      </c>
      <c r="F44" s="29" t="n">
        <v>0</v>
      </c>
      <c r="G44" s="26" t="n">
        <v>43</v>
      </c>
      <c r="H44" s="26" t="n">
        <v>0</v>
      </c>
      <c r="I44" s="26" t="n">
        <v>47</v>
      </c>
      <c r="J44" s="26" t="n">
        <v>40</v>
      </c>
      <c r="K44" s="26" t="n">
        <v>29</v>
      </c>
      <c r="L44" s="26" t="n">
        <v>4</v>
      </c>
    </row>
    <row r="45" ht="16" customHeight="1">
      <c r="A45" s="83" t="inlineStr">
        <is>
          <t>Westside</t>
        </is>
      </c>
      <c r="B45" s="89" t="inlineStr">
        <is>
          <t>Multi/Lifestyle</t>
        </is>
      </c>
      <c r="C45" s="21" t="n">
        <v>8376</v>
      </c>
      <c r="D45" s="21" t="n">
        <v>6882</v>
      </c>
      <c r="E45" s="19" t="n">
        <v>300</v>
      </c>
      <c r="F45" s="32" t="n">
        <v>27.92</v>
      </c>
      <c r="G45" s="19" t="n">
        <v>16</v>
      </c>
      <c r="H45" s="19" t="n">
        <v>52</v>
      </c>
      <c r="I45" s="19" t="n">
        <v>9</v>
      </c>
      <c r="J45" s="19" t="n">
        <v>0</v>
      </c>
      <c r="K45" s="19" t="n">
        <v>1</v>
      </c>
      <c r="L45" s="19" t="n">
        <v>236</v>
      </c>
    </row>
    <row r="46" ht="16" customHeight="1">
      <c r="A46" s="87" t="inlineStr">
        <is>
          <t>Zudio</t>
        </is>
      </c>
      <c r="B46" s="88" t="inlineStr">
        <is>
          <t>Value Fashion</t>
        </is>
      </c>
      <c r="C46" s="28" t="n">
        <v>8148</v>
      </c>
      <c r="D46" s="28" t="n">
        <v>6432</v>
      </c>
      <c r="E46" s="26" t="n">
        <v>963</v>
      </c>
      <c r="F46" s="29" t="n">
        <v>8.461059190031152</v>
      </c>
      <c r="G46" s="26" t="n">
        <v>220</v>
      </c>
      <c r="H46" s="26" t="n">
        <v>198</v>
      </c>
      <c r="I46" s="26" t="n">
        <v>217</v>
      </c>
      <c r="J46" s="26" t="n">
        <v>181</v>
      </c>
      <c r="K46" s="26" t="n">
        <v>225</v>
      </c>
      <c r="L46" s="26" t="n">
        <v>132</v>
      </c>
    </row>
    <row r="47" ht="16" customHeight="1">
      <c r="A47" s="83" t="inlineStr">
        <is>
          <t>Arvind</t>
        </is>
      </c>
      <c r="B47" s="95" t="inlineStr">
        <is>
          <t>Premium Menswear</t>
        </is>
      </c>
      <c r="C47" s="21" t="n">
        <v>6836.74</v>
      </c>
      <c r="D47" s="21" t="n">
        <v>7464.25</v>
      </c>
      <c r="E47" s="19" t="n">
        <v>6412</v>
      </c>
      <c r="F47" s="32" t="n">
        <v>0</v>
      </c>
      <c r="G47" s="19" t="n">
        <v>3</v>
      </c>
      <c r="H47" s="19" t="n">
        <v>0</v>
      </c>
      <c r="I47" s="19" t="n">
        <v>28</v>
      </c>
      <c r="J47" s="19" t="n">
        <v>52</v>
      </c>
      <c r="K47" s="19" t="n">
        <v>47</v>
      </c>
      <c r="L47" s="19" t="n">
        <v>37</v>
      </c>
    </row>
    <row r="48" ht="16" customHeight="1">
      <c r="A48" s="87" t="inlineStr">
        <is>
          <t>Peter England</t>
        </is>
      </c>
      <c r="B48" s="91" t="inlineStr">
        <is>
          <t>nan</t>
        </is>
      </c>
      <c r="C48" s="28" t="n">
        <v>6345.3</v>
      </c>
      <c r="D48" s="28" t="n">
        <v>12352.83</v>
      </c>
      <c r="E48" s="26" t="n">
        <v>8721</v>
      </c>
      <c r="F48" s="29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0</v>
      </c>
      <c r="L48" s="26" t="n">
        <v>0</v>
      </c>
    </row>
    <row r="49" ht="16" customHeight="1">
      <c r="A49" s="83" t="inlineStr">
        <is>
          <t>Pantaloons</t>
        </is>
      </c>
      <c r="B49" s="89" t="inlineStr">
        <is>
          <t>Multi/Lifestyle</t>
        </is>
      </c>
      <c r="C49" s="21" t="n">
        <v>6345.3</v>
      </c>
      <c r="D49" s="21" t="n">
        <v>12352.83</v>
      </c>
      <c r="E49" s="19" t="n">
        <v>8721</v>
      </c>
      <c r="F49" s="32" t="n">
        <v>0</v>
      </c>
      <c r="G49" s="19" t="n">
        <v>0</v>
      </c>
      <c r="H49" s="19" t="n">
        <v>0</v>
      </c>
      <c r="I49" s="19" t="n">
        <v>100</v>
      </c>
      <c r="J49" s="19" t="n">
        <v>84</v>
      </c>
      <c r="K49" s="19" t="n">
        <v>104</v>
      </c>
      <c r="L49" s="19" t="n">
        <v>70</v>
      </c>
    </row>
    <row r="50" ht="16" customHeight="1">
      <c r="A50" s="87" t="inlineStr">
        <is>
          <t>Vishal_Mega_Mart</t>
        </is>
      </c>
      <c r="B50" s="88" t="inlineStr">
        <is>
          <t>Value Fashion</t>
        </is>
      </c>
      <c r="C50" s="28" t="n">
        <v>5419.35537</v>
      </c>
      <c r="D50" s="28" t="n">
        <v>4499.774369999999</v>
      </c>
      <c r="E50" s="26" t="n">
        <v>795</v>
      </c>
      <c r="F50" s="29" t="n">
        <v>6.81679920754717</v>
      </c>
      <c r="G50" s="26" t="n">
        <v>85</v>
      </c>
      <c r="H50" s="26" t="n">
        <v>99</v>
      </c>
      <c r="I50" s="26" t="n">
        <v>102</v>
      </c>
      <c r="J50" s="26" t="n">
        <v>118</v>
      </c>
      <c r="K50" s="26" t="n">
        <v>260</v>
      </c>
      <c r="L50" s="26" t="n">
        <v>223</v>
      </c>
    </row>
    <row r="51" ht="16" customHeight="1">
      <c r="A51" s="83" t="inlineStr">
        <is>
          <t>Max</t>
        </is>
      </c>
      <c r="B51" s="84" t="inlineStr">
        <is>
          <t>Value Fashion</t>
        </is>
      </c>
      <c r="C51" s="21" t="n">
        <v>5006.9544</v>
      </c>
      <c r="D51" s="21" t="n">
        <v>4316.34</v>
      </c>
      <c r="E51" s="19" t="n">
        <v>0</v>
      </c>
      <c r="F51" s="32" t="n">
        <v>9.798345205479452</v>
      </c>
      <c r="G51" s="19" t="n">
        <v>0</v>
      </c>
      <c r="H51" s="19" t="n">
        <v>0</v>
      </c>
      <c r="I51" s="19" t="n">
        <v>102</v>
      </c>
      <c r="J51" s="19" t="n">
        <v>120</v>
      </c>
      <c r="K51" s="19" t="n">
        <v>148</v>
      </c>
      <c r="L51" s="19" t="n">
        <v>66</v>
      </c>
    </row>
    <row r="52" ht="16" customHeight="1">
      <c r="A52" s="87" t="inlineStr">
        <is>
          <t>Allen_Solly</t>
        </is>
      </c>
      <c r="B52" s="93" t="inlineStr">
        <is>
          <t>Premium Menswear</t>
        </is>
      </c>
      <c r="C52" s="28" t="n">
        <v>4740</v>
      </c>
      <c r="D52" s="28" t="n">
        <v>8854</v>
      </c>
      <c r="E52" s="26" t="n">
        <v>0</v>
      </c>
      <c r="F52" s="29" t="n">
        <v>0</v>
      </c>
      <c r="G52" s="26" t="n">
        <v>1</v>
      </c>
      <c r="H52" s="26" t="n">
        <v>0</v>
      </c>
      <c r="I52" s="26" t="n">
        <v>93</v>
      </c>
      <c r="J52" s="26" t="n">
        <v>83</v>
      </c>
      <c r="K52" s="26" t="n">
        <v>113</v>
      </c>
      <c r="L52" s="26" t="n">
        <v>47</v>
      </c>
    </row>
    <row r="53" ht="16" customHeight="1">
      <c r="A53" s="83" t="inlineStr">
        <is>
          <t>Jockey.in</t>
        </is>
      </c>
      <c r="B53" s="89" t="inlineStr">
        <is>
          <t>nan</t>
        </is>
      </c>
      <c r="C53" s="21" t="n">
        <v>4547.09</v>
      </c>
      <c r="D53" s="21" t="n">
        <v>4678.34</v>
      </c>
      <c r="E53" s="19" t="n">
        <v>2893</v>
      </c>
      <c r="F53" s="32" t="n">
        <v>0</v>
      </c>
      <c r="G53" s="19" t="n">
        <v>34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0</v>
      </c>
    </row>
    <row r="54" ht="16" customHeight="1">
      <c r="A54" s="87" t="inlineStr">
        <is>
          <t>Pantaloons</t>
        </is>
      </c>
      <c r="B54" s="91" t="inlineStr">
        <is>
          <t>Multi/Lifestyle</t>
        </is>
      </c>
      <c r="C54" s="28" t="n">
        <v>4247</v>
      </c>
      <c r="D54" s="28" t="n">
        <v>4196</v>
      </c>
      <c r="E54" s="26" t="n">
        <v>399</v>
      </c>
      <c r="F54" s="29" t="n">
        <v>10.64411027568922</v>
      </c>
      <c r="G54" s="26" t="n">
        <v>-12</v>
      </c>
      <c r="H54" s="26" t="n">
        <v>0</v>
      </c>
      <c r="I54" s="26" t="n">
        <v>100</v>
      </c>
      <c r="J54" s="26" t="n">
        <v>84</v>
      </c>
      <c r="K54" s="26" t="n">
        <v>104</v>
      </c>
      <c r="L54" s="26" t="n">
        <v>70</v>
      </c>
    </row>
    <row r="55" ht="16" customHeight="1">
      <c r="A55" s="83" t="inlineStr">
        <is>
          <t>DECATHLON SPORTS INDIA PRIVATE LIMITED</t>
        </is>
      </c>
      <c r="B55" s="89" t="inlineStr">
        <is>
          <t>nan</t>
        </is>
      </c>
      <c r="C55" s="21" t="n">
        <v>3985.55</v>
      </c>
      <c r="D55" s="21" t="n">
        <v>3894.38</v>
      </c>
      <c r="E55" s="19" t="n">
        <v>2207</v>
      </c>
      <c r="F55" s="32" t="n">
        <v>0</v>
      </c>
      <c r="G55" s="19" t="n">
        <v>21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</row>
    <row r="56" ht="16" customHeight="1">
      <c r="A56" s="87" t="inlineStr">
        <is>
          <t>Lifestyle</t>
        </is>
      </c>
      <c r="B56" s="91" t="inlineStr">
        <is>
          <t>Multi/Lifestyle</t>
        </is>
      </c>
      <c r="C56" s="28" t="n">
        <v>3958.4690556</v>
      </c>
      <c r="D56" s="28" t="n">
        <v>3773.5644</v>
      </c>
      <c r="E56" s="26" t="n">
        <v>0</v>
      </c>
      <c r="F56" s="29" t="n">
        <v>30.21732103511451</v>
      </c>
      <c r="G56" s="26" t="n">
        <v>0</v>
      </c>
      <c r="H56" s="26" t="n">
        <v>0</v>
      </c>
      <c r="I56" s="26" t="n">
        <v>47</v>
      </c>
      <c r="J56" s="26" t="n">
        <v>40</v>
      </c>
      <c r="K56" s="26" t="n">
        <v>29</v>
      </c>
      <c r="L56" s="26" t="n">
        <v>4</v>
      </c>
    </row>
    <row r="57" ht="16" customHeight="1">
      <c r="A57" s="83" t="inlineStr">
        <is>
          <t>Shoppers Stop</t>
        </is>
      </c>
      <c r="B57" s="89" t="inlineStr">
        <is>
          <t>nan</t>
        </is>
      </c>
      <c r="C57" s="21" t="n">
        <v>3937.92</v>
      </c>
      <c r="D57" s="21" t="n">
        <v>3705.06</v>
      </c>
      <c r="E57" s="19" t="n">
        <v>3105</v>
      </c>
      <c r="F57" s="32" t="n">
        <v>0</v>
      </c>
      <c r="G57" s="19" t="n">
        <v>0</v>
      </c>
      <c r="H57" s="19" t="n">
        <v>0</v>
      </c>
      <c r="I57" s="19" t="n">
        <v>0</v>
      </c>
      <c r="J57" s="19" t="n">
        <v>0</v>
      </c>
      <c r="K57" s="19" t="n">
        <v>0</v>
      </c>
      <c r="L57" s="19" t="n">
        <v>0</v>
      </c>
    </row>
    <row r="58" ht="16" customHeight="1">
      <c r="A58" s="87" t="inlineStr">
        <is>
          <t>H &amp; M HENNES &amp; MAURITZ INDIA PRIVATE LIMITED</t>
        </is>
      </c>
      <c r="B58" s="91" t="inlineStr">
        <is>
          <t>nan</t>
        </is>
      </c>
      <c r="C58" s="28" t="n">
        <v>3277.17</v>
      </c>
      <c r="D58" s="28" t="n">
        <v>2941.05</v>
      </c>
      <c r="E58" s="26" t="n">
        <v>0</v>
      </c>
      <c r="F58" s="29" t="n">
        <v>0</v>
      </c>
      <c r="G58" s="26" t="n">
        <v>30</v>
      </c>
      <c r="H58" s="26" t="n">
        <v>0</v>
      </c>
      <c r="I58" s="26" t="n">
        <v>0</v>
      </c>
      <c r="J58" s="26" t="n">
        <v>0</v>
      </c>
      <c r="K58" s="26" t="n">
        <v>0</v>
      </c>
      <c r="L58" s="26" t="n">
        <v>0</v>
      </c>
    </row>
    <row r="59" ht="16" customHeight="1">
      <c r="A59" s="83" t="inlineStr">
        <is>
          <t>V2</t>
        </is>
      </c>
      <c r="B59" s="84" t="inlineStr">
        <is>
          <t>Value Fashion</t>
        </is>
      </c>
      <c r="C59" s="21" t="n">
        <v>3067.1</v>
      </c>
      <c r="D59" s="21" t="n">
        <v>1884.5</v>
      </c>
      <c r="E59" s="19" t="n">
        <v>325</v>
      </c>
      <c r="F59" s="32" t="n">
        <v>9.437230769230769</v>
      </c>
      <c r="G59" s="19" t="n">
        <v>72</v>
      </c>
      <c r="H59" s="19" t="n">
        <v>136</v>
      </c>
      <c r="I59" s="19" t="n">
        <v>24</v>
      </c>
      <c r="J59" s="19" t="n">
        <v>50</v>
      </c>
      <c r="K59" s="19" t="n">
        <v>93</v>
      </c>
      <c r="L59" s="19" t="n">
        <v>119</v>
      </c>
    </row>
    <row r="60" ht="16" customHeight="1">
      <c r="A60" s="87" t="inlineStr">
        <is>
          <t>H&amp;M</t>
        </is>
      </c>
      <c r="B60" s="91" t="inlineStr">
        <is>
          <t>Multi/Lifestyle</t>
        </is>
      </c>
      <c r="C60" s="28" t="n">
        <v>2940.478125</v>
      </c>
      <c r="D60" s="28" t="n">
        <v>2803.125</v>
      </c>
      <c r="E60" s="26" t="n">
        <v>0</v>
      </c>
      <c r="F60" s="29" t="n">
        <v>39.73619087837837</v>
      </c>
      <c r="G60" s="26" t="n">
        <v>0</v>
      </c>
      <c r="H60" s="26" t="n">
        <v>0</v>
      </c>
      <c r="I60" s="26" t="n">
        <v>38</v>
      </c>
      <c r="J60" s="26" t="n">
        <v>22</v>
      </c>
      <c r="K60" s="26" t="n">
        <v>10</v>
      </c>
      <c r="L60" s="26" t="n">
        <v>1</v>
      </c>
    </row>
    <row r="61" ht="16" customHeight="1">
      <c r="A61" s="83" t="inlineStr">
        <is>
          <t>Relaxo Footwear</t>
        </is>
      </c>
      <c r="B61" s="89" t="inlineStr">
        <is>
          <t>nan</t>
        </is>
      </c>
      <c r="C61" s="21" t="n">
        <v>2893.6</v>
      </c>
      <c r="D61" s="21" t="n">
        <v>2764.14</v>
      </c>
      <c r="E61" s="19" t="n">
        <v>2392</v>
      </c>
      <c r="F61" s="32" t="n">
        <v>0</v>
      </c>
      <c r="G61" s="19" t="n">
        <v>0</v>
      </c>
      <c r="H61" s="19" t="n">
        <v>0</v>
      </c>
      <c r="I61" s="19" t="n">
        <v>0</v>
      </c>
      <c r="J61" s="19" t="n">
        <v>0</v>
      </c>
      <c r="K61" s="19" t="n">
        <v>0</v>
      </c>
      <c r="L61" s="19" t="n">
        <v>0</v>
      </c>
    </row>
    <row r="62" ht="16" customHeight="1">
      <c r="A62" s="87" t="inlineStr">
        <is>
          <t>Shoppers_Stop</t>
        </is>
      </c>
      <c r="B62" s="91" t="inlineStr">
        <is>
          <t>Multi/Lifestyle</t>
        </is>
      </c>
      <c r="C62" s="28" t="n">
        <v>2713.9524</v>
      </c>
      <c r="D62" s="28" t="n">
        <v>2367.1359</v>
      </c>
      <c r="E62" s="26" t="n">
        <v>121</v>
      </c>
      <c r="F62" s="29" t="n">
        <v>22.42935867768595</v>
      </c>
      <c r="G62" s="26" t="n">
        <v>0</v>
      </c>
      <c r="H62" s="26" t="n">
        <v>9</v>
      </c>
      <c r="I62" s="26" t="n">
        <v>42</v>
      </c>
      <c r="J62" s="26" t="n">
        <v>35</v>
      </c>
      <c r="K62" s="26" t="n">
        <v>30</v>
      </c>
      <c r="L62" s="26" t="n">
        <v>4</v>
      </c>
    </row>
    <row r="63" ht="16" customHeight="1">
      <c r="A63" s="83" t="inlineStr">
        <is>
          <t>V-Mart</t>
        </is>
      </c>
      <c r="B63" s="89" t="inlineStr">
        <is>
          <t>nan</t>
        </is>
      </c>
      <c r="C63" s="21" t="n">
        <v>2711.31</v>
      </c>
      <c r="D63" s="21" t="n">
        <v>2464.84</v>
      </c>
      <c r="E63" s="19" t="n">
        <v>1661</v>
      </c>
      <c r="F63" s="32" t="n">
        <v>0</v>
      </c>
      <c r="G63" s="19" t="n">
        <v>0</v>
      </c>
      <c r="H63" s="19" t="n">
        <v>0</v>
      </c>
      <c r="I63" s="19" t="n">
        <v>0</v>
      </c>
      <c r="J63" s="19" t="n">
        <v>0</v>
      </c>
      <c r="K63" s="19" t="n">
        <v>0</v>
      </c>
      <c r="L63" s="19" t="n">
        <v>0</v>
      </c>
    </row>
    <row r="64" ht="16" customHeight="1">
      <c r="A64" s="87" t="inlineStr">
        <is>
          <t>V_Mart</t>
        </is>
      </c>
      <c r="B64" s="88" t="inlineStr">
        <is>
          <t>Value Fashion</t>
        </is>
      </c>
      <c r="C64" s="28" t="n">
        <v>2531.52</v>
      </c>
      <c r="D64" s="28" t="n">
        <v>2177.024</v>
      </c>
      <c r="E64" s="26" t="n">
        <v>478</v>
      </c>
      <c r="F64" s="29" t="n">
        <v>5.296066945606696</v>
      </c>
      <c r="G64" s="26" t="n">
        <v>47</v>
      </c>
      <c r="H64" s="26" t="n">
        <v>66</v>
      </c>
      <c r="I64" s="26" t="n">
        <v>24</v>
      </c>
      <c r="J64" s="26" t="n">
        <v>97</v>
      </c>
      <c r="K64" s="26" t="n">
        <v>144</v>
      </c>
      <c r="L64" s="26" t="n">
        <v>119</v>
      </c>
    </row>
    <row r="65" ht="16" customHeight="1">
      <c r="A65" s="83" t="inlineStr">
        <is>
          <t>Adidas</t>
        </is>
      </c>
      <c r="B65" s="98" t="inlineStr">
        <is>
          <t>Activewear</t>
        </is>
      </c>
      <c r="C65" s="21" t="n">
        <v>2348.7</v>
      </c>
      <c r="D65" s="21" t="n">
        <v>2084.4</v>
      </c>
      <c r="E65" s="19" t="n">
        <v>0</v>
      </c>
      <c r="F65" s="32" t="n">
        <v>0</v>
      </c>
      <c r="G65" s="19" t="n">
        <v>0</v>
      </c>
      <c r="H65" s="19" t="n">
        <v>0</v>
      </c>
      <c r="I65" s="19" t="n">
        <v>110</v>
      </c>
      <c r="J65" s="19" t="n">
        <v>94</v>
      </c>
      <c r="K65" s="19" t="n">
        <v>110</v>
      </c>
      <c r="L65" s="19" t="n">
        <v>52</v>
      </c>
    </row>
    <row r="66" ht="16" customHeight="1">
      <c r="A66" s="87" t="inlineStr">
        <is>
          <t>Metro Brands</t>
        </is>
      </c>
      <c r="B66" s="91" t="inlineStr">
        <is>
          <t>nan</t>
        </is>
      </c>
      <c r="C66" s="28" t="n">
        <v>2304.48</v>
      </c>
      <c r="D66" s="28" t="n">
        <v>2070.49</v>
      </c>
      <c r="E66" s="26" t="n">
        <v>1209</v>
      </c>
      <c r="F66" s="29" t="n">
        <v>0</v>
      </c>
      <c r="G66" s="26" t="n">
        <v>50</v>
      </c>
      <c r="H66" s="26" t="n">
        <v>0</v>
      </c>
      <c r="I66" s="26" t="n">
        <v>0</v>
      </c>
      <c r="J66" s="26" t="n">
        <v>0</v>
      </c>
      <c r="K66" s="26" t="n">
        <v>0</v>
      </c>
      <c r="L66" s="26" t="n">
        <v>0</v>
      </c>
    </row>
    <row r="67" ht="16" customHeight="1">
      <c r="A67" s="83" t="inlineStr">
        <is>
          <t>Mochi Shoes</t>
        </is>
      </c>
      <c r="B67" s="89" t="inlineStr">
        <is>
          <t>nan</t>
        </is>
      </c>
      <c r="C67" s="21" t="n">
        <v>2304.48</v>
      </c>
      <c r="D67" s="21" t="n">
        <v>2070.49</v>
      </c>
      <c r="E67" s="19" t="n">
        <v>1209</v>
      </c>
      <c r="F67" s="32" t="n">
        <v>0</v>
      </c>
      <c r="G67" s="19" t="n">
        <v>51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</row>
    <row r="68" ht="16" customHeight="1">
      <c r="A68" s="87" t="inlineStr">
        <is>
          <t>Siyarams</t>
        </is>
      </c>
      <c r="B68" s="180" t="inlineStr">
        <is>
          <t>Mid Menswear</t>
        </is>
      </c>
      <c r="C68" s="28" t="n">
        <v>2158.18</v>
      </c>
      <c r="D68" s="28" t="n">
        <v>1885.53</v>
      </c>
      <c r="E68" s="26" t="n">
        <v>0</v>
      </c>
      <c r="F68" s="29" t="n">
        <v>9.342770562770562</v>
      </c>
      <c r="G68" s="26" t="n">
        <v>0</v>
      </c>
      <c r="H68" s="26" t="n">
        <v>0</v>
      </c>
      <c r="I68" s="26" t="n">
        <v>20</v>
      </c>
      <c r="J68" s="26" t="n">
        <v>37</v>
      </c>
      <c r="K68" s="26" t="n">
        <v>64</v>
      </c>
      <c r="L68" s="26" t="n">
        <v>73</v>
      </c>
    </row>
    <row r="69" ht="16" customHeight="1">
      <c r="A69" s="83" t="inlineStr">
        <is>
          <t>Zara</t>
        </is>
      </c>
      <c r="B69" s="89" t="inlineStr">
        <is>
          <t>Multi/Lifestyle</t>
        </is>
      </c>
      <c r="C69" s="21" t="n">
        <v>2089.24</v>
      </c>
      <c r="D69" s="21" t="n">
        <v>2114.32</v>
      </c>
      <c r="E69" s="19" t="n">
        <v>25</v>
      </c>
      <c r="F69" s="32" t="n">
        <v>83.56960000000001</v>
      </c>
      <c r="G69" s="19" t="n">
        <v>3</v>
      </c>
      <c r="H69" s="19" t="n">
        <v>-1</v>
      </c>
      <c r="I69" s="19" t="n">
        <v>15</v>
      </c>
      <c r="J69" s="19" t="n">
        <v>4</v>
      </c>
      <c r="K69" s="19" t="n">
        <v>0</v>
      </c>
      <c r="L69" s="19" t="n">
        <v>0</v>
      </c>
    </row>
    <row r="70" ht="16" customHeight="1">
      <c r="A70" s="87" t="inlineStr">
        <is>
          <t>Decathlon</t>
        </is>
      </c>
      <c r="B70" s="96" t="inlineStr">
        <is>
          <t>Activewear</t>
        </is>
      </c>
      <c r="C70" s="28" t="n">
        <v>2015.186008</v>
      </c>
      <c r="D70" s="28" t="n">
        <v>1643.708</v>
      </c>
      <c r="E70" s="26" t="n">
        <v>0</v>
      </c>
      <c r="F70" s="29" t="n">
        <v>15.86760636220473</v>
      </c>
      <c r="G70" s="26" t="n">
        <v>0</v>
      </c>
      <c r="H70" s="26" t="n">
        <v>0</v>
      </c>
      <c r="I70" s="26" t="n">
        <v>56</v>
      </c>
      <c r="J70" s="26" t="n">
        <v>33</v>
      </c>
      <c r="K70" s="26" t="n">
        <v>31</v>
      </c>
      <c r="L70" s="26" t="n">
        <v>4</v>
      </c>
    </row>
    <row r="71" ht="16" customHeight="1">
      <c r="A71" s="83" t="inlineStr">
        <is>
          <t>Red Tape</t>
        </is>
      </c>
      <c r="B71" s="89" t="inlineStr">
        <is>
          <t>nan</t>
        </is>
      </c>
      <c r="C71" s="21" t="n">
        <v>1831.81</v>
      </c>
      <c r="D71" s="21" t="n">
        <v>1458.71</v>
      </c>
      <c r="E71" s="19" t="n">
        <v>0</v>
      </c>
      <c r="F71" s="32" t="n">
        <v>0</v>
      </c>
      <c r="G71" s="19" t="n">
        <v>0</v>
      </c>
      <c r="H71" s="19" t="n">
        <v>0</v>
      </c>
      <c r="I71" s="19" t="n">
        <v>0</v>
      </c>
      <c r="J71" s="19" t="n">
        <v>0</v>
      </c>
      <c r="K71" s="19" t="n">
        <v>0</v>
      </c>
      <c r="L71" s="19" t="n">
        <v>0</v>
      </c>
    </row>
    <row r="72" ht="16" customHeight="1">
      <c r="A72" s="87" t="inlineStr">
        <is>
          <t>Skechers South Asia Private Limited</t>
        </is>
      </c>
      <c r="B72" s="91" t="inlineStr">
        <is>
          <t>nan</t>
        </is>
      </c>
      <c r="C72" s="28" t="n">
        <v>1745.53</v>
      </c>
      <c r="D72" s="28" t="n">
        <v>1738.96</v>
      </c>
      <c r="E72" s="26" t="n">
        <v>659</v>
      </c>
      <c r="F72" s="29" t="n">
        <v>0</v>
      </c>
      <c r="G72" s="26" t="n">
        <v>0</v>
      </c>
      <c r="H72" s="26" t="n">
        <v>0</v>
      </c>
      <c r="I72" s="26" t="n">
        <v>0</v>
      </c>
      <c r="J72" s="26" t="n">
        <v>0</v>
      </c>
      <c r="K72" s="26" t="n">
        <v>0</v>
      </c>
      <c r="L72" s="26" t="n">
        <v>0</v>
      </c>
    </row>
    <row r="73" ht="16" customHeight="1">
      <c r="A73" s="83" t="inlineStr">
        <is>
          <t>Marks and Spencer Reliance India</t>
        </is>
      </c>
      <c r="B73" s="89" t="inlineStr">
        <is>
          <t>nan</t>
        </is>
      </c>
      <c r="C73" s="21" t="n">
        <v>1742.22</v>
      </c>
      <c r="D73" s="21" t="n">
        <v>1660.1</v>
      </c>
      <c r="E73" s="19" t="n">
        <v>1041</v>
      </c>
      <c r="F73" s="32" t="n">
        <v>0</v>
      </c>
      <c r="G73" s="19" t="n">
        <v>48</v>
      </c>
      <c r="H73" s="19" t="n">
        <v>0</v>
      </c>
      <c r="I73" s="19" t="n">
        <v>0</v>
      </c>
      <c r="J73" s="19" t="n">
        <v>0</v>
      </c>
      <c r="K73" s="19" t="n">
        <v>0</v>
      </c>
      <c r="L73" s="19" t="n">
        <v>0</v>
      </c>
    </row>
    <row r="74" ht="16" customHeight="1">
      <c r="A74" s="87" t="inlineStr">
        <is>
          <t>LEVI STRAUSS (INDIA) PRIVATE LIMITED</t>
        </is>
      </c>
      <c r="B74" s="91" t="inlineStr">
        <is>
          <t>nan</t>
        </is>
      </c>
      <c r="C74" s="28" t="n">
        <v>1668.7</v>
      </c>
      <c r="D74" s="28" t="n">
        <v>1615.1</v>
      </c>
      <c r="E74" s="26" t="n">
        <v>0</v>
      </c>
      <c r="F74" s="29" t="n">
        <v>0</v>
      </c>
      <c r="G74" s="26" t="n">
        <v>40</v>
      </c>
      <c r="H74" s="26" t="n">
        <v>0</v>
      </c>
      <c r="I74" s="26" t="n">
        <v>0</v>
      </c>
      <c r="J74" s="26" t="n">
        <v>0</v>
      </c>
      <c r="K74" s="26" t="n">
        <v>0</v>
      </c>
      <c r="L74" s="26" t="n">
        <v>0</v>
      </c>
    </row>
    <row r="75" ht="16" customHeight="1">
      <c r="A75" s="83" t="inlineStr">
        <is>
          <t>Manyawar</t>
        </is>
      </c>
      <c r="B75" s="181" t="inlineStr">
        <is>
          <t>Women's Ethnic</t>
        </is>
      </c>
      <c r="C75" s="21" t="n">
        <v>1666.72</v>
      </c>
      <c r="D75" s="21" t="n">
        <v>1571.11</v>
      </c>
      <c r="E75" s="19" t="n">
        <v>0</v>
      </c>
      <c r="F75" s="32" t="n">
        <v>5.482631578947369</v>
      </c>
      <c r="G75" s="19" t="n">
        <v>0</v>
      </c>
      <c r="H75" s="19" t="n">
        <v>0</v>
      </c>
      <c r="I75" s="19" t="n">
        <v>77</v>
      </c>
      <c r="J75" s="19" t="n">
        <v>62</v>
      </c>
      <c r="K75" s="19" t="n">
        <v>80</v>
      </c>
      <c r="L75" s="19" t="n">
        <v>45</v>
      </c>
    </row>
    <row r="76" ht="16" customHeight="1">
      <c r="A76" s="87" t="inlineStr">
        <is>
          <t>Puma</t>
        </is>
      </c>
      <c r="B76" s="96" t="inlineStr">
        <is>
          <t>Activewear</t>
        </is>
      </c>
      <c r="C76" s="28" t="n">
        <v>1618.32</v>
      </c>
      <c r="D76" s="28" t="n">
        <v>1320</v>
      </c>
      <c r="E76" s="26" t="n">
        <v>0</v>
      </c>
      <c r="F76" s="29" t="n">
        <v>4.0458</v>
      </c>
      <c r="G76" s="26" t="n">
        <v>0</v>
      </c>
      <c r="H76" s="26" t="n">
        <v>0</v>
      </c>
      <c r="I76" s="26" t="n">
        <v>115</v>
      </c>
      <c r="J76" s="26" t="n">
        <v>89</v>
      </c>
      <c r="K76" s="26" t="n">
        <v>107</v>
      </c>
      <c r="L76" s="26" t="n">
        <v>35</v>
      </c>
    </row>
    <row r="77" ht="16" customHeight="1">
      <c r="A77" s="83" t="inlineStr">
        <is>
          <t>Style_Bazaar</t>
        </is>
      </c>
      <c r="B77" s="84" t="inlineStr">
        <is>
          <t>Value Fashion</t>
        </is>
      </c>
      <c r="C77" s="21" t="n">
        <v>1584.206</v>
      </c>
      <c r="D77" s="21" t="n">
        <v>1155.582</v>
      </c>
      <c r="E77" s="19" t="n">
        <v>263</v>
      </c>
      <c r="F77" s="32" t="n">
        <v>6.023596958174904</v>
      </c>
      <c r="G77" s="19" t="n">
        <v>52</v>
      </c>
      <c r="H77" s="19" t="n">
        <v>49</v>
      </c>
      <c r="I77" s="19" t="n">
        <v>34</v>
      </c>
      <c r="J77" s="19" t="n">
        <v>28</v>
      </c>
      <c r="K77" s="19" t="n">
        <v>62</v>
      </c>
      <c r="L77" s="19" t="n">
        <v>95</v>
      </c>
    </row>
    <row r="78" ht="16" customHeight="1">
      <c r="A78" s="87" t="inlineStr">
        <is>
          <t>Bata_</t>
        </is>
      </c>
      <c r="B78" s="101" t="inlineStr">
        <is>
          <t>Footwear</t>
        </is>
      </c>
      <c r="C78" s="28" t="n">
        <v>1550.725</v>
      </c>
      <c r="D78" s="28" t="n">
        <v>1554.7325</v>
      </c>
      <c r="E78" s="26" t="n">
        <v>1815</v>
      </c>
      <c r="F78" s="29" t="n">
        <v>0.8543939393939394</v>
      </c>
      <c r="G78" s="26" t="n">
        <v>80</v>
      </c>
      <c r="H78" s="26" t="n">
        <v>3</v>
      </c>
      <c r="I78" s="26" t="n">
        <v>284</v>
      </c>
      <c r="J78" s="26" t="n">
        <v>260</v>
      </c>
      <c r="K78" s="26" t="n">
        <v>384</v>
      </c>
      <c r="L78" s="26" t="n">
        <v>285</v>
      </c>
    </row>
    <row r="79" ht="16" customHeight="1">
      <c r="A79" s="83" t="inlineStr">
        <is>
          <t>RedTape</t>
        </is>
      </c>
      <c r="B79" s="100" t="inlineStr">
        <is>
          <t>Footwear</t>
        </is>
      </c>
      <c r="C79" s="21" t="n">
        <v>1518</v>
      </c>
      <c r="D79" s="21" t="n">
        <v>1264</v>
      </c>
      <c r="E79" s="19" t="n">
        <v>521</v>
      </c>
      <c r="F79" s="32" t="n">
        <v>2.91362763915547</v>
      </c>
      <c r="G79" s="19" t="n">
        <v>59</v>
      </c>
      <c r="H79" s="19" t="n">
        <v>39</v>
      </c>
      <c r="I79" s="19" t="n">
        <v>82</v>
      </c>
      <c r="J79" s="19" t="n">
        <v>68</v>
      </c>
      <c r="K79" s="19" t="n">
        <v>150</v>
      </c>
      <c r="L79" s="19" t="n">
        <v>117</v>
      </c>
    </row>
    <row r="80" ht="16" customHeight="1">
      <c r="A80" s="87" t="inlineStr">
        <is>
          <t>Campus Shoes</t>
        </is>
      </c>
      <c r="B80" s="91" t="inlineStr">
        <is>
          <t>nan</t>
        </is>
      </c>
      <c r="C80" s="28" t="n">
        <v>1435.9</v>
      </c>
      <c r="D80" s="28" t="n">
        <v>1470.07</v>
      </c>
      <c r="E80" s="26" t="n">
        <v>632</v>
      </c>
      <c r="F80" s="29" t="n">
        <v>0</v>
      </c>
      <c r="G80" s="26" t="n">
        <v>15</v>
      </c>
      <c r="H80" s="26" t="n">
        <v>0</v>
      </c>
      <c r="I80" s="26" t="n">
        <v>0</v>
      </c>
      <c r="J80" s="26" t="n">
        <v>0</v>
      </c>
      <c r="K80" s="26" t="n">
        <v>0</v>
      </c>
      <c r="L80" s="26" t="n">
        <v>0</v>
      </c>
    </row>
    <row r="81" ht="16" customHeight="1">
      <c r="A81" s="83" t="inlineStr">
        <is>
          <t>Manyavar</t>
        </is>
      </c>
      <c r="B81" s="89" t="inlineStr">
        <is>
          <t>nan</t>
        </is>
      </c>
      <c r="C81" s="21" t="n">
        <v>1365.41</v>
      </c>
      <c r="D81" s="21" t="n">
        <v>1324.03</v>
      </c>
      <c r="E81" s="19" t="n">
        <v>914</v>
      </c>
      <c r="F81" s="32" t="n">
        <v>0</v>
      </c>
      <c r="G81" s="19" t="n">
        <v>47</v>
      </c>
      <c r="H81" s="19" t="n">
        <v>0</v>
      </c>
      <c r="I81" s="19" t="n">
        <v>0</v>
      </c>
      <c r="J81" s="19" t="n">
        <v>0</v>
      </c>
      <c r="K81" s="19" t="n">
        <v>0</v>
      </c>
      <c r="L81" s="19" t="n">
        <v>0</v>
      </c>
    </row>
    <row r="82" ht="16" customHeight="1">
      <c r="A82" s="87" t="inlineStr">
        <is>
          <t>Bazaar_Kolkata</t>
        </is>
      </c>
      <c r="B82" s="88" t="inlineStr">
        <is>
          <t>Value Fashion</t>
        </is>
      </c>
      <c r="C82" s="28" t="n">
        <v>1319.096552</v>
      </c>
      <c r="D82" s="28" t="n">
        <v>1137.1522</v>
      </c>
      <c r="E82" s="26" t="n">
        <v>200</v>
      </c>
      <c r="F82" s="29" t="n">
        <v>6.59548276</v>
      </c>
      <c r="G82" s="26" t="n">
        <v>0</v>
      </c>
      <c r="H82" s="26" t="n">
        <v>0</v>
      </c>
      <c r="I82" s="26" t="n">
        <v>44</v>
      </c>
      <c r="J82" s="26" t="n">
        <v>2</v>
      </c>
      <c r="K82" s="26" t="n">
        <v>21</v>
      </c>
      <c r="L82" s="26" t="n">
        <v>30</v>
      </c>
    </row>
    <row r="83" ht="16" customHeight="1">
      <c r="A83" s="83" t="inlineStr">
        <is>
          <t>Raymond</t>
        </is>
      </c>
      <c r="B83" s="95" t="inlineStr">
        <is>
          <t>Premium Menswear</t>
        </is>
      </c>
      <c r="C83" s="21" t="n">
        <v>1284.3636</v>
      </c>
      <c r="D83" s="21" t="n">
        <v>1125.0304</v>
      </c>
      <c r="E83" s="19" t="n">
        <v>1348</v>
      </c>
      <c r="F83" s="32" t="n">
        <v>0.9527919881305638</v>
      </c>
      <c r="G83" s="19" t="n">
        <v>33</v>
      </c>
      <c r="H83" s="19" t="n">
        <v>11</v>
      </c>
      <c r="I83" s="19" t="n">
        <v>195</v>
      </c>
      <c r="J83" s="19" t="n">
        <v>180</v>
      </c>
      <c r="K83" s="19" t="n">
        <v>281</v>
      </c>
      <c r="L83" s="19" t="n">
        <v>251</v>
      </c>
    </row>
    <row r="84" ht="16" customHeight="1">
      <c r="A84" s="87" t="inlineStr">
        <is>
          <t>MOnte_Carlo</t>
        </is>
      </c>
      <c r="B84" s="180" t="inlineStr">
        <is>
          <t>Mid Menswear</t>
        </is>
      </c>
      <c r="C84" s="28" t="n">
        <v>1275.9</v>
      </c>
      <c r="D84" s="28" t="n">
        <v>1100.4</v>
      </c>
      <c r="E84" s="26" t="n">
        <v>497</v>
      </c>
      <c r="F84" s="29" t="n">
        <v>2.567203219315896</v>
      </c>
      <c r="G84" s="26" t="n">
        <v>65</v>
      </c>
      <c r="H84" s="26" t="n">
        <v>26</v>
      </c>
      <c r="I84" s="26" t="n">
        <v>74</v>
      </c>
      <c r="J84" s="26" t="n">
        <v>66</v>
      </c>
      <c r="K84" s="26" t="n">
        <v>113</v>
      </c>
      <c r="L84" s="26" t="n">
        <v>88</v>
      </c>
    </row>
    <row r="85" ht="16" customHeight="1">
      <c r="A85" s="83" t="inlineStr">
        <is>
          <t>Metro_Shoes</t>
        </is>
      </c>
      <c r="B85" s="100" t="inlineStr">
        <is>
          <t>Footwear</t>
        </is>
      </c>
      <c r="C85" s="21" t="n">
        <v>1244</v>
      </c>
      <c r="D85" s="21" t="n">
        <v>1099</v>
      </c>
      <c r="E85" s="19" t="n">
        <v>374</v>
      </c>
      <c r="F85" s="32" t="n">
        <v>3.32620320855615</v>
      </c>
      <c r="G85" s="19" t="n">
        <v>28</v>
      </c>
      <c r="H85" s="19" t="n">
        <v>0</v>
      </c>
      <c r="I85" s="19" t="n">
        <v>88</v>
      </c>
      <c r="J85" s="19" t="n">
        <v>65</v>
      </c>
      <c r="K85" s="19" t="n">
        <v>109</v>
      </c>
      <c r="L85" s="19" t="n">
        <v>49</v>
      </c>
    </row>
    <row r="86" ht="16" customHeight="1">
      <c r="A86" s="87" t="inlineStr">
        <is>
          <t>FabIndia</t>
        </is>
      </c>
      <c r="B86" s="99" t="inlineStr">
        <is>
          <t>Women's Ethnic</t>
        </is>
      </c>
      <c r="C86" s="28" t="n">
        <v>1218.63</v>
      </c>
      <c r="D86" s="28" t="n">
        <v>1280.75</v>
      </c>
      <c r="E86" s="26" t="n">
        <v>1135</v>
      </c>
      <c r="F86" s="29" t="n">
        <v>0</v>
      </c>
      <c r="G86" s="26" t="n">
        <v>25</v>
      </c>
      <c r="H86" s="26" t="n">
        <v>0</v>
      </c>
      <c r="I86" s="26" t="n">
        <v>120</v>
      </c>
      <c r="J86" s="26" t="n">
        <v>73</v>
      </c>
      <c r="K86" s="26" t="n">
        <v>79</v>
      </c>
      <c r="L86" s="26" t="n">
        <v>25</v>
      </c>
    </row>
    <row r="87" ht="16" customHeight="1">
      <c r="A87" s="83" t="inlineStr">
        <is>
          <t>Adidas</t>
        </is>
      </c>
      <c r="B87" s="98" t="inlineStr">
        <is>
          <t>Activewear</t>
        </is>
      </c>
      <c r="C87" s="21" t="n">
        <v>1216.910436</v>
      </c>
      <c r="D87" s="21" t="n">
        <v>992.586</v>
      </c>
      <c r="E87" s="19" t="n">
        <v>0</v>
      </c>
      <c r="F87" s="32" t="n">
        <v>2.001497427631579</v>
      </c>
      <c r="G87" s="19" t="n">
        <v>0</v>
      </c>
      <c r="H87" s="19" t="n">
        <v>0</v>
      </c>
      <c r="I87" s="19" t="n">
        <v>110</v>
      </c>
      <c r="J87" s="19" t="n">
        <v>94</v>
      </c>
      <c r="K87" s="19" t="n">
        <v>110</v>
      </c>
      <c r="L87" s="19" t="n">
        <v>52</v>
      </c>
    </row>
    <row r="88" ht="16" customHeight="1">
      <c r="A88" s="87" t="inlineStr">
        <is>
          <t>Marks_&amp;_Spencer</t>
        </is>
      </c>
      <c r="B88" s="91" t="inlineStr">
        <is>
          <t>Multi/Lifestyle</t>
        </is>
      </c>
      <c r="C88" s="28" t="n">
        <v>1216.48222125</v>
      </c>
      <c r="D88" s="28" t="n">
        <v>1152.5175</v>
      </c>
      <c r="E88" s="26" t="n">
        <v>0</v>
      </c>
      <c r="F88" s="29" t="n">
        <v>14.31155554411765</v>
      </c>
      <c r="G88" s="26" t="n">
        <v>0</v>
      </c>
      <c r="H88" s="26" t="n">
        <v>0</v>
      </c>
      <c r="I88" s="26" t="n">
        <v>41</v>
      </c>
      <c r="J88" s="26" t="n">
        <v>24</v>
      </c>
      <c r="K88" s="26" t="n">
        <v>11</v>
      </c>
      <c r="L88" s="26" t="n">
        <v>1</v>
      </c>
    </row>
    <row r="89" ht="16" customHeight="1">
      <c r="A89" s="83" t="inlineStr">
        <is>
          <t>Van_Heusen</t>
        </is>
      </c>
      <c r="B89" s="95" t="inlineStr">
        <is>
          <t>Premium Menswear</t>
        </is>
      </c>
      <c r="C89" s="21" t="n">
        <v>1184</v>
      </c>
      <c r="D89" s="21" t="n">
        <v>1036</v>
      </c>
      <c r="E89" s="19" t="n">
        <v>0</v>
      </c>
      <c r="F89" s="32" t="n">
        <v>1.82716049382716</v>
      </c>
      <c r="G89" s="19" t="n">
        <v>0</v>
      </c>
      <c r="H89" s="19" t="n">
        <v>0</v>
      </c>
      <c r="I89" s="19" t="n">
        <v>110</v>
      </c>
      <c r="J89" s="19" t="n">
        <v>99</v>
      </c>
      <c r="K89" s="19" t="n">
        <v>125</v>
      </c>
      <c r="L89" s="19" t="n">
        <v>60</v>
      </c>
    </row>
  </sheetData>
  <mergeCells count="6">
    <mergeCell ref="A38:L38"/>
    <mergeCell ref="A1:J1"/>
    <mergeCell ref="A21:J21"/>
    <mergeCell ref="A12:J12"/>
    <mergeCell ref="A3:I3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2026-06-08T04:55:07Z</dcterms:created>
  <dcterms:modified xmlns:dcterms="http://purl.org/dc/terms/" xmlns:xsi="http://www.w3.org/2001/XMLSchema-instance" xsi:type="dcterms:W3CDTF">2026-06-08T04:55:08Z</dcterms:modified>
</cp:coreProperties>
</file>