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Bernstein\"/>
    </mc:Choice>
  </mc:AlternateContent>
  <xr:revisionPtr revIDLastSave="0" documentId="13_ncr:1_{246CB4C8-D9FD-4EB8-BA67-3BAE554E6FB4}" xr6:coauthVersionLast="47" xr6:coauthVersionMax="47" xr10:uidLastSave="{00000000-0000-0000-0000-000000000000}"/>
  <bookViews>
    <workbookView xWindow="-120" yWindow="-120" windowWidth="51840" windowHeight="21120" tabRatio="500" activeTab="1" xr2:uid="{00000000-000D-0000-FFFF-FFFF00000000}"/>
  </bookViews>
  <sheets>
    <sheet name="📋 City-Tier Master" sheetId="1" r:id="rId1"/>
    <sheet name="🔗 District-City Map" sheetId="2" r:id="rId2"/>
    <sheet name="📊 Tier Stats" sheetId="3" r:id="rId3"/>
    <sheet name="ℹ️ How to Us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69" i="2" l="1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4" i="2"/>
  <c r="D6" i="2"/>
  <c r="D5" i="2"/>
  <c r="D10" i="3" l="1"/>
  <c r="C10" i="3"/>
  <c r="E9" i="3" l="1"/>
  <c r="E5" i="3"/>
  <c r="E6" i="3"/>
  <c r="E7" i="3"/>
  <c r="E8" i="3"/>
  <c r="E10" i="3" l="1"/>
  <c r="F9" i="3" l="1"/>
  <c r="F8" i="3"/>
  <c r="F7" i="3"/>
  <c r="F6" i="3"/>
  <c r="F5" i="3"/>
</calcChain>
</file>

<file path=xl/sharedStrings.xml><?xml version="1.0" encoding="utf-8"?>
<sst xmlns="http://schemas.openxmlformats.org/spreadsheetml/2006/main" count="5251" uniqueCount="1423">
  <si>
    <t>🔒  CITY-TIER MASTER — Source of Truth  (Do not edit — change tier here only if classification changes)</t>
  </si>
  <si>
    <t>City</t>
  </si>
  <si>
    <t>Tier</t>
  </si>
  <si>
    <t>Tier Name</t>
  </si>
  <si>
    <t>Country</t>
  </si>
  <si>
    <t>Delhi</t>
  </si>
  <si>
    <t>Metro</t>
  </si>
  <si>
    <t>🏙 Mega Metro</t>
  </si>
  <si>
    <t>India</t>
  </si>
  <si>
    <t>New Delhi</t>
  </si>
  <si>
    <t>Faridabad</t>
  </si>
  <si>
    <t>Gurgaon</t>
  </si>
  <si>
    <t>Ghaziabad</t>
  </si>
  <si>
    <t>Greater Noida</t>
  </si>
  <si>
    <t>Noida</t>
  </si>
  <si>
    <t>Ahmedabad</t>
  </si>
  <si>
    <t>Mumbai</t>
  </si>
  <si>
    <t>Thane</t>
  </si>
  <si>
    <t>Dombivli</t>
  </si>
  <si>
    <t>Navi Mumbai</t>
  </si>
  <si>
    <t>Panvel</t>
  </si>
  <si>
    <t>Pune</t>
  </si>
  <si>
    <t>Kalyan</t>
  </si>
  <si>
    <t>Bengaluru</t>
  </si>
  <si>
    <t>Kolkata</t>
  </si>
  <si>
    <t>Nangloi Jat</t>
  </si>
  <si>
    <t>T1</t>
  </si>
  <si>
    <t>🌆 Tier 1 City</t>
  </si>
  <si>
    <t>Bhalswa Jahangirpur</t>
  </si>
  <si>
    <t>Garhi</t>
  </si>
  <si>
    <t>Sultanpur Mazra</t>
  </si>
  <si>
    <t>Aurangabad</t>
  </si>
  <si>
    <t>Chandigarh</t>
  </si>
  <si>
    <t>Kanpur</t>
  </si>
  <si>
    <t>Varanasi</t>
  </si>
  <si>
    <t>Lucknow</t>
  </si>
  <si>
    <t>Kota</t>
  </si>
  <si>
    <t>Dehra Dun</t>
  </si>
  <si>
    <t>Agra</t>
  </si>
  <si>
    <t>Jaipur</t>
  </si>
  <si>
    <t>Vadodara</t>
  </si>
  <si>
    <t>Surat</t>
  </si>
  <si>
    <t>Nagpur</t>
  </si>
  <si>
    <t>Indore</t>
  </si>
  <si>
    <t>Bhopal</t>
  </si>
  <si>
    <t>Gwalior</t>
  </si>
  <si>
    <t>Hyderabad</t>
  </si>
  <si>
    <t>Lal Bahadur Nagar</t>
  </si>
  <si>
    <t>Secunderabad</t>
  </si>
  <si>
    <t>Warangal</t>
  </si>
  <si>
    <t>Gajuwaka</t>
  </si>
  <si>
    <t>Mysore</t>
  </si>
  <si>
    <t>Chennai</t>
  </si>
  <si>
    <t>Tambaram</t>
  </si>
  <si>
    <t>Ambattur</t>
  </si>
  <si>
    <t>Puducherry</t>
  </si>
  <si>
    <t>Baranagar</t>
  </si>
  <si>
    <t>Panihati</t>
  </si>
  <si>
    <t>Bhubaneshwar</t>
  </si>
  <si>
    <t>Guwahati</t>
  </si>
  <si>
    <t>Patna</t>
  </si>
  <si>
    <t>Najafgarh</t>
  </si>
  <si>
    <t>T2</t>
  </si>
  <si>
    <t>🏘 Tier 2 City</t>
  </si>
  <si>
    <t>Dharampur</t>
  </si>
  <si>
    <t>Murtazabad</t>
  </si>
  <si>
    <t>Dalupura</t>
  </si>
  <si>
    <t>Hisar</t>
  </si>
  <si>
    <t>Gorakhpur</t>
  </si>
  <si>
    <t>Sonipat</t>
  </si>
  <si>
    <t>Karnal</t>
  </si>
  <si>
    <t>Panipat</t>
  </si>
  <si>
    <t>Ambala</t>
  </si>
  <si>
    <t>Yamunanagar</t>
  </si>
  <si>
    <t>Panchkula</t>
  </si>
  <si>
    <t>Kaithal</t>
  </si>
  <si>
    <t>Patiala</t>
  </si>
  <si>
    <t>Ludhiana</t>
  </si>
  <si>
    <t>Amritsar</t>
  </si>
  <si>
    <t>Pathankot</t>
  </si>
  <si>
    <t>Jalandhar</t>
  </si>
  <si>
    <t>Bathinda</t>
  </si>
  <si>
    <t>Bilaspur</t>
  </si>
  <si>
    <t>Jammu</t>
  </si>
  <si>
    <t>Srinagar</t>
  </si>
  <si>
    <t>Mainpuri</t>
  </si>
  <si>
    <t>Etawah</t>
  </si>
  <si>
    <t>Kasganj</t>
  </si>
  <si>
    <t>Unnao</t>
  </si>
  <si>
    <t>Banda</t>
  </si>
  <si>
    <t>Allahabad</t>
  </si>
  <si>
    <t>Jaunpur</t>
  </si>
  <si>
    <t>Fyzabad</t>
  </si>
  <si>
    <t>Bela</t>
  </si>
  <si>
    <t>Ghazipur</t>
  </si>
  <si>
    <t>Bareilly</t>
  </si>
  <si>
    <t>Moradabad</t>
  </si>
  <si>
    <t>Meerut</t>
  </si>
  <si>
    <t>Saharanpur</t>
  </si>
  <si>
    <t>Haridwar</t>
  </si>
  <si>
    <t>Banat</t>
  </si>
  <si>
    <t>Sitapur</t>
  </si>
  <si>
    <t>Pilibhit</t>
  </si>
  <si>
    <t>Puranpur</t>
  </si>
  <si>
    <t>Haldwani</t>
  </si>
  <si>
    <t>Gonda City</t>
  </si>
  <si>
    <t>Basti</t>
  </si>
  <si>
    <t>Nizamabad</t>
  </si>
  <si>
    <t>Mathura</t>
  </si>
  <si>
    <t>Jhansi</t>
  </si>
  <si>
    <t>Pali</t>
  </si>
  <si>
    <t>Ajmer</t>
  </si>
  <si>
    <t>Raipur</t>
  </si>
  <si>
    <t>Udaipur</t>
  </si>
  <si>
    <t>Bikaner</t>
  </si>
  <si>
    <t>Ganganagar</t>
  </si>
  <si>
    <t>Jodhpur</t>
  </si>
  <si>
    <t>Barmer</t>
  </si>
  <si>
    <t>Rajkot</t>
  </si>
  <si>
    <t>Jamnagar</t>
  </si>
  <si>
    <t>Bhavnagar</t>
  </si>
  <si>
    <t>Gandhinagar</t>
  </si>
  <si>
    <t>Wapi</t>
  </si>
  <si>
    <t>Silvassa</t>
  </si>
  <si>
    <t>Virar</t>
  </si>
  <si>
    <t>Vasai-Virar</t>
  </si>
  <si>
    <t>Kalundri</t>
  </si>
  <si>
    <t>Solapur</t>
  </si>
  <si>
    <t>Sangli</t>
  </si>
  <si>
    <t>Kolhapur</t>
  </si>
  <si>
    <t>Nashik</t>
  </si>
  <si>
    <t>Jalgaon</t>
  </si>
  <si>
    <t>Jalna</t>
  </si>
  <si>
    <t>Nanded</t>
  </si>
  <si>
    <t>Chanda</t>
  </si>
  <si>
    <t>Amravati</t>
  </si>
  <si>
    <t>Ujjain</t>
  </si>
  <si>
    <t>Ratlam</t>
  </si>
  <si>
    <t>Guna</t>
  </si>
  <si>
    <t>Jabalpur</t>
  </si>
  <si>
    <t>Durg</t>
  </si>
  <si>
    <t>Raj-Nandgaon</t>
  </si>
  <si>
    <t>Korba</t>
  </si>
  <si>
    <t>Raigarh</t>
  </si>
  <si>
    <t>Pilkha</t>
  </si>
  <si>
    <t>Quthbullapur</t>
  </si>
  <si>
    <t>Kukatpalli</t>
  </si>
  <si>
    <t>Karimnagar</t>
  </si>
  <si>
    <t>Khammam</t>
  </si>
  <si>
    <t>Anantapur</t>
  </si>
  <si>
    <t>Proddatur</t>
  </si>
  <si>
    <t>Tirupati</t>
  </si>
  <si>
    <t>Kurnool</t>
  </si>
  <si>
    <t>Vijayawada</t>
  </si>
  <si>
    <t>Guntur</t>
  </si>
  <si>
    <t>Machilipatnam</t>
  </si>
  <si>
    <t>Ongole</t>
  </si>
  <si>
    <t>Nellore</t>
  </si>
  <si>
    <t>Visakhapatnam</t>
  </si>
  <si>
    <t>Kakinada</t>
  </si>
  <si>
    <t>Rajahmundry</t>
  </si>
  <si>
    <t>Ellore</t>
  </si>
  <si>
    <t>Vizianagaram</t>
  </si>
  <si>
    <t>Tumkur</t>
  </si>
  <si>
    <t>Mangalore</t>
  </si>
  <si>
    <t>Davangere</t>
  </si>
  <si>
    <t>Hubli</t>
  </si>
  <si>
    <t>Bellary</t>
  </si>
  <si>
    <t>Hospet</t>
  </si>
  <si>
    <t>Gulbarga</t>
  </si>
  <si>
    <t>Bijapur</t>
  </si>
  <si>
    <t>Belgaum</t>
  </si>
  <si>
    <t>Tiruvottiyur</t>
  </si>
  <si>
    <t>Avadi</t>
  </si>
  <si>
    <t>Tiruchirappalli</t>
  </si>
  <si>
    <t>Madurai</t>
  </si>
  <si>
    <t>Vellore</t>
  </si>
  <si>
    <t>Salem</t>
  </si>
  <si>
    <t>Coimbatore</t>
  </si>
  <si>
    <t>Kozhikode</t>
  </si>
  <si>
    <t>Cochin</t>
  </si>
  <si>
    <t>Thiruvananthapuram</t>
  </si>
  <si>
    <t>Kamarhati</t>
  </si>
  <si>
    <t>Barasat</t>
  </si>
  <si>
    <t>Bhatpara</t>
  </si>
  <si>
    <t>Haora</t>
  </si>
  <si>
    <t>Bali</t>
  </si>
  <si>
    <t>Shrirampur</t>
  </si>
  <si>
    <t>Durgapur</t>
  </si>
  <si>
    <t>Asansol</t>
  </si>
  <si>
    <t>Ingraj Bazar</t>
  </si>
  <si>
    <t>Belakoba</t>
  </si>
  <si>
    <t>Koch Bihar</t>
  </si>
  <si>
    <t>Puri</t>
  </si>
  <si>
    <t>Cuttack</t>
  </si>
  <si>
    <t>Brahmapur</t>
  </si>
  <si>
    <t>Raurkela</t>
  </si>
  <si>
    <t>Shillong</t>
  </si>
  <si>
    <t>Imphal</t>
  </si>
  <si>
    <t>Agartala</t>
  </si>
  <si>
    <t>Dumka</t>
  </si>
  <si>
    <t>Ranchi</t>
  </si>
  <si>
    <t>Jamshedpur</t>
  </si>
  <si>
    <t>Jugsalai</t>
  </si>
  <si>
    <t>Kandra</t>
  </si>
  <si>
    <t>Muzaffarpur</t>
  </si>
  <si>
    <t>Dumra</t>
  </si>
  <si>
    <t>Darbhanga</t>
  </si>
  <si>
    <t>Purnia</t>
  </si>
  <si>
    <t>Araria</t>
  </si>
  <si>
    <t>Bakhtawarpur</t>
  </si>
  <si>
    <t>T3</t>
  </si>
  <si>
    <t>🏠 Tier 3 Town</t>
  </si>
  <si>
    <t>Narela</t>
  </si>
  <si>
    <t>Palwal</t>
  </si>
  <si>
    <t>Taoru</t>
  </si>
  <si>
    <t>Narnaul</t>
  </si>
  <si>
    <t>Gokulgarh</t>
  </si>
  <si>
    <t>Rohtak</t>
  </si>
  <si>
    <t>Jhajjar</t>
  </si>
  <si>
    <t>Bahadurgarh</t>
  </si>
  <si>
    <t>Sirsa</t>
  </si>
  <si>
    <t>Jind</t>
  </si>
  <si>
    <t>Bhiwani</t>
  </si>
  <si>
    <t>Thanesar</t>
  </si>
  <si>
    <t>Shahabad</t>
  </si>
  <si>
    <t>Ropar</t>
  </si>
  <si>
    <t>Padiala</t>
  </si>
  <si>
    <t>Nurpur Kalan</t>
  </si>
  <si>
    <t>Basi</t>
  </si>
  <si>
    <t>Kharar</t>
  </si>
  <si>
    <t>Sohana</t>
  </si>
  <si>
    <t>Sirhind</t>
  </si>
  <si>
    <t>Tarn Taran</t>
  </si>
  <si>
    <t>Batala</t>
  </si>
  <si>
    <t>Phagwara</t>
  </si>
  <si>
    <t>Kapurthala</t>
  </si>
  <si>
    <t>Sultanpur</t>
  </si>
  <si>
    <t>Maler Kotla</t>
  </si>
  <si>
    <t>Faridkot</t>
  </si>
  <si>
    <t>Mansa</t>
  </si>
  <si>
    <t>Ferozepore</t>
  </si>
  <si>
    <t>Muktsar</t>
  </si>
  <si>
    <t>Abohar</t>
  </si>
  <si>
    <t>Fazilka</t>
  </si>
  <si>
    <t>Shimla</t>
  </si>
  <si>
    <t>Rampur</t>
  </si>
  <si>
    <t>Nalagarh</t>
  </si>
  <si>
    <t>Una</t>
  </si>
  <si>
    <t>Hamirpur</t>
  </si>
  <si>
    <t>Sundarnagar</t>
  </si>
  <si>
    <t>Palampur</t>
  </si>
  <si>
    <t>Nurpur</t>
  </si>
  <si>
    <t>Birpur</t>
  </si>
  <si>
    <t>Udhampur</t>
  </si>
  <si>
    <t>Pampur</t>
  </si>
  <si>
    <t>Gandarbal</t>
  </si>
  <si>
    <t>Islamabad</t>
  </si>
  <si>
    <t>Aligarh</t>
  </si>
  <si>
    <t>Hathras</t>
  </si>
  <si>
    <t>Auraiya</t>
  </si>
  <si>
    <t>Debiapur</t>
  </si>
  <si>
    <t>Etah</t>
  </si>
  <si>
    <t>Farrukhabad</t>
  </si>
  <si>
    <t>Kannauj</t>
  </si>
  <si>
    <t>Purwa</t>
  </si>
  <si>
    <t>Auras</t>
  </si>
  <si>
    <t>Mahoba</t>
  </si>
  <si>
    <t>Fatehpur</t>
  </si>
  <si>
    <t>Mughal Sarai</t>
  </si>
  <si>
    <t>Bhadohi</t>
  </si>
  <si>
    <t>Nawabganj</t>
  </si>
  <si>
    <t>Raebareli</t>
  </si>
  <si>
    <t>Mirzapur</t>
  </si>
  <si>
    <t>Hardoi</t>
  </si>
  <si>
    <t>Shahjanpur</t>
  </si>
  <si>
    <t>Budaun</t>
  </si>
  <si>
    <t>Amroha</t>
  </si>
  <si>
    <t>Sambhal</t>
  </si>
  <si>
    <t>Kashipur</t>
  </si>
  <si>
    <t>Hapur</t>
  </si>
  <si>
    <t>Kotdwara</t>
  </si>
  <si>
    <t>Bijnor</t>
  </si>
  <si>
    <t>Najibabad</t>
  </si>
  <si>
    <t>Dhampur</t>
  </si>
  <si>
    <t>Muzaffarnagar</t>
  </si>
  <si>
    <t>Thana Bhawan</t>
  </si>
  <si>
    <t>Baraut</t>
  </si>
  <si>
    <t>Laharpur</t>
  </si>
  <si>
    <t>Biswan</t>
  </si>
  <si>
    <t>Sidhauli</t>
  </si>
  <si>
    <t>Khatima</t>
  </si>
  <si>
    <t>Bhatpuri</t>
  </si>
  <si>
    <t>Gola Gokarannath</t>
  </si>
  <si>
    <t>Kichha</t>
  </si>
  <si>
    <t>Gadarpur</t>
  </si>
  <si>
    <t>Almora</t>
  </si>
  <si>
    <t>Balrampur</t>
  </si>
  <si>
    <t>Bahraigh</t>
  </si>
  <si>
    <t>Bansi</t>
  </si>
  <si>
    <t>Nautanwa</t>
  </si>
  <si>
    <t>Maharaganj</t>
  </si>
  <si>
    <t>Deoria</t>
  </si>
  <si>
    <t>Padrauna</t>
  </si>
  <si>
    <t>Azamgarh</t>
  </si>
  <si>
    <t>Mehnagar</t>
  </si>
  <si>
    <t>Ballia</t>
  </si>
  <si>
    <t>Firozabad</t>
  </si>
  <si>
    <t>Orai</t>
  </si>
  <si>
    <t>Alwar</t>
  </si>
  <si>
    <t>Tijara</t>
  </si>
  <si>
    <t>Beawar</t>
  </si>
  <si>
    <t>Bhilwara</t>
  </si>
  <si>
    <t>Chittaurgarh</t>
  </si>
  <si>
    <t>Rajsamand</t>
  </si>
  <si>
    <t>Dungarpur</t>
  </si>
  <si>
    <t>Bharatpur</t>
  </si>
  <si>
    <t>Sawai Madhopur</t>
  </si>
  <si>
    <t>Gangapur</t>
  </si>
  <si>
    <t>Hindaun</t>
  </si>
  <si>
    <t>Bundi</t>
  </si>
  <si>
    <t>Baran</t>
  </si>
  <si>
    <t>Banswara</t>
  </si>
  <si>
    <t>Dhaulpur</t>
  </si>
  <si>
    <t>Sikar</t>
  </si>
  <si>
    <t>Jhunjhunun</t>
  </si>
  <si>
    <t>Suratgarh</t>
  </si>
  <si>
    <t>Bhinmal</t>
  </si>
  <si>
    <t>Balotra</t>
  </si>
  <si>
    <t>Jaisalmer</t>
  </si>
  <si>
    <t>Jetpur</t>
  </si>
  <si>
    <t>Khambhaliya</t>
  </si>
  <si>
    <t>Junagadh</t>
  </si>
  <si>
    <t>Kodinar</t>
  </si>
  <si>
    <t>Veraval</t>
  </si>
  <si>
    <t>Surendranagar</t>
  </si>
  <si>
    <t>Morbi</t>
  </si>
  <si>
    <t>Anjar</t>
  </si>
  <si>
    <t>Gandhidham</t>
  </si>
  <si>
    <t>Himatnagar</t>
  </si>
  <si>
    <t>Mahesana</t>
  </si>
  <si>
    <t>Patan</t>
  </si>
  <si>
    <t>Palanpur</t>
  </si>
  <si>
    <t>Vallabh Vidyanagar</t>
  </si>
  <si>
    <t>Anand</t>
  </si>
  <si>
    <t>Godhra</t>
  </si>
  <si>
    <t>Dohad</t>
  </si>
  <si>
    <t>Nandod</t>
  </si>
  <si>
    <t>Bharuch</t>
  </si>
  <si>
    <t>Avidha</t>
  </si>
  <si>
    <t>Vyara</t>
  </si>
  <si>
    <t>Valsad</t>
  </si>
  <si>
    <t>Bilimora</t>
  </si>
  <si>
    <t>Palghar</t>
  </si>
  <si>
    <t>Boisar</t>
  </si>
  <si>
    <t>Dahanu</t>
  </si>
  <si>
    <t>Pen</t>
  </si>
  <si>
    <t>Alibag</t>
  </si>
  <si>
    <t>Baramati</t>
  </si>
  <si>
    <t>Kalas</t>
  </si>
  <si>
    <t>Pandharpur</t>
  </si>
  <si>
    <t>Barsi</t>
  </si>
  <si>
    <t>Latur</t>
  </si>
  <si>
    <t>Udgir</t>
  </si>
  <si>
    <t>Rahata</t>
  </si>
  <si>
    <t>Sangamner</t>
  </si>
  <si>
    <t>Ahmadnagar</t>
  </si>
  <si>
    <t>Bir</t>
  </si>
  <si>
    <t>Satara</t>
  </si>
  <si>
    <t>Masur</t>
  </si>
  <si>
    <t>Phaltan</t>
  </si>
  <si>
    <t>Ratnagiri</t>
  </si>
  <si>
    <t>Ichalkaranji</t>
  </si>
  <si>
    <t>Malegaon</t>
  </si>
  <si>
    <t>Kopargaon</t>
  </si>
  <si>
    <t>Dhulia</t>
  </si>
  <si>
    <t>Chalisgaon</t>
  </si>
  <si>
    <t>Bhusaval</t>
  </si>
  <si>
    <t>Shirpur</t>
  </si>
  <si>
    <t>Shahada</t>
  </si>
  <si>
    <t>Nandurbar</t>
  </si>
  <si>
    <t>Majalgaon</t>
  </si>
  <si>
    <t>Parbhani</t>
  </si>
  <si>
    <t>Hingoli</t>
  </si>
  <si>
    <t>Parli Vaijnath</t>
  </si>
  <si>
    <t>Kalamnuri</t>
  </si>
  <si>
    <t>Gondia</t>
  </si>
  <si>
    <t>Tirora</t>
  </si>
  <si>
    <t>Bhandara</t>
  </si>
  <si>
    <t>Wardha</t>
  </si>
  <si>
    <t>Malkapur</t>
  </si>
  <si>
    <t>Akola</t>
  </si>
  <si>
    <t>Khamgaon</t>
  </si>
  <si>
    <t>Yavatmal</t>
  </si>
  <si>
    <t>Pusad</t>
  </si>
  <si>
    <t>Khandwa</t>
  </si>
  <si>
    <t>Nisarpur</t>
  </si>
  <si>
    <t>Pithampur</t>
  </si>
  <si>
    <t>Dewas</t>
  </si>
  <si>
    <t>Jhabua</t>
  </si>
  <si>
    <t>Jiran</t>
  </si>
  <si>
    <t>Betul</t>
  </si>
  <si>
    <t>Itarsi</t>
  </si>
  <si>
    <t>Harda Khas</t>
  </si>
  <si>
    <t>Piparia</t>
  </si>
  <si>
    <t>Vidisha</t>
  </si>
  <si>
    <t>Sehore</t>
  </si>
  <si>
    <t>Saugor</t>
  </si>
  <si>
    <t>Etawa</t>
  </si>
  <si>
    <t>Damoh</t>
  </si>
  <si>
    <t>Chhatarpur</t>
  </si>
  <si>
    <t>Nowgong</t>
  </si>
  <si>
    <t>Tikamgarh</t>
  </si>
  <si>
    <t>Datia</t>
  </si>
  <si>
    <t>Chhindwara</t>
  </si>
  <si>
    <t>Bharweli</t>
  </si>
  <si>
    <t>Deodora</t>
  </si>
  <si>
    <t>Murwara</t>
  </si>
  <si>
    <t>Shahdol</t>
  </si>
  <si>
    <t>Burhar</t>
  </si>
  <si>
    <t>Anuppur</t>
  </si>
  <si>
    <t>Satna</t>
  </si>
  <si>
    <t>Rewa</t>
  </si>
  <si>
    <t>Sidhi</t>
  </si>
  <si>
    <t>Singrauli</t>
  </si>
  <si>
    <t>Narsimhapur</t>
  </si>
  <si>
    <t>Bhilai</t>
  </si>
  <si>
    <t>Jagdalpur</t>
  </si>
  <si>
    <t>Mungeli</t>
  </si>
  <si>
    <t>Medak</t>
  </si>
  <si>
    <t>Adilabad</t>
  </si>
  <si>
    <t>Naspur</t>
  </si>
  <si>
    <t>Ramagundam</t>
  </si>
  <si>
    <t>Ramgundam</t>
  </si>
  <si>
    <t>Kottagudem</t>
  </si>
  <si>
    <t>Nalgonda</t>
  </si>
  <si>
    <t>Mirialguda</t>
  </si>
  <si>
    <t>Sirikonda</t>
  </si>
  <si>
    <t>Mahbubnagar</t>
  </si>
  <si>
    <t>Wanparti</t>
  </si>
  <si>
    <t>Guntakal</t>
  </si>
  <si>
    <t>Chittoor</t>
  </si>
  <si>
    <t>Madanapalle</t>
  </si>
  <si>
    <t>Alasandigutta</t>
  </si>
  <si>
    <t>Nandyal</t>
  </si>
  <si>
    <t>Palakollu</t>
  </si>
  <si>
    <t>Hoskote</t>
  </si>
  <si>
    <t>Devanhalli</t>
  </si>
  <si>
    <t>Dod Ballapur</t>
  </si>
  <si>
    <t>Nelamangala</t>
  </si>
  <si>
    <t>Piriyapatna</t>
  </si>
  <si>
    <t>Mandya</t>
  </si>
  <si>
    <t>Shimoga</t>
  </si>
  <si>
    <t>Gadag-Betageri</t>
  </si>
  <si>
    <t>Raichur</t>
  </si>
  <si>
    <t>Bidar</t>
  </si>
  <si>
    <t>Bagalkot</t>
  </si>
  <si>
    <t>Kudachi</t>
  </si>
  <si>
    <t>Nipani</t>
  </si>
  <si>
    <t>Nandambakkam</t>
  </si>
  <si>
    <t>Perumbakkam</t>
  </si>
  <si>
    <t>Sriperumbudur</t>
  </si>
  <si>
    <t>Oulgaret</t>
  </si>
  <si>
    <t>Villupuram</t>
  </si>
  <si>
    <t>Tiruvannamalai</t>
  </si>
  <si>
    <t>Mayiladuthurai</t>
  </si>
  <si>
    <t>Tanjore</t>
  </si>
  <si>
    <t>Dindigul</t>
  </si>
  <si>
    <t>Virudunagar</t>
  </si>
  <si>
    <t>Rajapalaiyam</t>
  </si>
  <si>
    <t>Tirunelveli</t>
  </si>
  <si>
    <t>Thoothukudi</t>
  </si>
  <si>
    <t>Nagercoil</t>
  </si>
  <si>
    <t>Tiruppattur</t>
  </si>
  <si>
    <t>Kanchipuram</t>
  </si>
  <si>
    <t>Krishnagiri</t>
  </si>
  <si>
    <t>Ambur</t>
  </si>
  <si>
    <t>Dharmapuri</t>
  </si>
  <si>
    <t>Tiruppur</t>
  </si>
  <si>
    <t>Karur</t>
  </si>
  <si>
    <t>Kankol</t>
  </si>
  <si>
    <t>Nileshwar</t>
  </si>
  <si>
    <t>Pallipram</t>
  </si>
  <si>
    <t>Cherukolattur</t>
  </si>
  <si>
    <t>Parappur</t>
  </si>
  <si>
    <t>Trichur</t>
  </si>
  <si>
    <t>Perintalmanna</t>
  </si>
  <si>
    <t>Todupulai</t>
  </si>
  <si>
    <t>Alleppey</t>
  </si>
  <si>
    <t>Kollam</t>
  </si>
  <si>
    <t>Hugli</t>
  </si>
  <si>
    <t>Chandannagar</t>
  </si>
  <si>
    <t>Shyamnagar</t>
  </si>
  <si>
    <t>Barddhaman</t>
  </si>
  <si>
    <t>Kulti</t>
  </si>
  <si>
    <t>Kharagpur</t>
  </si>
  <si>
    <t>Haldia</t>
  </si>
  <si>
    <t>Bankura</t>
  </si>
  <si>
    <t>Barjora</t>
  </si>
  <si>
    <t>Kenda</t>
  </si>
  <si>
    <t>Puruliya</t>
  </si>
  <si>
    <t>Siuri</t>
  </si>
  <si>
    <t>Bolpur</t>
  </si>
  <si>
    <t>Rampur Hat</t>
  </si>
  <si>
    <t>Sainthia</t>
  </si>
  <si>
    <t>Samalpur</t>
  </si>
  <si>
    <t>Kaliyaganj</t>
  </si>
  <si>
    <t>Raiganj</t>
  </si>
  <si>
    <t>Islampur</t>
  </si>
  <si>
    <t>Panjipara</t>
  </si>
  <si>
    <t>Dalkola</t>
  </si>
  <si>
    <t>Bagdogra</t>
  </si>
  <si>
    <t>Alipur Duar</t>
  </si>
  <si>
    <t>Namchi</t>
  </si>
  <si>
    <t>Chapra</t>
  </si>
  <si>
    <t>Baharampur</t>
  </si>
  <si>
    <t>Mahadebnagar</t>
  </si>
  <si>
    <t>Naihati</t>
  </si>
  <si>
    <t>Port Blair</t>
  </si>
  <si>
    <t>Kendraparha</t>
  </si>
  <si>
    <t>Jajpur</t>
  </si>
  <si>
    <t>Balasore</t>
  </si>
  <si>
    <t>Bhadrakh</t>
  </si>
  <si>
    <t>Baripada</t>
  </si>
  <si>
    <t>Keonjhargarh</t>
  </si>
  <si>
    <t>Angul</t>
  </si>
  <si>
    <t>Jeypore</t>
  </si>
  <si>
    <t>Sambalpur</t>
  </si>
  <si>
    <t>Bargarh</t>
  </si>
  <si>
    <t>Jharsugra</t>
  </si>
  <si>
    <t>Barpeta road</t>
  </si>
  <si>
    <t>Goalpara</t>
  </si>
  <si>
    <t>Dhuburi</t>
  </si>
  <si>
    <t>Kochugaon</t>
  </si>
  <si>
    <t>Basugaon</t>
  </si>
  <si>
    <t>Bongaigaon</t>
  </si>
  <si>
    <t>Bijni</t>
  </si>
  <si>
    <t>Tezpur</t>
  </si>
  <si>
    <t>Dagiapara</t>
  </si>
  <si>
    <t>Jorhat</t>
  </si>
  <si>
    <t>Golaghat</t>
  </si>
  <si>
    <t>Sibsagar</t>
  </si>
  <si>
    <t>Dibrugarh</t>
  </si>
  <si>
    <t>Tinsukia</t>
  </si>
  <si>
    <t>North Lakhimpur</t>
  </si>
  <si>
    <t>Dhemaji</t>
  </si>
  <si>
    <t>Silchar</t>
  </si>
  <si>
    <t>Udarband</t>
  </si>
  <si>
    <t>Aizawl</t>
  </si>
  <si>
    <t>Kohima</t>
  </si>
  <si>
    <t>Dimapur</t>
  </si>
  <si>
    <t>Barjala</t>
  </si>
  <si>
    <t>Bihar Sharif</t>
  </si>
  <si>
    <t>Arrah</t>
  </si>
  <si>
    <t>Nawada</t>
  </si>
  <si>
    <t>Mokameh</t>
  </si>
  <si>
    <t>Gaya</t>
  </si>
  <si>
    <t>Monghyr</t>
  </si>
  <si>
    <t>Jamui</t>
  </si>
  <si>
    <t>Sangrampur</t>
  </si>
  <si>
    <t>Bhagalpur</t>
  </si>
  <si>
    <t>Deoghar</t>
  </si>
  <si>
    <t>Godda</t>
  </si>
  <si>
    <t>Paratdiha</t>
  </si>
  <si>
    <t>Koiridih</t>
  </si>
  <si>
    <t>Jamtara</t>
  </si>
  <si>
    <t>Madhupur</t>
  </si>
  <si>
    <t>Pakur</t>
  </si>
  <si>
    <t>Dehri</t>
  </si>
  <si>
    <t>Kanchanpur</t>
  </si>
  <si>
    <t>Bokaro</t>
  </si>
  <si>
    <t>Marai Kalan</t>
  </si>
  <si>
    <t>Meru</t>
  </si>
  <si>
    <t>Jhumri Telaiya</t>
  </si>
  <si>
    <t>Dhanbad</t>
  </si>
  <si>
    <t>Chakradharpur</t>
  </si>
  <si>
    <t>Khunti</t>
  </si>
  <si>
    <t>Torpa</t>
  </si>
  <si>
    <t>Barauli</t>
  </si>
  <si>
    <t>Manjha</t>
  </si>
  <si>
    <t>Jadopur Shukul</t>
  </si>
  <si>
    <t>Sitamarhi</t>
  </si>
  <si>
    <t>Pupri</t>
  </si>
  <si>
    <t>Arniya</t>
  </si>
  <si>
    <t>Bariyarpur</t>
  </si>
  <si>
    <t>Shankar Saraiya</t>
  </si>
  <si>
    <t>Tadhwa Nandpur</t>
  </si>
  <si>
    <t>Kurwa Mathia</t>
  </si>
  <si>
    <t>Samastipur</t>
  </si>
  <si>
    <t>Bhagwanpur Desua</t>
  </si>
  <si>
    <t>Gohi Bishunpur</t>
  </si>
  <si>
    <t>Labhgaon</t>
  </si>
  <si>
    <t>Saharsa</t>
  </si>
  <si>
    <t>Solindabad</t>
  </si>
  <si>
    <t>Katihar</t>
  </si>
  <si>
    <t>Haripur</t>
  </si>
  <si>
    <t>Manullahpatti</t>
  </si>
  <si>
    <t>Guabari</t>
  </si>
  <si>
    <t>Bawana</t>
  </si>
  <si>
    <t>T4</t>
  </si>
  <si>
    <t>🛖 Tier 4 Micro</t>
  </si>
  <si>
    <t>Alipur</t>
  </si>
  <si>
    <t>Ateli Mandi</t>
  </si>
  <si>
    <t>Kanina Khas</t>
  </si>
  <si>
    <t>Mahendragarh</t>
  </si>
  <si>
    <t>Dharuhera</t>
  </si>
  <si>
    <t>Bawal</t>
  </si>
  <si>
    <t>Nilothi</t>
  </si>
  <si>
    <t>Shadipur Julana</t>
  </si>
  <si>
    <t>Safidon</t>
  </si>
  <si>
    <t>Bara Uchana</t>
  </si>
  <si>
    <t>Alewah</t>
  </si>
  <si>
    <t>Saha</t>
  </si>
  <si>
    <t>Narayangarh</t>
  </si>
  <si>
    <t>Pehowa</t>
  </si>
  <si>
    <t>Morinda</t>
  </si>
  <si>
    <t>Anandpur</t>
  </si>
  <si>
    <t>Nangal Township</t>
  </si>
  <si>
    <t>Mauli</t>
  </si>
  <si>
    <t>Lalru</t>
  </si>
  <si>
    <t>Bhankarpur</t>
  </si>
  <si>
    <t>Zerakpur</t>
  </si>
  <si>
    <t>Kararan</t>
  </si>
  <si>
    <t>Gobindgarh</t>
  </si>
  <si>
    <t>Moga</t>
  </si>
  <si>
    <t>Singhanwala</t>
  </si>
  <si>
    <t>Dharmkot</t>
  </si>
  <si>
    <t>Makhu</t>
  </si>
  <si>
    <t>Zira</t>
  </si>
  <si>
    <t>Ghal Kalan</t>
  </si>
  <si>
    <t>Talwandi Bhai</t>
  </si>
  <si>
    <t>Kadur Sahib</t>
  </si>
  <si>
    <t>Gharyala</t>
  </si>
  <si>
    <t>Kalanaur</t>
  </si>
  <si>
    <t>Qadian</t>
  </si>
  <si>
    <t>Fateh Nangal</t>
  </si>
  <si>
    <t>Dhariwal</t>
  </si>
  <si>
    <t>Gurdaspur</t>
  </si>
  <si>
    <t>Awankh</t>
  </si>
  <si>
    <t>Dinanagar</t>
  </si>
  <si>
    <t>Fatehgarh Churian</t>
  </si>
  <si>
    <t>🔗  DISTRICT → CITY MAPPING  |  ✏️ Edit Col C (Mapped City) to reclassify any district → Tier auto-updates</t>
  </si>
  <si>
    <t>FORMULA: Col D = VLOOKUP(Mapped City → City-Tier Master) | Yellow cells = editable | Tier defaults to T3 if city not found in master</t>
  </si>
  <si>
    <t>District / Area (Master Store List)</t>
  </si>
  <si>
    <t>State</t>
  </si>
  <si>
    <t>🖊 Mapped City (EDIT THIS)</t>
  </si>
  <si>
    <t>▶ Tier (auto)</t>
  </si>
  <si>
    <t>Match Method</t>
  </si>
  <si>
    <t>Stores</t>
  </si>
  <si>
    <t>Notes</t>
  </si>
  <si>
    <t>SOUTH ANDAMANS</t>
  </si>
  <si>
    <t>ANDAMAN AND NICOBAR ISLANDS</t>
  </si>
  <si>
    <t>Auto-Mapped</t>
  </si>
  <si>
    <t>ANANTAPUR</t>
  </si>
  <si>
    <t>ANDHRA PRADESH</t>
  </si>
  <si>
    <t>Anakapalli</t>
  </si>
  <si>
    <t>Annamayya</t>
  </si>
  <si>
    <t>Bapatla</t>
  </si>
  <si>
    <t>CHITTOOR</t>
  </si>
  <si>
    <t>EAST GODAVARI</t>
  </si>
  <si>
    <t>Eluru</t>
  </si>
  <si>
    <t>GUNTUR</t>
  </si>
  <si>
    <t>KRISHNA</t>
  </si>
  <si>
    <t>KURNOOL</t>
  </si>
  <si>
    <t>Konaseema</t>
  </si>
  <si>
    <t>NTR</t>
  </si>
  <si>
    <t>PRAKASAM</t>
  </si>
  <si>
    <t>Palnadu</t>
  </si>
  <si>
    <t>Parvathipuram Manyam</t>
  </si>
  <si>
    <t>SPSR NELLORE</t>
  </si>
  <si>
    <t>SRIKAKULAM</t>
  </si>
  <si>
    <t>Sri Sathya Sai</t>
  </si>
  <si>
    <t>VISAKHAPATANAM</t>
  </si>
  <si>
    <t>VIZIANAGARAM</t>
  </si>
  <si>
    <t>WEST GODAVARI</t>
  </si>
  <si>
    <t>Y.S.R.</t>
  </si>
  <si>
    <t>DIBANG VALLEY</t>
  </si>
  <si>
    <t>ARUNACHAL PRADESH</t>
  </si>
  <si>
    <t>Itanagar</t>
  </si>
  <si>
    <t>EAST SIANG</t>
  </si>
  <si>
    <t>LOHIT</t>
  </si>
  <si>
    <t>LOWER SUBANSIRI</t>
  </si>
  <si>
    <t>NAMSAI</t>
  </si>
  <si>
    <t>PAPUM PARE</t>
  </si>
  <si>
    <t>UPPER SUBANSIRI</t>
  </si>
  <si>
    <t>WEST SIANG</t>
  </si>
  <si>
    <t>BAKSA</t>
  </si>
  <si>
    <t>ASSAM</t>
  </si>
  <si>
    <t>BARPETA</t>
  </si>
  <si>
    <t>BONGAIGAON</t>
  </si>
  <si>
    <t>Bajali</t>
  </si>
  <si>
    <t>Biswanath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</si>
  <si>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</si>
  <si>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</si>
  <si>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</si>
  <si>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</si>
  <si>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</si>
  <si>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</si>
  <si>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</si>
  <si>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</si>
  <si>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</si>
  <si>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</si>
  <si>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</si>
  <si>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</si>
  <si>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Nagaon</t>
  </si>
  <si>
    <t>JORHAT</t>
  </si>
  <si>
    <t>KAMRUP</t>
  </si>
  <si>
    <t>KAMRUP METRO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</si>
  <si>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</si>
  <si>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</si>
  <si>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</si>
  <si>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</si>
  <si>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</si>
  <si>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</si>
  <si>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</si>
  <si>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</si>
  <si>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</si>
  <si>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</si>
  <si>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</si>
  <si>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</si>
  <si>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</si>
  <si>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ARARIA</t>
  </si>
  <si>
    <t>BIHAR</t>
  </si>
  <si>
    <t>AURANGABAD</t>
  </si>
  <si>
    <t>BANKA</t>
  </si>
  <si>
    <t>BEGUSARAI</t>
  </si>
  <si>
    <t>Begusarai</t>
  </si>
  <si>
    <t>BHAGALPUR</t>
  </si>
  <si>
    <t>BHOJPUR</t>
  </si>
  <si>
    <t>BUXAR</t>
  </si>
  <si>
    <t>Buxar</t>
  </si>
  <si>
    <t>DARBHANGA</t>
  </si>
  <si>
    <t>GAYA</t>
  </si>
  <si>
    <t>GOPALGANJ</t>
  </si>
  <si>
    <t>JAMUI</t>
  </si>
  <si>
    <t>Exact Match</t>
  </si>
  <si>
    <t>JEHANABAD</t>
  </si>
  <si>
    <t>KAIMUR (BHABUA)</t>
  </si>
  <si>
    <t>Sasaram</t>
  </si>
  <si>
    <t>KATIHAR</t>
  </si>
  <si>
    <t>KHAGARIA</t>
  </si>
  <si>
    <t>KISHANGANJ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</si>
  <si>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</si>
  <si>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</si>
  <si>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</si>
  <si>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</si>
  <si>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</si>
  <si>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</si>
  <si>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</si>
  <si>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</si>
  <si>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</si>
  <si>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Bettiah</t>
  </si>
  <si>
    <t>PATNA</t>
  </si>
  <si>
    <t>PURBI CHAMPARAN</t>
  </si>
  <si>
    <t>Motihari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</si>
  <si>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</si>
  <si>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</si>
  <si>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</si>
  <si>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</si>
  <si>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</si>
  <si>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</si>
  <si>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</si>
  <si>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</si>
  <si>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</si>
  <si>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Siwan</t>
  </si>
  <si>
    <t>SUPAUL</t>
  </si>
  <si>
    <t>VAISHALI</t>
  </si>
  <si>
    <t>CHANDIGARH</t>
  </si>
  <si>
    <t>BALODA BAZAR</t>
  </si>
  <si>
    <t>CHHATTISGARH</t>
  </si>
  <si>
    <t>BEMETARA</t>
  </si>
  <si>
    <t>BILASPUR</t>
  </si>
  <si>
    <t>DHAMTARI</t>
  </si>
  <si>
    <t>DURG</t>
  </si>
  <si>
    <t>JANJGIR-CHAMPA</t>
  </si>
  <si>
    <t>KABIRDHAM</t>
  </si>
  <si>
    <t>KORBA</t>
  </si>
  <si>
    <t>KOREA</t>
  </si>
  <si>
    <t>MAHASAMUND</t>
  </si>
  <si>
    <t>MUNGELI</t>
  </si>
  <si>
    <t>RAIGARH</t>
  </si>
  <si>
    <t>RAIPUR</t>
  </si>
  <si>
    <t>RAJNANDGAON</t>
  </si>
  <si>
    <t>SURAJPUR</t>
  </si>
  <si>
    <t>SURGUJA</t>
  </si>
  <si>
    <t>CENTRAL</t>
  </si>
  <si>
    <t>DELHI</t>
  </si>
  <si>
    <t>EAST</t>
  </si>
  <si>
    <t>NEW DELHI</t>
  </si>
  <si>
    <t>NORTH</t>
  </si>
  <si>
    <t>NORTH EAST</t>
  </si>
  <si>
    <t>NORTH WEST</t>
  </si>
  <si>
    <t>SHAHDARA</t>
  </si>
  <si>
    <t>SOUTH</t>
  </si>
  <si>
    <t>SOUTH WEST</t>
  </si>
  <si>
    <t>South East</t>
  </si>
  <si>
    <t>WEST</t>
  </si>
  <si>
    <t>NORTH GOA</t>
  </si>
  <si>
    <t>GOA</t>
  </si>
  <si>
    <t>Panaji</t>
  </si>
  <si>
    <t>SOUTH GOA</t>
  </si>
  <si>
    <t>Margao</t>
  </si>
  <si>
    <t>AHMEDABAD</t>
  </si>
  <si>
    <t>GUJARAT</t>
  </si>
  <si>
    <t>AMRELI</t>
  </si>
  <si>
    <t>Amreli</t>
  </si>
  <si>
    <t>ANAND</t>
  </si>
  <si>
    <t>ARVALLI</t>
  </si>
  <si>
    <t>BANAS KANTHA</t>
  </si>
  <si>
    <t>BHARUCH</t>
  </si>
  <si>
    <t>BHAVNAGAR</t>
  </si>
  <si>
    <t>BOTAD</t>
  </si>
  <si>
    <t>CHHOTAUDEPUR</t>
  </si>
  <si>
    <t>DOHAD</t>
  </si>
  <si>
    <t>GANDHINAGAR</t>
  </si>
  <si>
    <t>GIR SOMNATH</t>
  </si>
  <si>
    <t>JAMNAGAR</t>
  </si>
  <si>
    <t>JUNAGADH</t>
  </si>
  <si>
    <t>KACHCHH</t>
  </si>
  <si>
    <t>KADI</t>
  </si>
  <si>
    <t>KHEDA</t>
  </si>
  <si>
    <t>MAHESANA</t>
  </si>
  <si>
    <t>MORBI</t>
  </si>
  <si>
    <t>Mahisagar</t>
  </si>
  <si>
    <t>NAVSARI</t>
  </si>
  <si>
    <t>PANCH MAHALS</t>
  </si>
  <si>
    <t>PATAN</t>
  </si>
  <si>
    <t>PORBANDAR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</si>
  <si>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</si>
  <si>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</si>
  <si>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</si>
  <si>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</si>
  <si>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</si>
  <si>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</si>
  <si>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</si>
  <si>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</si>
  <si>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ahmedabad</t>
  </si>
  <si>
    <t>AMBALA</t>
  </si>
  <si>
    <t>HARYANA</t>
  </si>
  <si>
    <t>BHIWANI</t>
  </si>
  <si>
    <t>CHARKI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</si>
  <si>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</si>
  <si>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</si>
  <si>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</si>
  <si>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</si>
  <si>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</si>
  <si>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</si>
  <si>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</si>
  <si>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</si>
  <si>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</si>
  <si>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</si>
  <si>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</si>
  <si>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</si>
  <si>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</si>
  <si>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</si>
  <si>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</si>
  <si>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</si>
  <si>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</si>
  <si>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</si>
  <si>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</si>
  <si>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</si>
  <si>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</si>
  <si>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</si>
  <si>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</si>
  <si>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KULLU</t>
  </si>
  <si>
    <t>MANDI</t>
  </si>
  <si>
    <t>SHIMLA</t>
  </si>
  <si>
    <t>SIRMAUR</t>
  </si>
  <si>
    <t>SOLAN</t>
  </si>
  <si>
    <t>UNA</t>
  </si>
  <si>
    <t>ANANTNAG</t>
  </si>
  <si>
    <t>JAMMU AND KASHMIR</t>
  </si>
  <si>
    <t>BANDIPORA</t>
  </si>
  <si>
    <t>BARAMULLA</t>
  </si>
  <si>
    <t>Budgam</t>
  </si>
  <si>
    <t>DODA</t>
  </si>
  <si>
    <t>Partial Match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</si>
  <si>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</si>
  <si>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</si>
  <si>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</si>
  <si>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</si>
  <si>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</si>
  <si>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</si>
  <si>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</si>
  <si>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</si>
  <si>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</si>
  <si>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REASI</t>
  </si>
  <si>
    <t>SAMBA</t>
  </si>
  <si>
    <t>SHOPIAN</t>
  </si>
  <si>
    <t>SRINAGAR</t>
  </si>
  <si>
    <t>UDHAMPUR</t>
  </si>
  <si>
    <t>BOKARO</t>
  </si>
  <si>
    <t>JHARKHAND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</si>
  <si>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</si>
  <si>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</si>
  <si>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</si>
  <si>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</si>
  <si>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</si>
  <si>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</si>
  <si>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</si>
  <si>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</si>
  <si>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</si>
  <si>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</si>
  <si>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</si>
  <si>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</si>
  <si>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</si>
  <si>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</si>
  <si>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</si>
  <si>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</si>
  <si>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</si>
  <si>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</si>
  <si>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</si>
  <si>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</si>
  <si>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</si>
  <si>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</si>
  <si>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</si>
  <si>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</t>
  </si>
  <si>
    <t>KARNATAKA</t>
  </si>
  <si>
    <t>BALLARI</t>
  </si>
  <si>
    <t>BELAGAVI</t>
  </si>
  <si>
    <t>BELLARY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</si>
  <si>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</si>
  <si>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</si>
  <si>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</si>
  <si>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</si>
  <si>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</si>
  <si>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</si>
  <si>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</si>
  <si>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</si>
  <si>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</si>
  <si>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</si>
  <si>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</si>
  <si>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</si>
  <si>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</si>
  <si>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</si>
  <si>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</si>
  <si>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</si>
  <si>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</si>
  <si>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</si>
  <si>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</si>
  <si>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</si>
  <si>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</si>
  <si>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</si>
  <si>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</si>
  <si>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</si>
  <si>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</si>
  <si>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</si>
  <si>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VIJAYNAGAR</t>
  </si>
  <si>
    <t>YADGIR</t>
  </si>
  <si>
    <t>ALAPPUZHA</t>
  </si>
  <si>
    <t>KERALA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</si>
  <si>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</si>
  <si>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</si>
  <si>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</si>
  <si>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</si>
  <si>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</si>
  <si>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</si>
  <si>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</si>
  <si>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</si>
  <si>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</si>
  <si>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</si>
  <si>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</si>
  <si>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</si>
  <si>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</si>
  <si>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</si>
  <si>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LADAKH</t>
  </si>
  <si>
    <t>LEH LADAKH</t>
  </si>
  <si>
    <t>Leh Ladakh</t>
  </si>
  <si>
    <t>AGAR MALWA</t>
  </si>
  <si>
    <t>MADHYA PRADESH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</si>
  <si>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</si>
  <si>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</si>
  <si>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</si>
  <si>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</si>
  <si>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</si>
  <si>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</si>
  <si>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</si>
  <si>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</si>
  <si>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</si>
  <si>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</si>
  <si>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</si>
  <si>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</si>
  <si>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</si>
  <si>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</si>
  <si>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</si>
  <si>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</si>
  <si>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</si>
  <si>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</si>
  <si>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</si>
  <si>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</si>
  <si>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</si>
  <si>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</si>
  <si>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</si>
  <si>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</si>
  <si>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</si>
  <si>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</si>
  <si>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</si>
  <si>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</si>
  <si>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</si>
  <si>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</si>
  <si>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</si>
  <si>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</si>
  <si>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</si>
  <si>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</si>
  <si>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</si>
  <si>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</si>
  <si>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</si>
  <si>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</si>
  <si>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</si>
  <si>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</si>
  <si>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SHIVPURI</t>
  </si>
  <si>
    <t>SIDHI</t>
  </si>
  <si>
    <t>SINGRAULI</t>
  </si>
  <si>
    <t>TIKAMGARH</t>
  </si>
  <si>
    <t>UJJAIN</t>
  </si>
  <si>
    <t>VIDISHA</t>
  </si>
  <si>
    <t>AHMEDNAGAR</t>
  </si>
  <si>
    <t>MAHARASHTRA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</si>
  <si>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</si>
  <si>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</si>
  <si>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</si>
  <si>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</si>
  <si>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</si>
  <si>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</si>
  <si>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</si>
  <si>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</si>
  <si>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</si>
  <si>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</si>
  <si>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</si>
  <si>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</si>
  <si>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</si>
  <si>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</si>
  <si>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</si>
  <si>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</si>
  <si>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</si>
  <si>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</si>
  <si>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</si>
  <si>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</si>
  <si>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</si>
  <si>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</si>
  <si>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</si>
  <si>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</si>
  <si>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</si>
  <si>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</si>
  <si>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</si>
  <si>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</si>
  <si>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</si>
  <si>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</si>
  <si>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</si>
  <si>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</si>
  <si>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</si>
  <si>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</si>
  <si>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</si>
  <si>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MANIPUR</t>
  </si>
  <si>
    <t>CHURACHANDPUR</t>
  </si>
  <si>
    <t>IMPHAL WEST</t>
  </si>
  <si>
    <t>KANGPOKPI</t>
  </si>
  <si>
    <t>PHERZAWL</t>
  </si>
  <si>
    <t>THOUBAL</t>
  </si>
  <si>
    <t>UKHRUL</t>
  </si>
  <si>
    <t>EAST GARO HILLS</t>
  </si>
  <si>
    <t>MEGHALAYA</t>
  </si>
  <si>
    <t>EAST JAINTIA HILLS</t>
  </si>
  <si>
    <t>EAST KHASI HILLS</t>
  </si>
  <si>
    <t>RI BHOI</t>
  </si>
  <si>
    <t>WEST GARO HILLS</t>
  </si>
  <si>
    <t>WEST JAINTIA HILLS</t>
  </si>
  <si>
    <t>AIZAWL</t>
  </si>
  <si>
    <t>MIZORAM</t>
  </si>
  <si>
    <t>KOLASIB</t>
  </si>
  <si>
    <t>DIMAPUR</t>
  </si>
  <si>
    <t>NAGALAND</t>
  </si>
  <si>
    <t>KOHIMA</t>
  </si>
  <si>
    <t>MON</t>
  </si>
  <si>
    <t>PEREN</t>
  </si>
  <si>
    <t>WOKHA</t>
  </si>
  <si>
    <t>ANUGUL</t>
  </si>
  <si>
    <t>ODISHA</t>
  </si>
  <si>
    <t>BALANGIR</t>
  </si>
  <si>
    <t>BALESHWAR</t>
  </si>
  <si>
    <t>BARGARH</t>
  </si>
  <si>
    <t>BHADRAK</t>
  </si>
  <si>
    <t>BOUDH</t>
  </si>
  <si>
    <t>CUTTACK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</si>
  <si>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</si>
  <si>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</si>
  <si>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</si>
  <si>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</si>
  <si>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</si>
  <si>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</si>
  <si>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</si>
  <si>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</si>
  <si>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</si>
  <si>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</si>
  <si>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</si>
  <si>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</si>
  <si>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</si>
  <si>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</si>
  <si>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</si>
  <si>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</si>
  <si>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</si>
  <si>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</si>
  <si>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</si>
  <si>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</si>
  <si>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</si>
  <si>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</si>
  <si>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</si>
  <si>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PUDUCHERRY</t>
  </si>
  <si>
    <t>PONDICHERRY</t>
  </si>
  <si>
    <t>AMRITSAR</t>
  </si>
  <si>
    <t>PUNJAB</t>
  </si>
  <si>
    <t>BARNALA</t>
  </si>
  <si>
    <t>Sangrur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</si>
  <si>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</si>
  <si>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</si>
  <si>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</si>
  <si>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</si>
  <si>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</si>
  <si>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</si>
  <si>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</si>
  <si>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Hoshiarpur</t>
  </si>
  <si>
    <t>JALANDHAR</t>
  </si>
  <si>
    <t>KAPURTHALA</t>
  </si>
  <si>
    <t>LUDHIANA</t>
  </si>
  <si>
    <t>MALERKOTLA</t>
  </si>
  <si>
    <t>MANSA</t>
  </si>
  <si>
    <t>MOGA</t>
  </si>
  <si>
    <t>PATHANKOT</t>
  </si>
  <si>
    <t>PATIALA</t>
  </si>
  <si>
    <t>RUPNAGAR</t>
  </si>
  <si>
    <t>S.A.S Nagar</t>
  </si>
  <si>
    <t>SANGRUR</t>
  </si>
  <si>
    <t>SRI MUKTSAR SAHIB</t>
  </si>
  <si>
    <t>Shahid Bhagat Singh Nagar</t>
  </si>
  <si>
    <t>Nawanshahr</t>
  </si>
  <si>
    <t>AJMER</t>
  </si>
  <si>
    <t>RAJASTHAN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</si>
  <si>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</si>
  <si>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</si>
  <si>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</si>
  <si>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</si>
  <si>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</si>
  <si>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</si>
  <si>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</si>
  <si>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</si>
  <si>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</si>
  <si>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</si>
  <si>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</si>
  <si>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</si>
  <si>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</si>
  <si>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</si>
  <si>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</si>
  <si>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</si>
  <si>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</si>
  <si>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</si>
  <si>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</si>
  <si>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</si>
  <si>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</si>
  <si>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</si>
  <si>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</si>
  <si>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</si>
  <si>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Nagaur</t>
  </si>
  <si>
    <t>PALI</t>
  </si>
  <si>
    <t>PRATAPGARH</t>
  </si>
  <si>
    <t>Pratapgarh</t>
  </si>
  <si>
    <t>RAJSAMAND</t>
  </si>
  <si>
    <t>SAWAI MADHOPUR</t>
  </si>
  <si>
    <t>SIKAR</t>
  </si>
  <si>
    <t>SIROHI</t>
  </si>
  <si>
    <t>TONK</t>
  </si>
  <si>
    <t>UDAIPUR</t>
  </si>
  <si>
    <t>EAST DISTRICT</t>
  </si>
  <si>
    <t>SIKKIM</t>
  </si>
  <si>
    <t>SOUTH DISTRICT</t>
  </si>
  <si>
    <t>WEST DISTRICT</t>
  </si>
  <si>
    <t>Ariyalur</t>
  </si>
  <si>
    <t>TAMIL NADU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</si>
  <si>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</si>
  <si>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</si>
  <si>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</si>
  <si>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</si>
  <si>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</si>
  <si>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</si>
  <si>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</si>
  <si>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</si>
  <si>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</si>
  <si>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</si>
  <si>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</si>
  <si>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</si>
  <si>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</si>
  <si>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MAYILADUTHURAI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</si>
  <si>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</si>
  <si>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</si>
  <si>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</si>
  <si>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</si>
  <si>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</si>
  <si>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</si>
  <si>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</si>
  <si>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</si>
  <si>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</si>
  <si>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</si>
  <si>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</si>
  <si>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</si>
  <si>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</si>
  <si>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TIRUCHIRAPPALLI</t>
  </si>
  <si>
    <t>TIRUNELVELI</t>
  </si>
  <si>
    <t>TIRUPPUR</t>
  </si>
  <si>
    <t>TIRUVANNAMALAI</t>
  </si>
  <si>
    <t>TUTICORIN</t>
  </si>
  <si>
    <t>Tirupathur</t>
  </si>
  <si>
    <t>VELLORE</t>
  </si>
  <si>
    <t>VILLUPURAM</t>
  </si>
  <si>
    <t>VIRUDHUNAGAR</t>
  </si>
  <si>
    <t>ADILABAD</t>
  </si>
  <si>
    <t>TELANGANA</t>
  </si>
  <si>
    <t>BHADRADRI KOTHAGUDEM</t>
  </si>
  <si>
    <t>HANUMAKONDA</t>
  </si>
  <si>
    <t>HYDERABAD</t>
  </si>
  <si>
    <t>JOGULAMBA GADWAL</t>
  </si>
  <si>
    <t>Jagitial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</si>
  <si>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</si>
  <si>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</si>
  <si>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</si>
  <si>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</si>
  <si>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</si>
  <si>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</si>
  <si>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</si>
  <si>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</si>
  <si>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 MALKAJGIRI</t>
  </si>
  <si>
    <t>NAGARKURNOOL</t>
  </si>
  <si>
    <t>NALGONDA</t>
  </si>
  <si>
    <t>NIZAMABAD</t>
  </si>
  <si>
    <t>Narayanpet</t>
  </si>
  <si>
    <t>Nirmal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</si>
  <si>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</si>
  <si>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</si>
  <si>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</si>
  <si>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</si>
  <si>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</si>
  <si>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</si>
  <si>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</si>
  <si>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</si>
  <si>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YADADRI BHUVANAGIRI</t>
  </si>
  <si>
    <t>DADRA AND NAGAR HAVELI</t>
  </si>
  <si>
    <t>THE DADRA AND NAGAR HAVELI AND DAMAN AND DIU</t>
  </si>
  <si>
    <t>DAMAN</t>
  </si>
  <si>
    <t>Gomati</t>
  </si>
  <si>
    <t>TRIPURA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</si>
  <si>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</si>
  <si>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</si>
  <si>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</si>
  <si>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</si>
  <si>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</si>
  <si>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</si>
  <si>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</si>
  <si>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UTTAR PRADESH</t>
  </si>
  <si>
    <t>ALIGARH</t>
  </si>
  <si>
    <t>AMBEDKAR NAGAR</t>
  </si>
  <si>
    <t>Faizabad</t>
  </si>
  <si>
    <t>AMROHA</t>
  </si>
  <si>
    <t>AURAIYA</t>
  </si>
  <si>
    <t>AYODHYA</t>
  </si>
  <si>
    <t>AZAMGARH</t>
  </si>
  <si>
    <t>Amethi</t>
  </si>
  <si>
    <t>BAGHPAT</t>
  </si>
  <si>
    <t>BAHRAICH</t>
  </si>
  <si>
    <t>BALLIA</t>
  </si>
  <si>
    <t>BALRAMPUR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</si>
  <si>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</si>
  <si>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</si>
  <si>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</si>
  <si>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</si>
  <si>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</si>
  <si>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</si>
  <si>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</si>
  <si>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</si>
  <si>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</si>
  <si>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</si>
  <si>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</si>
  <si>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</si>
  <si>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</si>
  <si>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</si>
  <si>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</si>
  <si>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</si>
  <si>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</si>
  <si>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</si>
  <si>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</si>
  <si>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</si>
  <si>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</si>
  <si>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</si>
  <si>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</si>
  <si>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</si>
  <si>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</si>
  <si>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</si>
  <si>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</si>
  <si>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</si>
  <si>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</si>
  <si>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</si>
  <si>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</si>
  <si>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</si>
  <si>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</si>
  <si>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</si>
  <si>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</si>
  <si>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</si>
  <si>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</si>
  <si>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</si>
  <si>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</si>
  <si>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</si>
  <si>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</si>
  <si>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</si>
  <si>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</si>
  <si>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</si>
  <si>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</si>
  <si>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</si>
  <si>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</si>
  <si>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</si>
  <si>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</si>
  <si>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</si>
  <si>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</si>
  <si>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</si>
  <si>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</si>
  <si>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</si>
  <si>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</si>
  <si>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</si>
  <si>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</si>
  <si>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</si>
  <si>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</si>
  <si>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</si>
  <si>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</si>
  <si>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UTTARAKHAND</t>
  </si>
  <si>
    <t>BAGESHWAR</t>
  </si>
  <si>
    <t>CHAMPAWAT</t>
  </si>
  <si>
    <t>DEHRADUN</t>
  </si>
  <si>
    <t>HARIDWAR</t>
  </si>
  <si>
    <t>NAINITAL</t>
  </si>
  <si>
    <t>PAURI GARHWAL</t>
  </si>
  <si>
    <t>PITHORAGARH</t>
  </si>
  <si>
    <t>TEHRI GARHWAL</t>
  </si>
  <si>
    <t>UDAM SINGH NAGAR</t>
  </si>
  <si>
    <t>UTTAR KASHI</t>
  </si>
  <si>
    <t>24 PARAGANAS NORTH</t>
  </si>
  <si>
    <t>WEST BENGAL</t>
  </si>
  <si>
    <t>24 PARAGANAS SOUTH</t>
  </si>
  <si>
    <t>Alipurduar</t>
  </si>
  <si>
    <t>BANKURA</t>
  </si>
  <si>
    <t>BIRBHUM</t>
  </si>
  <si>
    <t>COOCHBEHAR</t>
  </si>
  <si>
    <t>DARJEELING</t>
  </si>
  <si>
    <t>Siliguri</t>
  </si>
  <si>
    <t>DINAJPUR DAKSHIN</t>
  </si>
  <si>
    <t>DINAJPUR UTTAR</t>
  </si>
  <si>
    <t>HOOGHLY</t>
  </si>
  <si>
    <t>HOWRAH</t>
  </si>
  <si>
    <t>JALPAIGURI</t>
  </si>
  <si>
    <t>Jhargram</t>
  </si>
  <si>
    <t>KALIMPONG</t>
  </si>
  <si>
    <t>KOLKATA</t>
  </si>
  <si>
    <t>MALDAH</t>
  </si>
  <si>
    <t>MEDINIPUR EAST</t>
  </si>
  <si>
    <t>MEDINIPUR WEST</t>
  </si>
  <si>
    <t>MURSHIDABAD</t>
  </si>
  <si>
    <t>NADIA</t>
  </si>
  <si>
    <t>PASCHIM BARDHAMAN</t>
  </si>
  <si>
    <t>PURBA BARDHAMAN</t>
  </si>
  <si>
    <t>PURULIA</t>
  </si>
  <si>
    <t>📊  TIER-WISE STORE DISTRIBUTION</t>
  </si>
  <si>
    <t>Auto-updates when District-City Map changes  |  Source: 31,745 stores across 112 brands</t>
  </si>
  <si>
    <t>Cities in Master</t>
  </si>
  <si>
    <t>Districts Mapped</t>
  </si>
  <si>
    <t>% of Total</t>
  </si>
  <si>
    <t>TOTAL</t>
  </si>
  <si>
    <t>All Tiers</t>
  </si>
  <si>
    <t>100.0%</t>
  </si>
  <si>
    <t>Python-verified store counts (for QA):</t>
  </si>
  <si>
    <t>8,072 stores</t>
  </si>
  <si>
    <t>7,428 stores</t>
  </si>
  <si>
    <t>9,560 stores</t>
  </si>
  <si>
    <t>6,571 stores</t>
  </si>
  <si>
    <t>114 stores</t>
  </si>
  <si>
    <t>TIER MASTER — USER GUIDE</t>
  </si>
  <si>
    <t>🗂️ Sheet Structure</t>
  </si>
  <si>
    <t xml:space="preserve">  📋 City-Tier Master</t>
  </si>
  <si>
    <t>625 cities × tier (Metro/T1/T2/T3/T4). The single source of truth. All formulas reference this. Edit a tier here and everything cascades.</t>
  </si>
  <si>
    <t xml:space="preserve">  🔗 District-City Map</t>
  </si>
  <si>
    <t>666 district-area names (as they appear in your store data) → mapped to canonical cities. THIS is your editing hub. Change Col C (Mapped City) for any row.</t>
  </si>
  <si>
    <t xml:space="preserve">  📊 Tier Stats</t>
  </si>
  <si>
    <t>Auto-calculated tier distribution. SUMIF formulas reference District Map → updates when you change a mapping.</t>
  </si>
  <si>
    <t>✏️ Common Tasks</t>
  </si>
  <si>
    <t xml:space="preserve">  Re-assign a district</t>
  </si>
  <si>
    <t>Find the district in 🔗 District-City Map Col A → change Col C to any city name from 📋 City-Tier Master → Col D (Tier) auto-updates via VLOOKUP.</t>
  </si>
  <si>
    <t xml:space="preserve">  'NORTH' district = Delhi</t>
  </si>
  <si>
    <t>Already mapped: NORTH (Delhi) → Delhi → Metro. No action needed. Check Col C for any district you're unsure about.</t>
  </si>
  <si>
    <t xml:space="preserve">  Move a city to a different tier</t>
  </si>
  <si>
    <t>Go to 📋 City-Tier Master → find the city → change Col B (Tier) → every district mapped to that city auto-updates via VLOOKUP chain.</t>
  </si>
  <si>
    <t xml:space="preserve">  Add a brand-new city</t>
  </si>
  <si>
    <t>Add a new row in 📋 City-Tier Master with the city name and tier → it immediately becomes available in District-City Map dropdowns.</t>
  </si>
  <si>
    <t xml:space="preserve">  Map a new district</t>
  </si>
  <si>
    <t>Add a row in 🔗 District-City Map with the district name, state, and mapped city name.</t>
  </si>
  <si>
    <t>🔑 Formula Chain</t>
  </si>
  <si>
    <t xml:space="preserve">  Step 1</t>
  </si>
  <si>
    <t>In 🔗 District-City Map: Col C = City Name (yellow, user-edited)</t>
  </si>
  <si>
    <t xml:space="preserve">  Step 2</t>
  </si>
  <si>
    <t>Col D = VLOOKUP(Col C → 📋 City-Tier Master col A:B) → returns Tier</t>
  </si>
  <si>
    <t xml:space="preserve">  Step 3</t>
  </si>
  <si>
    <t>📊 Tier Stats uses SUMIF(District Map col D = tier, sum col F stores)</t>
  </si>
  <si>
    <t xml:space="preserve">  Step 4</t>
  </si>
  <si>
    <t>Master Store List Tier col = VLOOKUP(District → District Map) to get resolved Tier</t>
  </si>
  <si>
    <t>🎨 Tier Colour Guide</t>
  </si>
  <si>
    <t xml:space="preserve">  🏙 Metro (Purple)</t>
  </si>
  <si>
    <t>Mumbai, Delhi, NCR, Bengaluru, Kolkata, Ahmedabad, Pune + satellites (Thane, Noida, Gurgaon, etc.)</t>
  </si>
  <si>
    <t xml:space="preserve">  🌆 T1 (Blue)</t>
  </si>
  <si>
    <t>Major state capitals: Hyderabad, Chennai, Chandigarh, Lucknow, Patna, Bhubaneshwar, Guwahati, Jaipur, Surat, Vadodara, Nagpur, Indore, etc.</t>
  </si>
  <si>
    <t xml:space="preserve">  🏘 T2 (Teal)</t>
  </si>
  <si>
    <t>Large secondary cities: Amritsar, Ludhiana, Jodhpur, Ranchi, Kochi, Coimbatore, Visakhapatnam, etc.</t>
  </si>
  <si>
    <t xml:space="preserve">  🏠 T3 (Green)</t>
  </si>
  <si>
    <t>District towns and smaller cities</t>
  </si>
  <si>
    <t xml:space="preserve">  🛖 T4 (Orange)</t>
  </si>
  <si>
    <t>Micro-markets (Punjab satellite towns in this dataset)</t>
  </si>
  <si>
    <t xml:space="preserve">  🟡 Yellow cells</t>
  </si>
  <si>
    <t>These are the ONLY cells you should type into. Everything else is formula-driven.</t>
  </si>
  <si>
    <t>Ziro</t>
  </si>
  <si>
    <t>Namsai</t>
  </si>
  <si>
    <t>Nalbari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</si>
</sst>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33" x14ac:knownFonts="1">
    <font>
      <sz val="11"/>
      <color theme="1"/>
      <name val="Calibri"/>
      <family val="2"/>
      <charset val="1"/>
    </font>
    <font>
      <b/>
      <sz val="12"/>
      <color rgb="FF7B1FA2"/>
      <name val="Calibri"/>
      <family val="2"/>
    </font>
    <font>
      <b/>
      <sz val="10"/>
      <color rgb="FFFFFFFF"/>
      <name val="Calibri"/>
      <family val="2"/>
    </font>
    <font>
      <sz val="9"/>
      <color rgb="FF1A1A2E"/>
      <name val="Calibri"/>
      <family val="2"/>
    </font>
    <font>
      <b/>
      <sz val="9"/>
      <color rgb="FF7B1FA2"/>
      <name val="Calibri"/>
      <family val="2"/>
    </font>
    <font>
      <i/>
      <sz val="9"/>
      <color rgb="FF546E7A"/>
      <name val="Calibri"/>
      <family val="2"/>
    </font>
    <font>
      <sz val="9"/>
      <color rgb="FF78909C"/>
      <name val="Calibri"/>
      <family val="2"/>
    </font>
    <font>
      <b/>
      <sz val="9"/>
      <color rgb="FF1565C0"/>
      <name val="Calibri"/>
      <family val="2"/>
    </font>
    <font>
      <b/>
      <sz val="9"/>
      <color rgb="FF006064"/>
      <name val="Calibri"/>
      <family val="2"/>
    </font>
    <font>
      <b/>
      <sz val="9"/>
      <color rgb="FF2E7D32"/>
      <name val="Calibri"/>
      <family val="2"/>
    </font>
    <font>
      <b/>
      <sz val="9"/>
      <color rgb="FFBF360C"/>
      <name val="Calibri"/>
      <family val="2"/>
    </font>
    <font>
      <b/>
      <sz val="11"/>
      <color rgb="FF1565C0"/>
      <name val="Calibri"/>
      <family val="2"/>
    </font>
    <font>
      <i/>
      <sz val="9"/>
      <color rgb="FF37474F"/>
      <name val="Calibri"/>
      <family val="2"/>
    </font>
    <font>
      <b/>
      <sz val="9"/>
      <color rgb="FFFFFFFF"/>
      <name val="Calibri"/>
      <family val="2"/>
    </font>
    <font>
      <b/>
      <sz val="9"/>
      <color rgb="FF1A1A2E"/>
      <name val="Calibri"/>
      <family val="2"/>
    </font>
    <font>
      <sz val="9"/>
      <color rgb="FF546E7A"/>
      <name val="Calibri"/>
      <family val="2"/>
    </font>
    <font>
      <sz val="9"/>
      <color rgb="FF2E7D32"/>
      <name val="Calibri"/>
      <family val="2"/>
    </font>
    <font>
      <sz val="9"/>
      <color rgb="FF1565C0"/>
      <name val="Calibri"/>
      <family val="2"/>
    </font>
    <font>
      <b/>
      <sz val="13"/>
      <color rgb="FF006064"/>
      <name val="Calibri"/>
      <family val="2"/>
    </font>
    <font>
      <b/>
      <sz val="11"/>
      <color rgb="FF7B1FA2"/>
      <name val="Calibri"/>
      <family val="2"/>
    </font>
    <font>
      <sz val="10"/>
      <color rgb="FF1A1A2E"/>
      <name val="Calibri"/>
      <family val="2"/>
    </font>
    <font>
      <b/>
      <sz val="10"/>
      <color rgb="FF7B1FA2"/>
      <name val="Calibri"/>
      <family val="2"/>
    </font>
    <font>
      <b/>
      <sz val="10"/>
      <color rgb="FF1565C0"/>
      <name val="Calibri"/>
      <family val="2"/>
    </font>
    <font>
      <b/>
      <sz val="11"/>
      <color rgb="FF006064"/>
      <name val="Calibri"/>
      <family val="2"/>
    </font>
    <font>
      <b/>
      <sz val="10"/>
      <color rgb="FF006064"/>
      <name val="Calibri"/>
      <family val="2"/>
    </font>
    <font>
      <b/>
      <sz val="11"/>
      <color rgb="FF2E7D32"/>
      <name val="Calibri"/>
      <family val="2"/>
    </font>
    <font>
      <b/>
      <sz val="10"/>
      <color rgb="FF2E7D32"/>
      <name val="Calibri"/>
      <family val="2"/>
    </font>
    <font>
      <b/>
      <sz val="11"/>
      <color rgb="FFBF360C"/>
      <name val="Calibri"/>
      <family val="2"/>
    </font>
    <font>
      <b/>
      <sz val="10"/>
      <color rgb="FFBF360C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4"/>
      <color rgb="FFFFFFFF"/>
      <name val="Calibri"/>
      <family val="2"/>
    </font>
    <font>
      <sz val="9"/>
      <color rgb="FF37474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3E5F5"/>
        <bgColor rgb="FFFBE9E7"/>
      </patternFill>
    </fill>
    <fill>
      <patternFill patternType="solid">
        <fgColor rgb="FF0D1B2E"/>
        <bgColor rgb="FF1A1A2E"/>
      </patternFill>
    </fill>
    <fill>
      <patternFill patternType="solid">
        <fgColor rgb="FFE3F2FD"/>
        <bgColor rgb="FFE0F7FA"/>
      </patternFill>
    </fill>
    <fill>
      <patternFill patternType="solid">
        <fgColor rgb="FFE0F7FA"/>
        <bgColor rgb="FFE3F2FD"/>
      </patternFill>
    </fill>
    <fill>
      <patternFill patternType="solid">
        <fgColor rgb="FFE8F5E9"/>
        <bgColor rgb="FFE0F7FA"/>
      </patternFill>
    </fill>
    <fill>
      <patternFill patternType="solid">
        <fgColor rgb="FFFBE9E7"/>
        <bgColor rgb="FFF3E5F5"/>
      </patternFill>
    </fill>
    <fill>
      <patternFill patternType="solid">
        <fgColor rgb="FFEFF3FF"/>
        <bgColor rgb="FFE3F2FD"/>
      </patternFill>
    </fill>
    <fill>
      <patternFill patternType="solid">
        <fgColor rgb="FFF8FAFF"/>
        <bgColor rgb="FFFFFFFF"/>
      </patternFill>
    </fill>
    <fill>
      <patternFill patternType="solid">
        <fgColor rgb="FFFFF9C4"/>
        <bgColor rgb="FFFBE9E7"/>
      </patternFill>
    </fill>
    <fill>
      <patternFill patternType="solid">
        <fgColor rgb="FFFFFFFF"/>
        <bgColor rgb="FFF8FA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1" fillId="3" borderId="0" xfId="0" applyFont="1" applyFill="1" applyAlignment="1">
      <alignment horizontal="center" vertical="center"/>
    </xf>
    <xf numFmtId="0" fontId="5" fillId="0" borderId="0" xfId="0" applyFont="1"/>
    <xf numFmtId="0" fontId="18" fillId="5" borderId="0" xfId="0" applyFont="1" applyFill="1"/>
    <xf numFmtId="0" fontId="12" fillId="8" borderId="0" xfId="0" applyFont="1" applyFill="1"/>
    <xf numFmtId="0" fontId="11" fillId="4" borderId="0" xfId="0" applyFont="1" applyFill="1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  <xf numFmtId="0" fontId="7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4" borderId="0" xfId="0" applyFont="1" applyFill="1"/>
    <xf numFmtId="0" fontId="13" fillId="3" borderId="1" xfId="0" applyFont="1" applyFill="1" applyBorder="1" applyAlignment="1">
      <alignment horizontal="center" vertical="center" wrapText="1"/>
    </xf>
    <xf numFmtId="0" fontId="14" fillId="9" borderId="2" xfId="0" applyFont="1" applyFill="1" applyBorder="1"/>
    <xf numFmtId="0" fontId="15" fillId="9" borderId="2" xfId="0" applyFont="1" applyFill="1" applyBorder="1"/>
    <xf numFmtId="0" fontId="7" fillId="10" borderId="2" xfId="0" applyFont="1" applyFill="1" applyBorder="1" applyAlignment="1">
      <alignment horizontal="left" vertical="center"/>
    </xf>
    <xf numFmtId="0" fontId="16" fillId="9" borderId="2" xfId="0" applyFont="1" applyFill="1" applyBorder="1"/>
    <xf numFmtId="3" fontId="3" fillId="9" borderId="2" xfId="0" applyNumberFormat="1" applyFont="1" applyFill="1" applyBorder="1" applyAlignment="1">
      <alignment horizontal="center" vertical="center"/>
    </xf>
    <xf numFmtId="0" fontId="0" fillId="10" borderId="2" xfId="0" applyFill="1" applyBorder="1"/>
    <xf numFmtId="0" fontId="14" fillId="11" borderId="2" xfId="0" applyFont="1" applyFill="1" applyBorder="1"/>
    <xf numFmtId="0" fontId="15" fillId="11" borderId="2" xfId="0" applyFont="1" applyFill="1" applyBorder="1"/>
    <xf numFmtId="0" fontId="16" fillId="11" borderId="2" xfId="0" applyFont="1" applyFill="1" applyBorder="1"/>
    <xf numFmtId="3" fontId="3" fillId="11" borderId="2" xfId="0" applyNumberFormat="1" applyFont="1" applyFill="1" applyBorder="1" applyAlignment="1">
      <alignment horizontal="center" vertical="center"/>
    </xf>
    <xf numFmtId="0" fontId="17" fillId="11" borderId="2" xfId="0" applyFont="1" applyFill="1" applyBorder="1"/>
    <xf numFmtId="0" fontId="17" fillId="9" borderId="2" xfId="0" applyFont="1" applyFill="1" applyBorder="1"/>
    <xf numFmtId="0" fontId="5" fillId="0" borderId="0" xfId="0" applyFont="1"/>
    <xf numFmtId="0" fontId="19" fillId="2" borderId="2" xfId="0" applyFont="1" applyFill="1" applyBorder="1" applyAlignment="1">
      <alignment horizontal="center" vertical="center"/>
    </xf>
    <xf numFmtId="0" fontId="20" fillId="0" borderId="2" xfId="0" applyFont="1" applyBorder="1"/>
    <xf numFmtId="0" fontId="20" fillId="0" borderId="2" xfId="0" applyFont="1" applyBorder="1" applyAlignment="1">
      <alignment horizontal="center" vertical="center"/>
    </xf>
    <xf numFmtId="3" fontId="21" fillId="2" borderId="2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3" fontId="22" fillId="4" borderId="2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3" fontId="24" fillId="5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3" fontId="26" fillId="6" borderId="2" xfId="0" applyNumberFormat="1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3" fontId="28" fillId="7" borderId="2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/>
    <xf numFmtId="3" fontId="2" fillId="3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0" fillId="4" borderId="0" xfId="0" applyFill="1"/>
    <xf numFmtId="0" fontId="14" fillId="9" borderId="0" xfId="0" applyFont="1" applyFill="1"/>
    <xf numFmtId="0" fontId="32" fillId="9" borderId="0" xfId="0" applyFont="1" applyFill="1" applyAlignment="1">
      <alignment horizontal="left" vertical="center" wrapText="1"/>
    </xf>
    <xf numFmtId="0" fontId="14" fillId="11" borderId="0" xfId="0" applyFont="1" applyFill="1"/>
    <xf numFmtId="0" fontId="32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FFDC556-8528-4FC2-9BEE-C192BFC24753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38F"/>
      <rgbColor rgb="FFEFF3FF"/>
      <rgbColor rgb="FF78909C"/>
      <rgbColor rgb="FF9999FF"/>
      <rgbColor rgb="FF993366"/>
      <rgbColor rgb="FFFFF9C4"/>
      <rgbColor rgb="FFE0F7FA"/>
      <rgbColor rgb="FF660066"/>
      <rgbColor rgb="FFFF8080"/>
      <rgbColor rgb="FF1565C0"/>
      <rgbColor rgb="FFD0D7DE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E3F2FD"/>
      <rgbColor rgb="FFE8F5E9"/>
      <rgbColor rgb="FFFBE9E7"/>
      <rgbColor rgb="FFF8FAFF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003366"/>
      <rgbColor rgb="FF2E7D32"/>
      <rgbColor rgb="FF0D1B2E"/>
      <rgbColor rgb="FF1A1A2E"/>
      <rgbColor rgb="FFBF360C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yTierMaster" displayName="CityTierMaster" ref="A3:D628" totalsRowShown="0">
  <autoFilter ref="A3:D628" xr:uid="{00000000-0009-0000-0100-000001000000}"/>
  <tableColumns count="4">
    <tableColumn id="1" xr3:uid="{00000000-0010-0000-0000-000001000000}" name="City"/>
    <tableColumn id="2" xr3:uid="{00000000-0010-0000-0000-000002000000}" name="Tier"/>
    <tableColumn id="3" xr3:uid="{00000000-0010-0000-0000-000003000000}" name="Tier Name"/>
    <tableColumn id="4" xr3:uid="{00000000-0010-0000-0000-000004000000}" name="Count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B1FA2"/>
  </sheetPr>
  <dimension ref="A1:D628"/>
  <sheetViews>
    <sheetView zoomScaleNormal="100" workbookViewId="0">
      <pane ySplit="3" topLeftCell="A543" activePane="bottomLeft" state="frozen"/>
      <selection pane="bottomLeft" activeCell="C589" sqref="C589"/>
    </sheetView>
  </sheetViews>
  <sheetFormatPr defaultColWidth="8.7109375" defaultRowHeight="15" x14ac:dyDescent="0.25"/>
  <cols>
    <col min="1" max="1" width="28" customWidth="1"/>
    <col min="2" max="2" width="10" customWidth="1"/>
    <col min="3" max="3" width="22" customWidth="1"/>
    <col min="4" max="4" width="12" customWidth="1"/>
  </cols>
  <sheetData>
    <row r="1" spans="1:4" ht="25.5" customHeight="1" x14ac:dyDescent="0.25">
      <c r="A1" s="6" t="s">
        <v>0</v>
      </c>
      <c r="B1" s="6"/>
      <c r="C1" s="6"/>
      <c r="D1" s="6"/>
    </row>
    <row r="3" spans="1:4" ht="19.5" customHeight="1" x14ac:dyDescent="0.25">
      <c r="A3" s="7" t="s">
        <v>1</v>
      </c>
      <c r="B3" s="7" t="s">
        <v>2</v>
      </c>
      <c r="C3" s="7" t="s">
        <v>3</v>
      </c>
      <c r="D3" s="7" t="s">
        <v>4</v>
      </c>
    </row>
    <row r="4" spans="1:4" x14ac:dyDescent="0.25">
      <c r="A4" s="8" t="s">
        <v>5</v>
      </c>
      <c r="B4" s="9" t="s">
        <v>6</v>
      </c>
      <c r="C4" s="10" t="s">
        <v>7</v>
      </c>
      <c r="D4" s="11" t="s">
        <v>8</v>
      </c>
    </row>
    <row r="5" spans="1:4" x14ac:dyDescent="0.25">
      <c r="A5" s="8" t="s">
        <v>9</v>
      </c>
      <c r="B5" s="9" t="s">
        <v>6</v>
      </c>
      <c r="C5" s="10" t="s">
        <v>7</v>
      </c>
      <c r="D5" s="11" t="s">
        <v>8</v>
      </c>
    </row>
    <row r="6" spans="1:4" x14ac:dyDescent="0.25">
      <c r="A6" s="8" t="s">
        <v>10</v>
      </c>
      <c r="B6" s="9" t="s">
        <v>6</v>
      </c>
      <c r="C6" s="10" t="s">
        <v>7</v>
      </c>
      <c r="D6" s="11" t="s">
        <v>8</v>
      </c>
    </row>
    <row r="7" spans="1:4" x14ac:dyDescent="0.25">
      <c r="A7" s="8" t="s">
        <v>11</v>
      </c>
      <c r="B7" s="9" t="s">
        <v>6</v>
      </c>
      <c r="C7" s="10" t="s">
        <v>7</v>
      </c>
      <c r="D7" s="11" t="s">
        <v>8</v>
      </c>
    </row>
    <row r="8" spans="1:4" x14ac:dyDescent="0.25">
      <c r="A8" s="8" t="s">
        <v>12</v>
      </c>
      <c r="B8" s="9" t="s">
        <v>6</v>
      </c>
      <c r="C8" s="10" t="s">
        <v>7</v>
      </c>
      <c r="D8" s="11" t="s">
        <v>8</v>
      </c>
    </row>
    <row r="9" spans="1:4" x14ac:dyDescent="0.25">
      <c r="A9" s="8" t="s">
        <v>13</v>
      </c>
      <c r="B9" s="9" t="s">
        <v>6</v>
      </c>
      <c r="C9" s="10" t="s">
        <v>7</v>
      </c>
      <c r="D9" s="11" t="s">
        <v>8</v>
      </c>
    </row>
    <row r="10" spans="1:4" x14ac:dyDescent="0.25">
      <c r="A10" s="8" t="s">
        <v>14</v>
      </c>
      <c r="B10" s="9" t="s">
        <v>6</v>
      </c>
      <c r="C10" s="10" t="s">
        <v>7</v>
      </c>
      <c r="D10" s="11" t="s">
        <v>8</v>
      </c>
    </row>
    <row r="11" spans="1:4" x14ac:dyDescent="0.25">
      <c r="A11" s="8" t="s">
        <v>15</v>
      </c>
      <c r="B11" s="9" t="s">
        <v>6</v>
      </c>
      <c r="C11" s="10" t="s">
        <v>7</v>
      </c>
      <c r="D11" s="11" t="s">
        <v>8</v>
      </c>
    </row>
    <row r="12" spans="1:4" x14ac:dyDescent="0.25">
      <c r="A12" s="8" t="s">
        <v>16</v>
      </c>
      <c r="B12" s="9" t="s">
        <v>6</v>
      </c>
      <c r="C12" s="10" t="s">
        <v>7</v>
      </c>
      <c r="D12" s="11" t="s">
        <v>8</v>
      </c>
    </row>
    <row r="13" spans="1:4" x14ac:dyDescent="0.25">
      <c r="A13" s="8" t="s">
        <v>17</v>
      </c>
      <c r="B13" s="9" t="s">
        <v>6</v>
      </c>
      <c r="C13" s="10" t="s">
        <v>7</v>
      </c>
      <c r="D13" s="11" t="s">
        <v>8</v>
      </c>
    </row>
    <row r="14" spans="1:4" x14ac:dyDescent="0.25">
      <c r="A14" s="8" t="s">
        <v>18</v>
      </c>
      <c r="B14" s="9" t="s">
        <v>6</v>
      </c>
      <c r="C14" s="10" t="s">
        <v>7</v>
      </c>
      <c r="D14" s="11" t="s">
        <v>8</v>
      </c>
    </row>
    <row r="15" spans="1:4" x14ac:dyDescent="0.25">
      <c r="A15" s="8" t="s">
        <v>19</v>
      </c>
      <c r="B15" s="9" t="s">
        <v>6</v>
      </c>
      <c r="C15" s="10" t="s">
        <v>7</v>
      </c>
      <c r="D15" s="11" t="s">
        <v>8</v>
      </c>
    </row>
    <row r="16" spans="1:4" x14ac:dyDescent="0.25">
      <c r="A16" s="8" t="s">
        <v>20</v>
      </c>
      <c r="B16" s="9" t="s">
        <v>6</v>
      </c>
      <c r="C16" s="10" t="s">
        <v>7</v>
      </c>
      <c r="D16" s="11" t="s">
        <v>8</v>
      </c>
    </row>
    <row r="17" spans="1:4" x14ac:dyDescent="0.25">
      <c r="A17" s="8" t="s">
        <v>21</v>
      </c>
      <c r="B17" s="9" t="s">
        <v>6</v>
      </c>
      <c r="C17" s="10" t="s">
        <v>7</v>
      </c>
      <c r="D17" s="11" t="s">
        <v>8</v>
      </c>
    </row>
    <row r="18" spans="1:4" x14ac:dyDescent="0.25">
      <c r="A18" s="8" t="s">
        <v>22</v>
      </c>
      <c r="B18" s="9" t="s">
        <v>6</v>
      </c>
      <c r="C18" s="10" t="s">
        <v>7</v>
      </c>
      <c r="D18" s="11" t="s">
        <v>8</v>
      </c>
    </row>
    <row r="19" spans="1:4" x14ac:dyDescent="0.25">
      <c r="A19" s="8" t="s">
        <v>23</v>
      </c>
      <c r="B19" s="9" t="s">
        <v>6</v>
      </c>
      <c r="C19" s="10" t="s">
        <v>7</v>
      </c>
      <c r="D19" s="11" t="s">
        <v>8</v>
      </c>
    </row>
    <row r="20" spans="1:4" x14ac:dyDescent="0.25">
      <c r="A20" s="8" t="s">
        <v>24</v>
      </c>
      <c r="B20" s="9" t="s">
        <v>6</v>
      </c>
      <c r="C20" s="10" t="s">
        <v>7</v>
      </c>
      <c r="D20" s="11" t="s">
        <v>8</v>
      </c>
    </row>
    <row r="21" spans="1:4" x14ac:dyDescent="0.25">
      <c r="A21" s="8" t="s">
        <v>25</v>
      </c>
      <c r="B21" s="12" t="s">
        <v>26</v>
      </c>
      <c r="C21" s="10" t="s">
        <v>27</v>
      </c>
      <c r="D21" s="11" t="s">
        <v>8</v>
      </c>
    </row>
    <row r="22" spans="1:4" x14ac:dyDescent="0.25">
      <c r="A22" s="8" t="s">
        <v>28</v>
      </c>
      <c r="B22" s="12" t="s">
        <v>26</v>
      </c>
      <c r="C22" s="10" t="s">
        <v>27</v>
      </c>
      <c r="D22" s="11" t="s">
        <v>8</v>
      </c>
    </row>
    <row r="23" spans="1:4" x14ac:dyDescent="0.25">
      <c r="A23" s="8" t="s">
        <v>29</v>
      </c>
      <c r="B23" s="12" t="s">
        <v>26</v>
      </c>
      <c r="C23" s="10" t="s">
        <v>27</v>
      </c>
      <c r="D23" s="11" t="s">
        <v>8</v>
      </c>
    </row>
    <row r="24" spans="1:4" x14ac:dyDescent="0.25">
      <c r="A24" s="8" t="s">
        <v>30</v>
      </c>
      <c r="B24" s="12" t="s">
        <v>26</v>
      </c>
      <c r="C24" s="10" t="s">
        <v>27</v>
      </c>
      <c r="D24" s="11" t="s">
        <v>8</v>
      </c>
    </row>
    <row r="25" spans="1:4" x14ac:dyDescent="0.25">
      <c r="A25" s="8" t="s">
        <v>31</v>
      </c>
      <c r="B25" s="12" t="s">
        <v>26</v>
      </c>
      <c r="C25" s="10" t="s">
        <v>27</v>
      </c>
      <c r="D25" s="11" t="s">
        <v>8</v>
      </c>
    </row>
    <row r="26" spans="1:4" x14ac:dyDescent="0.25">
      <c r="A26" s="8" t="s">
        <v>32</v>
      </c>
      <c r="B26" s="12" t="s">
        <v>26</v>
      </c>
      <c r="C26" s="10" t="s">
        <v>27</v>
      </c>
      <c r="D26" s="11" t="s">
        <v>8</v>
      </c>
    </row>
    <row r="27" spans="1:4" x14ac:dyDescent="0.25">
      <c r="A27" s="8" t="s">
        <v>33</v>
      </c>
      <c r="B27" s="12" t="s">
        <v>26</v>
      </c>
      <c r="C27" s="10" t="s">
        <v>27</v>
      </c>
      <c r="D27" s="11" t="s">
        <v>8</v>
      </c>
    </row>
    <row r="28" spans="1:4" x14ac:dyDescent="0.25">
      <c r="A28" s="8" t="s">
        <v>34</v>
      </c>
      <c r="B28" s="12" t="s">
        <v>26</v>
      </c>
      <c r="C28" s="10" t="s">
        <v>27</v>
      </c>
      <c r="D28" s="11" t="s">
        <v>8</v>
      </c>
    </row>
    <row r="29" spans="1:4" x14ac:dyDescent="0.25">
      <c r="A29" s="8" t="s">
        <v>35</v>
      </c>
      <c r="B29" s="12" t="s">
        <v>26</v>
      </c>
      <c r="C29" s="10" t="s">
        <v>27</v>
      </c>
      <c r="D29" s="11" t="s">
        <v>8</v>
      </c>
    </row>
    <row r="30" spans="1:4" x14ac:dyDescent="0.25">
      <c r="A30" s="8" t="s">
        <v>36</v>
      </c>
      <c r="B30" s="12" t="s">
        <v>26</v>
      </c>
      <c r="C30" s="10" t="s">
        <v>27</v>
      </c>
      <c r="D30" s="11" t="s">
        <v>8</v>
      </c>
    </row>
    <row r="31" spans="1:4" x14ac:dyDescent="0.25">
      <c r="A31" s="8" t="s">
        <v>37</v>
      </c>
      <c r="B31" s="12" t="s">
        <v>26</v>
      </c>
      <c r="C31" s="10" t="s">
        <v>27</v>
      </c>
      <c r="D31" s="11" t="s">
        <v>8</v>
      </c>
    </row>
    <row r="32" spans="1:4" x14ac:dyDescent="0.25">
      <c r="A32" s="8" t="s">
        <v>38</v>
      </c>
      <c r="B32" s="12" t="s">
        <v>26</v>
      </c>
      <c r="C32" s="10" t="s">
        <v>27</v>
      </c>
      <c r="D32" s="11" t="s">
        <v>8</v>
      </c>
    </row>
    <row r="33" spans="1:4" x14ac:dyDescent="0.25">
      <c r="A33" s="8" t="s">
        <v>39</v>
      </c>
      <c r="B33" s="12" t="s">
        <v>26</v>
      </c>
      <c r="C33" s="10" t="s">
        <v>27</v>
      </c>
      <c r="D33" s="11" t="s">
        <v>8</v>
      </c>
    </row>
    <row r="34" spans="1:4" x14ac:dyDescent="0.25">
      <c r="A34" s="8" t="s">
        <v>40</v>
      </c>
      <c r="B34" s="12" t="s">
        <v>26</v>
      </c>
      <c r="C34" s="10" t="s">
        <v>27</v>
      </c>
      <c r="D34" s="11" t="s">
        <v>8</v>
      </c>
    </row>
    <row r="35" spans="1:4" x14ac:dyDescent="0.25">
      <c r="A35" s="8" t="s">
        <v>41</v>
      </c>
      <c r="B35" s="12" t="s">
        <v>26</v>
      </c>
      <c r="C35" s="10" t="s">
        <v>27</v>
      </c>
      <c r="D35" s="11" t="s">
        <v>8</v>
      </c>
    </row>
    <row r="36" spans="1:4" x14ac:dyDescent="0.25">
      <c r="A36" s="8" t="s">
        <v>42</v>
      </c>
      <c r="B36" s="12" t="s">
        <v>26</v>
      </c>
      <c r="C36" s="10" t="s">
        <v>27</v>
      </c>
      <c r="D36" s="11" t="s">
        <v>8</v>
      </c>
    </row>
    <row r="37" spans="1:4" x14ac:dyDescent="0.25">
      <c r="A37" s="8" t="s">
        <v>43</v>
      </c>
      <c r="B37" s="12" t="s">
        <v>26</v>
      </c>
      <c r="C37" s="10" t="s">
        <v>27</v>
      </c>
      <c r="D37" s="11" t="s">
        <v>8</v>
      </c>
    </row>
    <row r="38" spans="1:4" x14ac:dyDescent="0.25">
      <c r="A38" s="8" t="s">
        <v>44</v>
      </c>
      <c r="B38" s="12" t="s">
        <v>26</v>
      </c>
      <c r="C38" s="10" t="s">
        <v>27</v>
      </c>
      <c r="D38" s="11" t="s">
        <v>8</v>
      </c>
    </row>
    <row r="39" spans="1:4" x14ac:dyDescent="0.25">
      <c r="A39" s="8" t="s">
        <v>45</v>
      </c>
      <c r="B39" s="12" t="s">
        <v>26</v>
      </c>
      <c r="C39" s="10" t="s">
        <v>27</v>
      </c>
      <c r="D39" s="11" t="s">
        <v>8</v>
      </c>
    </row>
    <row r="40" spans="1:4" x14ac:dyDescent="0.25">
      <c r="A40" s="8" t="s">
        <v>46</v>
      </c>
      <c r="B40" s="12" t="s">
        <v>26</v>
      </c>
      <c r="C40" s="10" t="s">
        <v>27</v>
      </c>
      <c r="D40" s="11" t="s">
        <v>8</v>
      </c>
    </row>
    <row r="41" spans="1:4" x14ac:dyDescent="0.25">
      <c r="A41" s="8" t="s">
        <v>47</v>
      </c>
      <c r="B41" s="12" t="s">
        <v>26</v>
      </c>
      <c r="C41" s="10" t="s">
        <v>27</v>
      </c>
      <c r="D41" s="11" t="s">
        <v>8</v>
      </c>
    </row>
    <row r="42" spans="1:4" x14ac:dyDescent="0.25">
      <c r="A42" s="8" t="s">
        <v>48</v>
      </c>
      <c r="B42" s="12" t="s">
        <v>26</v>
      </c>
      <c r="C42" s="10" t="s">
        <v>27</v>
      </c>
      <c r="D42" s="11" t="s">
        <v>8</v>
      </c>
    </row>
    <row r="43" spans="1:4" x14ac:dyDescent="0.25">
      <c r="A43" s="8" t="s">
        <v>49</v>
      </c>
      <c r="B43" s="12" t="s">
        <v>26</v>
      </c>
      <c r="C43" s="10" t="s">
        <v>27</v>
      </c>
      <c r="D43" s="11" t="s">
        <v>8</v>
      </c>
    </row>
    <row r="44" spans="1:4" x14ac:dyDescent="0.25">
      <c r="A44" s="8" t="s">
        <v>50</v>
      </c>
      <c r="B44" s="12" t="s">
        <v>26</v>
      </c>
      <c r="C44" s="10" t="s">
        <v>27</v>
      </c>
      <c r="D44" s="11" t="s">
        <v>8</v>
      </c>
    </row>
    <row r="45" spans="1:4" x14ac:dyDescent="0.25">
      <c r="A45" s="8" t="s">
        <v>51</v>
      </c>
      <c r="B45" s="12" t="s">
        <v>26</v>
      </c>
      <c r="C45" s="10" t="s">
        <v>27</v>
      </c>
      <c r="D45" s="11" t="s">
        <v>8</v>
      </c>
    </row>
    <row r="46" spans="1:4" x14ac:dyDescent="0.25">
      <c r="A46" s="8" t="s">
        <v>52</v>
      </c>
      <c r="B46" s="12" t="s">
        <v>26</v>
      </c>
      <c r="C46" s="10" t="s">
        <v>27</v>
      </c>
      <c r="D46" s="11" t="s">
        <v>8</v>
      </c>
    </row>
    <row r="47" spans="1:4" x14ac:dyDescent="0.25">
      <c r="A47" s="8" t="s">
        <v>53</v>
      </c>
      <c r="B47" s="12" t="s">
        <v>26</v>
      </c>
      <c r="C47" s="10" t="s">
        <v>27</v>
      </c>
      <c r="D47" s="11" t="s">
        <v>8</v>
      </c>
    </row>
    <row r="48" spans="1:4" x14ac:dyDescent="0.25">
      <c r="A48" s="8" t="s">
        <v>54</v>
      </c>
      <c r="B48" s="12" t="s">
        <v>26</v>
      </c>
      <c r="C48" s="10" t="s">
        <v>27</v>
      </c>
      <c r="D48" s="11" t="s">
        <v>8</v>
      </c>
    </row>
    <row r="49" spans="1:4" x14ac:dyDescent="0.25">
      <c r="A49" s="8" t="s">
        <v>55</v>
      </c>
      <c r="B49" s="12" t="s">
        <v>26</v>
      </c>
      <c r="C49" s="10" t="s">
        <v>27</v>
      </c>
      <c r="D49" s="11" t="s">
        <v>8</v>
      </c>
    </row>
    <row r="50" spans="1:4" x14ac:dyDescent="0.25">
      <c r="A50" s="8" t="s">
        <v>56</v>
      </c>
      <c r="B50" s="12" t="s">
        <v>26</v>
      </c>
      <c r="C50" s="10" t="s">
        <v>27</v>
      </c>
      <c r="D50" s="11" t="s">
        <v>8</v>
      </c>
    </row>
    <row r="51" spans="1:4" x14ac:dyDescent="0.25">
      <c r="A51" s="8" t="s">
        <v>57</v>
      </c>
      <c r="B51" s="12" t="s">
        <v>26</v>
      </c>
      <c r="C51" s="10" t="s">
        <v>27</v>
      </c>
      <c r="D51" s="11" t="s">
        <v>8</v>
      </c>
    </row>
    <row r="52" spans="1:4" x14ac:dyDescent="0.25">
      <c r="A52" s="8" t="s">
        <v>58</v>
      </c>
      <c r="B52" s="12" t="s">
        <v>26</v>
      </c>
      <c r="C52" s="10" t="s">
        <v>27</v>
      </c>
      <c r="D52" s="11" t="s">
        <v>8</v>
      </c>
    </row>
    <row r="53" spans="1:4" x14ac:dyDescent="0.25">
      <c r="A53" s="8" t="s">
        <v>59</v>
      </c>
      <c r="B53" s="12" t="s">
        <v>26</v>
      </c>
      <c r="C53" s="10" t="s">
        <v>27</v>
      </c>
      <c r="D53" s="11" t="s">
        <v>8</v>
      </c>
    </row>
    <row r="54" spans="1:4" x14ac:dyDescent="0.25">
      <c r="A54" s="8" t="s">
        <v>60</v>
      </c>
      <c r="B54" s="12" t="s">
        <v>26</v>
      </c>
      <c r="C54" s="10" t="s">
        <v>27</v>
      </c>
      <c r="D54" s="11" t="s">
        <v>8</v>
      </c>
    </row>
    <row r="55" spans="1:4" x14ac:dyDescent="0.25">
      <c r="A55" s="8" t="s">
        <v>61</v>
      </c>
      <c r="B55" s="13" t="s">
        <v>62</v>
      </c>
      <c r="C55" s="10" t="s">
        <v>63</v>
      </c>
      <c r="D55" s="11" t="s">
        <v>8</v>
      </c>
    </row>
    <row r="56" spans="1:4" x14ac:dyDescent="0.25">
      <c r="A56" s="8" t="s">
        <v>64</v>
      </c>
      <c r="B56" s="13" t="s">
        <v>62</v>
      </c>
      <c r="C56" s="10" t="s">
        <v>63</v>
      </c>
      <c r="D56" s="11" t="s">
        <v>8</v>
      </c>
    </row>
    <row r="57" spans="1:4" x14ac:dyDescent="0.25">
      <c r="A57" s="8" t="s">
        <v>65</v>
      </c>
      <c r="B57" s="13" t="s">
        <v>62</v>
      </c>
      <c r="C57" s="10" t="s">
        <v>63</v>
      </c>
      <c r="D57" s="11" t="s">
        <v>8</v>
      </c>
    </row>
    <row r="58" spans="1:4" x14ac:dyDescent="0.25">
      <c r="A58" s="8" t="s">
        <v>66</v>
      </c>
      <c r="B58" s="13" t="s">
        <v>62</v>
      </c>
      <c r="C58" s="10" t="s">
        <v>63</v>
      </c>
      <c r="D58" s="11" t="s">
        <v>8</v>
      </c>
    </row>
    <row r="59" spans="1:4" x14ac:dyDescent="0.25">
      <c r="A59" s="8" t="s">
        <v>67</v>
      </c>
      <c r="B59" s="13" t="s">
        <v>62</v>
      </c>
      <c r="C59" s="10" t="s">
        <v>63</v>
      </c>
      <c r="D59" s="11" t="s">
        <v>8</v>
      </c>
    </row>
    <row r="60" spans="1:4" x14ac:dyDescent="0.25">
      <c r="A60" s="8" t="s">
        <v>68</v>
      </c>
      <c r="B60" s="13" t="s">
        <v>62</v>
      </c>
      <c r="C60" s="10" t="s">
        <v>63</v>
      </c>
      <c r="D60" s="11" t="s">
        <v>8</v>
      </c>
    </row>
    <row r="61" spans="1:4" x14ac:dyDescent="0.25">
      <c r="A61" s="8" t="s">
        <v>69</v>
      </c>
      <c r="B61" s="13" t="s">
        <v>62</v>
      </c>
      <c r="C61" s="10" t="s">
        <v>63</v>
      </c>
      <c r="D61" s="11" t="s">
        <v>8</v>
      </c>
    </row>
    <row r="62" spans="1:4" x14ac:dyDescent="0.25">
      <c r="A62" s="8" t="s">
        <v>70</v>
      </c>
      <c r="B62" s="13" t="s">
        <v>62</v>
      </c>
      <c r="C62" s="10" t="s">
        <v>63</v>
      </c>
      <c r="D62" s="11" t="s">
        <v>8</v>
      </c>
    </row>
    <row r="63" spans="1:4" x14ac:dyDescent="0.25">
      <c r="A63" s="8" t="s">
        <v>71</v>
      </c>
      <c r="B63" s="13" t="s">
        <v>62</v>
      </c>
      <c r="C63" s="10" t="s">
        <v>63</v>
      </c>
      <c r="D63" s="11" t="s">
        <v>8</v>
      </c>
    </row>
    <row r="64" spans="1:4" x14ac:dyDescent="0.25">
      <c r="A64" s="8" t="s">
        <v>72</v>
      </c>
      <c r="B64" s="13" t="s">
        <v>62</v>
      </c>
      <c r="C64" s="10" t="s">
        <v>63</v>
      </c>
      <c r="D64" s="11" t="s">
        <v>8</v>
      </c>
    </row>
    <row r="65" spans="1:4" x14ac:dyDescent="0.25">
      <c r="A65" s="8" t="s">
        <v>73</v>
      </c>
      <c r="B65" s="13" t="s">
        <v>62</v>
      </c>
      <c r="C65" s="10" t="s">
        <v>63</v>
      </c>
      <c r="D65" s="11" t="s">
        <v>8</v>
      </c>
    </row>
    <row r="66" spans="1:4" x14ac:dyDescent="0.25">
      <c r="A66" s="8" t="s">
        <v>74</v>
      </c>
      <c r="B66" s="13" t="s">
        <v>62</v>
      </c>
      <c r="C66" s="10" t="s">
        <v>63</v>
      </c>
      <c r="D66" s="11" t="s">
        <v>8</v>
      </c>
    </row>
    <row r="67" spans="1:4" x14ac:dyDescent="0.25">
      <c r="A67" s="8" t="s">
        <v>75</v>
      </c>
      <c r="B67" s="13" t="s">
        <v>62</v>
      </c>
      <c r="C67" s="10" t="s">
        <v>63</v>
      </c>
      <c r="D67" s="11" t="s">
        <v>8</v>
      </c>
    </row>
    <row r="68" spans="1:4" x14ac:dyDescent="0.25">
      <c r="A68" s="8" t="s">
        <v>76</v>
      </c>
      <c r="B68" s="13" t="s">
        <v>62</v>
      </c>
      <c r="C68" s="10" t="s">
        <v>63</v>
      </c>
      <c r="D68" s="11" t="s">
        <v>8</v>
      </c>
    </row>
    <row r="69" spans="1:4" x14ac:dyDescent="0.25">
      <c r="A69" s="8" t="s">
        <v>77</v>
      </c>
      <c r="B69" s="13" t="s">
        <v>62</v>
      </c>
      <c r="C69" s="10" t="s">
        <v>63</v>
      </c>
      <c r="D69" s="11" t="s">
        <v>8</v>
      </c>
    </row>
    <row r="70" spans="1:4" x14ac:dyDescent="0.25">
      <c r="A70" s="8" t="s">
        <v>78</v>
      </c>
      <c r="B70" s="13" t="s">
        <v>62</v>
      </c>
      <c r="C70" s="10" t="s">
        <v>63</v>
      </c>
      <c r="D70" s="11" t="s">
        <v>8</v>
      </c>
    </row>
    <row r="71" spans="1:4" x14ac:dyDescent="0.25">
      <c r="A71" s="8" t="s">
        <v>79</v>
      </c>
      <c r="B71" s="13" t="s">
        <v>62</v>
      </c>
      <c r="C71" s="10" t="s">
        <v>63</v>
      </c>
      <c r="D71" s="11" t="s">
        <v>8</v>
      </c>
    </row>
    <row r="72" spans="1:4" x14ac:dyDescent="0.25">
      <c r="A72" s="8" t="s">
        <v>80</v>
      </c>
      <c r="B72" s="13" t="s">
        <v>62</v>
      </c>
      <c r="C72" s="10" t="s">
        <v>63</v>
      </c>
      <c r="D72" s="11" t="s">
        <v>8</v>
      </c>
    </row>
    <row r="73" spans="1:4" x14ac:dyDescent="0.25">
      <c r="A73" s="8" t="s">
        <v>81</v>
      </c>
      <c r="B73" s="13" t="s">
        <v>62</v>
      </c>
      <c r="C73" s="10" t="s">
        <v>63</v>
      </c>
      <c r="D73" s="11" t="s">
        <v>8</v>
      </c>
    </row>
    <row r="74" spans="1:4" x14ac:dyDescent="0.25">
      <c r="A74" s="8" t="s">
        <v>82</v>
      </c>
      <c r="B74" s="13" t="s">
        <v>62</v>
      </c>
      <c r="C74" s="10" t="s">
        <v>63</v>
      </c>
      <c r="D74" s="11" t="s">
        <v>8</v>
      </c>
    </row>
    <row r="75" spans="1:4" x14ac:dyDescent="0.25">
      <c r="A75" s="8" t="s">
        <v>83</v>
      </c>
      <c r="B75" s="13" t="s">
        <v>62</v>
      </c>
      <c r="C75" s="10" t="s">
        <v>63</v>
      </c>
      <c r="D75" s="11" t="s">
        <v>8</v>
      </c>
    </row>
    <row r="76" spans="1:4" x14ac:dyDescent="0.25">
      <c r="A76" s="8" t="s">
        <v>84</v>
      </c>
      <c r="B76" s="13" t="s">
        <v>62</v>
      </c>
      <c r="C76" s="10" t="s">
        <v>63</v>
      </c>
      <c r="D76" s="11" t="s">
        <v>8</v>
      </c>
    </row>
    <row r="77" spans="1:4" x14ac:dyDescent="0.25">
      <c r="A77" s="8" t="s">
        <v>85</v>
      </c>
      <c r="B77" s="13" t="s">
        <v>62</v>
      </c>
      <c r="C77" s="10" t="s">
        <v>63</v>
      </c>
      <c r="D77" s="11" t="s">
        <v>8</v>
      </c>
    </row>
    <row r="78" spans="1:4" x14ac:dyDescent="0.25">
      <c r="A78" s="8" t="s">
        <v>86</v>
      </c>
      <c r="B78" s="13" t="s">
        <v>62</v>
      </c>
      <c r="C78" s="10" t="s">
        <v>63</v>
      </c>
      <c r="D78" s="11" t="s">
        <v>8</v>
      </c>
    </row>
    <row r="79" spans="1:4" x14ac:dyDescent="0.25">
      <c r="A79" s="8" t="s">
        <v>87</v>
      </c>
      <c r="B79" s="13" t="s">
        <v>62</v>
      </c>
      <c r="C79" s="10" t="s">
        <v>63</v>
      </c>
      <c r="D79" s="11" t="s">
        <v>8</v>
      </c>
    </row>
    <row r="80" spans="1:4" x14ac:dyDescent="0.25">
      <c r="A80" s="8" t="s">
        <v>88</v>
      </c>
      <c r="B80" s="13" t="s">
        <v>62</v>
      </c>
      <c r="C80" s="10" t="s">
        <v>63</v>
      </c>
      <c r="D80" s="11" t="s">
        <v>8</v>
      </c>
    </row>
    <row r="81" spans="1:4" x14ac:dyDescent="0.25">
      <c r="A81" s="8" t="s">
        <v>89</v>
      </c>
      <c r="B81" s="13" t="s">
        <v>62</v>
      </c>
      <c r="C81" s="10" t="s">
        <v>63</v>
      </c>
      <c r="D81" s="11" t="s">
        <v>8</v>
      </c>
    </row>
    <row r="82" spans="1:4" x14ac:dyDescent="0.25">
      <c r="A82" s="8" t="s">
        <v>90</v>
      </c>
      <c r="B82" s="13" t="s">
        <v>62</v>
      </c>
      <c r="C82" s="10" t="s">
        <v>63</v>
      </c>
      <c r="D82" s="11" t="s">
        <v>8</v>
      </c>
    </row>
    <row r="83" spans="1:4" x14ac:dyDescent="0.25">
      <c r="A83" s="8" t="s">
        <v>91</v>
      </c>
      <c r="B83" s="13" t="s">
        <v>62</v>
      </c>
      <c r="C83" s="10" t="s">
        <v>63</v>
      </c>
      <c r="D83" s="11" t="s">
        <v>8</v>
      </c>
    </row>
    <row r="84" spans="1:4" x14ac:dyDescent="0.25">
      <c r="A84" s="8" t="s">
        <v>92</v>
      </c>
      <c r="B84" s="13" t="s">
        <v>62</v>
      </c>
      <c r="C84" s="10" t="s">
        <v>63</v>
      </c>
      <c r="D84" s="11" t="s">
        <v>8</v>
      </c>
    </row>
    <row r="85" spans="1:4" x14ac:dyDescent="0.25">
      <c r="A85" s="8" t="s">
        <v>93</v>
      </c>
      <c r="B85" s="13" t="s">
        <v>62</v>
      </c>
      <c r="C85" s="10" t="s">
        <v>63</v>
      </c>
      <c r="D85" s="11" t="s">
        <v>8</v>
      </c>
    </row>
    <row r="86" spans="1:4" x14ac:dyDescent="0.25">
      <c r="A86" s="8" t="s">
        <v>94</v>
      </c>
      <c r="B86" s="13" t="s">
        <v>62</v>
      </c>
      <c r="C86" s="10" t="s">
        <v>63</v>
      </c>
      <c r="D86" s="11" t="s">
        <v>8</v>
      </c>
    </row>
    <row r="87" spans="1:4" x14ac:dyDescent="0.25">
      <c r="A87" s="8" t="s">
        <v>95</v>
      </c>
      <c r="B87" s="13" t="s">
        <v>62</v>
      </c>
      <c r="C87" s="10" t="s">
        <v>63</v>
      </c>
      <c r="D87" s="11" t="s">
        <v>8</v>
      </c>
    </row>
    <row r="88" spans="1:4" x14ac:dyDescent="0.25">
      <c r="A88" s="8" t="s">
        <v>96</v>
      </c>
      <c r="B88" s="13" t="s">
        <v>62</v>
      </c>
      <c r="C88" s="10" t="s">
        <v>63</v>
      </c>
      <c r="D88" s="11" t="s">
        <v>8</v>
      </c>
    </row>
    <row r="89" spans="1:4" x14ac:dyDescent="0.25">
      <c r="A89" s="8" t="s">
        <v>97</v>
      </c>
      <c r="B89" s="13" t="s">
        <v>62</v>
      </c>
      <c r="C89" s="10" t="s">
        <v>63</v>
      </c>
      <c r="D89" s="11" t="s">
        <v>8</v>
      </c>
    </row>
    <row r="90" spans="1:4" x14ac:dyDescent="0.25">
      <c r="A90" s="8" t="s">
        <v>98</v>
      </c>
      <c r="B90" s="13" t="s">
        <v>62</v>
      </c>
      <c r="C90" s="10" t="s">
        <v>63</v>
      </c>
      <c r="D90" s="11" t="s">
        <v>8</v>
      </c>
    </row>
    <row r="91" spans="1:4" x14ac:dyDescent="0.25">
      <c r="A91" s="8" t="s">
        <v>99</v>
      </c>
      <c r="B91" s="13" t="s">
        <v>62</v>
      </c>
      <c r="C91" s="10" t="s">
        <v>63</v>
      </c>
      <c r="D91" s="11" t="s">
        <v>8</v>
      </c>
    </row>
    <row r="92" spans="1:4" x14ac:dyDescent="0.25">
      <c r="A92" s="8" t="s">
        <v>100</v>
      </c>
      <c r="B92" s="13" t="s">
        <v>62</v>
      </c>
      <c r="C92" s="10" t="s">
        <v>63</v>
      </c>
      <c r="D92" s="11" t="s">
        <v>8</v>
      </c>
    </row>
    <row r="93" spans="1:4" x14ac:dyDescent="0.25">
      <c r="A93" s="8" t="s">
        <v>101</v>
      </c>
      <c r="B93" s="13" t="s">
        <v>62</v>
      </c>
      <c r="C93" s="10" t="s">
        <v>63</v>
      </c>
      <c r="D93" s="11" t="s">
        <v>8</v>
      </c>
    </row>
    <row r="94" spans="1:4" x14ac:dyDescent="0.25">
      <c r="A94" s="8" t="s">
        <v>102</v>
      </c>
      <c r="B94" s="13" t="s">
        <v>62</v>
      </c>
      <c r="C94" s="10" t="s">
        <v>63</v>
      </c>
      <c r="D94" s="11" t="s">
        <v>8</v>
      </c>
    </row>
    <row r="95" spans="1:4" x14ac:dyDescent="0.25">
      <c r="A95" s="8" t="s">
        <v>103</v>
      </c>
      <c r="B95" s="13" t="s">
        <v>62</v>
      </c>
      <c r="C95" s="10" t="s">
        <v>63</v>
      </c>
      <c r="D95" s="11" t="s">
        <v>8</v>
      </c>
    </row>
    <row r="96" spans="1:4" x14ac:dyDescent="0.25">
      <c r="A96" s="8" t="s">
        <v>104</v>
      </c>
      <c r="B96" s="13" t="s">
        <v>62</v>
      </c>
      <c r="C96" s="10" t="s">
        <v>63</v>
      </c>
      <c r="D96" s="11" t="s">
        <v>8</v>
      </c>
    </row>
    <row r="97" spans="1:4" x14ac:dyDescent="0.25">
      <c r="A97" s="8" t="s">
        <v>105</v>
      </c>
      <c r="B97" s="13" t="s">
        <v>62</v>
      </c>
      <c r="C97" s="10" t="s">
        <v>63</v>
      </c>
      <c r="D97" s="11" t="s">
        <v>8</v>
      </c>
    </row>
    <row r="98" spans="1:4" x14ac:dyDescent="0.25">
      <c r="A98" s="8" t="s">
        <v>106</v>
      </c>
      <c r="B98" s="13" t="s">
        <v>62</v>
      </c>
      <c r="C98" s="10" t="s">
        <v>63</v>
      </c>
      <c r="D98" s="11" t="s">
        <v>8</v>
      </c>
    </row>
    <row r="99" spans="1:4" x14ac:dyDescent="0.25">
      <c r="A99" s="8" t="s">
        <v>107</v>
      </c>
      <c r="B99" s="13" t="s">
        <v>62</v>
      </c>
      <c r="C99" s="10" t="s">
        <v>63</v>
      </c>
      <c r="D99" s="11" t="s">
        <v>8</v>
      </c>
    </row>
    <row r="100" spans="1:4" x14ac:dyDescent="0.25">
      <c r="A100" s="8" t="s">
        <v>108</v>
      </c>
      <c r="B100" s="13" t="s">
        <v>62</v>
      </c>
      <c r="C100" s="10" t="s">
        <v>63</v>
      </c>
      <c r="D100" s="11" t="s">
        <v>8</v>
      </c>
    </row>
    <row r="101" spans="1:4" x14ac:dyDescent="0.25">
      <c r="A101" s="8" t="s">
        <v>109</v>
      </c>
      <c r="B101" s="13" t="s">
        <v>62</v>
      </c>
      <c r="C101" s="10" t="s">
        <v>63</v>
      </c>
      <c r="D101" s="11" t="s">
        <v>8</v>
      </c>
    </row>
    <row r="102" spans="1:4" x14ac:dyDescent="0.25">
      <c r="A102" s="8" t="s">
        <v>110</v>
      </c>
      <c r="B102" s="13" t="s">
        <v>62</v>
      </c>
      <c r="C102" s="10" t="s">
        <v>63</v>
      </c>
      <c r="D102" s="11" t="s">
        <v>8</v>
      </c>
    </row>
    <row r="103" spans="1:4" x14ac:dyDescent="0.25">
      <c r="A103" s="8" t="s">
        <v>111</v>
      </c>
      <c r="B103" s="13" t="s">
        <v>62</v>
      </c>
      <c r="C103" s="10" t="s">
        <v>63</v>
      </c>
      <c r="D103" s="11" t="s">
        <v>8</v>
      </c>
    </row>
    <row r="104" spans="1:4" x14ac:dyDescent="0.25">
      <c r="A104" s="8" t="s">
        <v>112</v>
      </c>
      <c r="B104" s="13" t="s">
        <v>62</v>
      </c>
      <c r="C104" s="10" t="s">
        <v>63</v>
      </c>
      <c r="D104" s="11" t="s">
        <v>8</v>
      </c>
    </row>
    <row r="105" spans="1:4" x14ac:dyDescent="0.25">
      <c r="A105" s="8" t="s">
        <v>113</v>
      </c>
      <c r="B105" s="13" t="s">
        <v>62</v>
      </c>
      <c r="C105" s="10" t="s">
        <v>63</v>
      </c>
      <c r="D105" s="11" t="s">
        <v>8</v>
      </c>
    </row>
    <row r="106" spans="1:4" x14ac:dyDescent="0.25">
      <c r="A106" s="8" t="s">
        <v>114</v>
      </c>
      <c r="B106" s="13" t="s">
        <v>62</v>
      </c>
      <c r="C106" s="10" t="s">
        <v>63</v>
      </c>
      <c r="D106" s="11" t="s">
        <v>8</v>
      </c>
    </row>
    <row r="107" spans="1:4" x14ac:dyDescent="0.25">
      <c r="A107" s="8" t="s">
        <v>115</v>
      </c>
      <c r="B107" s="13" t="s">
        <v>62</v>
      </c>
      <c r="C107" s="10" t="s">
        <v>63</v>
      </c>
      <c r="D107" s="11" t="s">
        <v>8</v>
      </c>
    </row>
    <row r="108" spans="1:4" x14ac:dyDescent="0.25">
      <c r="A108" s="8" t="s">
        <v>116</v>
      </c>
      <c r="B108" s="13" t="s">
        <v>62</v>
      </c>
      <c r="C108" s="10" t="s">
        <v>63</v>
      </c>
      <c r="D108" s="11" t="s">
        <v>8</v>
      </c>
    </row>
    <row r="109" spans="1:4" x14ac:dyDescent="0.25">
      <c r="A109" s="8" t="s">
        <v>117</v>
      </c>
      <c r="B109" s="13" t="s">
        <v>62</v>
      </c>
      <c r="C109" s="10" t="s">
        <v>63</v>
      </c>
      <c r="D109" s="11" t="s">
        <v>8</v>
      </c>
    </row>
    <row r="110" spans="1:4" x14ac:dyDescent="0.25">
      <c r="A110" s="8" t="s">
        <v>118</v>
      </c>
      <c r="B110" s="13" t="s">
        <v>62</v>
      </c>
      <c r="C110" s="10" t="s">
        <v>63</v>
      </c>
      <c r="D110" s="11" t="s">
        <v>8</v>
      </c>
    </row>
    <row r="111" spans="1:4" x14ac:dyDescent="0.25">
      <c r="A111" s="8" t="s">
        <v>119</v>
      </c>
      <c r="B111" s="13" t="s">
        <v>62</v>
      </c>
      <c r="C111" s="10" t="s">
        <v>63</v>
      </c>
      <c r="D111" s="11" t="s">
        <v>8</v>
      </c>
    </row>
    <row r="112" spans="1:4" x14ac:dyDescent="0.25">
      <c r="A112" s="8" t="s">
        <v>120</v>
      </c>
      <c r="B112" s="13" t="s">
        <v>62</v>
      </c>
      <c r="C112" s="10" t="s">
        <v>63</v>
      </c>
      <c r="D112" s="11" t="s">
        <v>8</v>
      </c>
    </row>
    <row r="113" spans="1:4" x14ac:dyDescent="0.25">
      <c r="A113" s="8" t="s">
        <v>121</v>
      </c>
      <c r="B113" s="13" t="s">
        <v>62</v>
      </c>
      <c r="C113" s="10" t="s">
        <v>63</v>
      </c>
      <c r="D113" s="11" t="s">
        <v>8</v>
      </c>
    </row>
    <row r="114" spans="1:4" x14ac:dyDescent="0.25">
      <c r="A114" s="8" t="s">
        <v>122</v>
      </c>
      <c r="B114" s="13" t="s">
        <v>62</v>
      </c>
      <c r="C114" s="10" t="s">
        <v>63</v>
      </c>
      <c r="D114" s="11" t="s">
        <v>8</v>
      </c>
    </row>
    <row r="115" spans="1:4" x14ac:dyDescent="0.25">
      <c r="A115" s="8" t="s">
        <v>123</v>
      </c>
      <c r="B115" s="13" t="s">
        <v>62</v>
      </c>
      <c r="C115" s="10" t="s">
        <v>63</v>
      </c>
      <c r="D115" s="11" t="s">
        <v>8</v>
      </c>
    </row>
    <row r="116" spans="1:4" x14ac:dyDescent="0.25">
      <c r="A116" s="8" t="s">
        <v>124</v>
      </c>
      <c r="B116" s="13" t="s">
        <v>62</v>
      </c>
      <c r="C116" s="10" t="s">
        <v>63</v>
      </c>
      <c r="D116" s="11" t="s">
        <v>8</v>
      </c>
    </row>
    <row r="117" spans="1:4" x14ac:dyDescent="0.25">
      <c r="A117" s="8" t="s">
        <v>125</v>
      </c>
      <c r="B117" s="13" t="s">
        <v>62</v>
      </c>
      <c r="C117" s="10" t="s">
        <v>63</v>
      </c>
      <c r="D117" s="11" t="s">
        <v>8</v>
      </c>
    </row>
    <row r="118" spans="1:4" x14ac:dyDescent="0.25">
      <c r="A118" s="8" t="s">
        <v>126</v>
      </c>
      <c r="B118" s="13" t="s">
        <v>62</v>
      </c>
      <c r="C118" s="10" t="s">
        <v>63</v>
      </c>
      <c r="D118" s="11" t="s">
        <v>8</v>
      </c>
    </row>
    <row r="119" spans="1:4" x14ac:dyDescent="0.25">
      <c r="A119" s="8" t="s">
        <v>127</v>
      </c>
      <c r="B119" s="13" t="s">
        <v>62</v>
      </c>
      <c r="C119" s="10" t="s">
        <v>63</v>
      </c>
      <c r="D119" s="11" t="s">
        <v>8</v>
      </c>
    </row>
    <row r="120" spans="1:4" x14ac:dyDescent="0.25">
      <c r="A120" s="8" t="s">
        <v>128</v>
      </c>
      <c r="B120" s="13" t="s">
        <v>62</v>
      </c>
      <c r="C120" s="10" t="s">
        <v>63</v>
      </c>
      <c r="D120" s="11" t="s">
        <v>8</v>
      </c>
    </row>
    <row r="121" spans="1:4" x14ac:dyDescent="0.25">
      <c r="A121" s="8" t="s">
        <v>129</v>
      </c>
      <c r="B121" s="13" t="s">
        <v>62</v>
      </c>
      <c r="C121" s="10" t="s">
        <v>63</v>
      </c>
      <c r="D121" s="11" t="s">
        <v>8</v>
      </c>
    </row>
    <row r="122" spans="1:4" x14ac:dyDescent="0.25">
      <c r="A122" s="8" t="s">
        <v>130</v>
      </c>
      <c r="B122" s="13" t="s">
        <v>62</v>
      </c>
      <c r="C122" s="10" t="s">
        <v>63</v>
      </c>
      <c r="D122" s="11" t="s">
        <v>8</v>
      </c>
    </row>
    <row r="123" spans="1:4" x14ac:dyDescent="0.25">
      <c r="A123" s="8" t="s">
        <v>131</v>
      </c>
      <c r="B123" s="13" t="s">
        <v>62</v>
      </c>
      <c r="C123" s="10" t="s">
        <v>63</v>
      </c>
      <c r="D123" s="11" t="s">
        <v>8</v>
      </c>
    </row>
    <row r="124" spans="1:4" x14ac:dyDescent="0.25">
      <c r="A124" s="8" t="s">
        <v>132</v>
      </c>
      <c r="B124" s="13" t="s">
        <v>62</v>
      </c>
      <c r="C124" s="10" t="s">
        <v>63</v>
      </c>
      <c r="D124" s="11" t="s">
        <v>8</v>
      </c>
    </row>
    <row r="125" spans="1:4" x14ac:dyDescent="0.25">
      <c r="A125" s="8" t="s">
        <v>133</v>
      </c>
      <c r="B125" s="13" t="s">
        <v>62</v>
      </c>
      <c r="C125" s="10" t="s">
        <v>63</v>
      </c>
      <c r="D125" s="11" t="s">
        <v>8</v>
      </c>
    </row>
    <row r="126" spans="1:4" x14ac:dyDescent="0.25">
      <c r="A126" s="8" t="s">
        <v>134</v>
      </c>
      <c r="B126" s="13" t="s">
        <v>62</v>
      </c>
      <c r="C126" s="10" t="s">
        <v>63</v>
      </c>
      <c r="D126" s="11" t="s">
        <v>8</v>
      </c>
    </row>
    <row r="127" spans="1:4" x14ac:dyDescent="0.25">
      <c r="A127" s="8" t="s">
        <v>135</v>
      </c>
      <c r="B127" s="13" t="s">
        <v>62</v>
      </c>
      <c r="C127" s="10" t="s">
        <v>63</v>
      </c>
      <c r="D127" s="11" t="s">
        <v>8</v>
      </c>
    </row>
    <row r="128" spans="1:4" x14ac:dyDescent="0.25">
      <c r="A128" s="8" t="s">
        <v>136</v>
      </c>
      <c r="B128" s="13" t="s">
        <v>62</v>
      </c>
      <c r="C128" s="10" t="s">
        <v>63</v>
      </c>
      <c r="D128" s="11" t="s">
        <v>8</v>
      </c>
    </row>
    <row r="129" spans="1:4" x14ac:dyDescent="0.25">
      <c r="A129" s="8" t="s">
        <v>137</v>
      </c>
      <c r="B129" s="13" t="s">
        <v>62</v>
      </c>
      <c r="C129" s="10" t="s">
        <v>63</v>
      </c>
      <c r="D129" s="11" t="s">
        <v>8</v>
      </c>
    </row>
    <row r="130" spans="1:4" x14ac:dyDescent="0.25">
      <c r="A130" s="8" t="s">
        <v>138</v>
      </c>
      <c r="B130" s="13" t="s">
        <v>62</v>
      </c>
      <c r="C130" s="10" t="s">
        <v>63</v>
      </c>
      <c r="D130" s="11" t="s">
        <v>8</v>
      </c>
    </row>
    <row r="131" spans="1:4" x14ac:dyDescent="0.25">
      <c r="A131" s="8" t="s">
        <v>139</v>
      </c>
      <c r="B131" s="13" t="s">
        <v>62</v>
      </c>
      <c r="C131" s="10" t="s">
        <v>63</v>
      </c>
      <c r="D131" s="11" t="s">
        <v>8</v>
      </c>
    </row>
    <row r="132" spans="1:4" x14ac:dyDescent="0.25">
      <c r="A132" s="8" t="s">
        <v>140</v>
      </c>
      <c r="B132" s="13" t="s">
        <v>62</v>
      </c>
      <c r="C132" s="10" t="s">
        <v>63</v>
      </c>
      <c r="D132" s="11" t="s">
        <v>8</v>
      </c>
    </row>
    <row r="133" spans="1:4" x14ac:dyDescent="0.25">
      <c r="A133" s="8" t="s">
        <v>141</v>
      </c>
      <c r="B133" s="13" t="s">
        <v>62</v>
      </c>
      <c r="C133" s="10" t="s">
        <v>63</v>
      </c>
      <c r="D133" s="11" t="s">
        <v>8</v>
      </c>
    </row>
    <row r="134" spans="1:4" x14ac:dyDescent="0.25">
      <c r="A134" s="8" t="s">
        <v>142</v>
      </c>
      <c r="B134" s="13" t="s">
        <v>62</v>
      </c>
      <c r="C134" s="10" t="s">
        <v>63</v>
      </c>
      <c r="D134" s="11" t="s">
        <v>8</v>
      </c>
    </row>
    <row r="135" spans="1:4" x14ac:dyDescent="0.25">
      <c r="A135" s="8" t="s">
        <v>143</v>
      </c>
      <c r="B135" s="13" t="s">
        <v>62</v>
      </c>
      <c r="C135" s="10" t="s">
        <v>63</v>
      </c>
      <c r="D135" s="11" t="s">
        <v>8</v>
      </c>
    </row>
    <row r="136" spans="1:4" x14ac:dyDescent="0.25">
      <c r="A136" s="8" t="s">
        <v>144</v>
      </c>
      <c r="B136" s="13" t="s">
        <v>62</v>
      </c>
      <c r="C136" s="10" t="s">
        <v>63</v>
      </c>
      <c r="D136" s="11" t="s">
        <v>8</v>
      </c>
    </row>
    <row r="137" spans="1:4" x14ac:dyDescent="0.25">
      <c r="A137" s="8" t="s">
        <v>145</v>
      </c>
      <c r="B137" s="13" t="s">
        <v>62</v>
      </c>
      <c r="C137" s="10" t="s">
        <v>63</v>
      </c>
      <c r="D137" s="11" t="s">
        <v>8</v>
      </c>
    </row>
    <row r="138" spans="1:4" x14ac:dyDescent="0.25">
      <c r="A138" s="8" t="s">
        <v>146</v>
      </c>
      <c r="B138" s="13" t="s">
        <v>62</v>
      </c>
      <c r="C138" s="10" t="s">
        <v>63</v>
      </c>
      <c r="D138" s="11" t="s">
        <v>8</v>
      </c>
    </row>
    <row r="139" spans="1:4" x14ac:dyDescent="0.25">
      <c r="A139" s="8" t="s">
        <v>147</v>
      </c>
      <c r="B139" s="13" t="s">
        <v>62</v>
      </c>
      <c r="C139" s="10" t="s">
        <v>63</v>
      </c>
      <c r="D139" s="11" t="s">
        <v>8</v>
      </c>
    </row>
    <row r="140" spans="1:4" x14ac:dyDescent="0.25">
      <c r="A140" s="8" t="s">
        <v>148</v>
      </c>
      <c r="B140" s="13" t="s">
        <v>62</v>
      </c>
      <c r="C140" s="10" t="s">
        <v>63</v>
      </c>
      <c r="D140" s="11" t="s">
        <v>8</v>
      </c>
    </row>
    <row r="141" spans="1:4" x14ac:dyDescent="0.25">
      <c r="A141" s="8" t="s">
        <v>149</v>
      </c>
      <c r="B141" s="13" t="s">
        <v>62</v>
      </c>
      <c r="C141" s="10" t="s">
        <v>63</v>
      </c>
      <c r="D141" s="11" t="s">
        <v>8</v>
      </c>
    </row>
    <row r="142" spans="1:4" x14ac:dyDescent="0.25">
      <c r="A142" s="8" t="s">
        <v>150</v>
      </c>
      <c r="B142" s="13" t="s">
        <v>62</v>
      </c>
      <c r="C142" s="10" t="s">
        <v>63</v>
      </c>
      <c r="D142" s="11" t="s">
        <v>8</v>
      </c>
    </row>
    <row r="143" spans="1:4" x14ac:dyDescent="0.25">
      <c r="A143" s="8" t="s">
        <v>151</v>
      </c>
      <c r="B143" s="13" t="s">
        <v>62</v>
      </c>
      <c r="C143" s="10" t="s">
        <v>63</v>
      </c>
      <c r="D143" s="11" t="s">
        <v>8</v>
      </c>
    </row>
    <row r="144" spans="1:4" x14ac:dyDescent="0.25">
      <c r="A144" s="8" t="s">
        <v>152</v>
      </c>
      <c r="B144" s="13" t="s">
        <v>62</v>
      </c>
      <c r="C144" s="10" t="s">
        <v>63</v>
      </c>
      <c r="D144" s="11" t="s">
        <v>8</v>
      </c>
    </row>
    <row r="145" spans="1:4" x14ac:dyDescent="0.25">
      <c r="A145" s="8" t="s">
        <v>153</v>
      </c>
      <c r="B145" s="13" t="s">
        <v>62</v>
      </c>
      <c r="C145" s="10" t="s">
        <v>63</v>
      </c>
      <c r="D145" s="11" t="s">
        <v>8</v>
      </c>
    </row>
    <row r="146" spans="1:4" x14ac:dyDescent="0.25">
      <c r="A146" s="8" t="s">
        <v>154</v>
      </c>
      <c r="B146" s="13" t="s">
        <v>62</v>
      </c>
      <c r="C146" s="10" t="s">
        <v>63</v>
      </c>
      <c r="D146" s="11" t="s">
        <v>8</v>
      </c>
    </row>
    <row r="147" spans="1:4" x14ac:dyDescent="0.25">
      <c r="A147" s="8" t="s">
        <v>155</v>
      </c>
      <c r="B147" s="13" t="s">
        <v>62</v>
      </c>
      <c r="C147" s="10" t="s">
        <v>63</v>
      </c>
      <c r="D147" s="11" t="s">
        <v>8</v>
      </c>
    </row>
    <row r="148" spans="1:4" x14ac:dyDescent="0.25">
      <c r="A148" s="8" t="s">
        <v>156</v>
      </c>
      <c r="B148" s="13" t="s">
        <v>62</v>
      </c>
      <c r="C148" s="10" t="s">
        <v>63</v>
      </c>
      <c r="D148" s="11" t="s">
        <v>8</v>
      </c>
    </row>
    <row r="149" spans="1:4" x14ac:dyDescent="0.25">
      <c r="A149" s="8" t="s">
        <v>157</v>
      </c>
      <c r="B149" s="13" t="s">
        <v>62</v>
      </c>
      <c r="C149" s="10" t="s">
        <v>63</v>
      </c>
      <c r="D149" s="11" t="s">
        <v>8</v>
      </c>
    </row>
    <row r="150" spans="1:4" x14ac:dyDescent="0.25">
      <c r="A150" s="8" t="s">
        <v>158</v>
      </c>
      <c r="B150" s="13" t="s">
        <v>62</v>
      </c>
      <c r="C150" s="10" t="s">
        <v>63</v>
      </c>
      <c r="D150" s="11" t="s">
        <v>8</v>
      </c>
    </row>
    <row r="151" spans="1:4" x14ac:dyDescent="0.25">
      <c r="A151" s="8" t="s">
        <v>159</v>
      </c>
      <c r="B151" s="13" t="s">
        <v>62</v>
      </c>
      <c r="C151" s="10" t="s">
        <v>63</v>
      </c>
      <c r="D151" s="11" t="s">
        <v>8</v>
      </c>
    </row>
    <row r="152" spans="1:4" x14ac:dyDescent="0.25">
      <c r="A152" s="8" t="s">
        <v>160</v>
      </c>
      <c r="B152" s="13" t="s">
        <v>62</v>
      </c>
      <c r="C152" s="10" t="s">
        <v>63</v>
      </c>
      <c r="D152" s="11" t="s">
        <v>8</v>
      </c>
    </row>
    <row r="153" spans="1:4" x14ac:dyDescent="0.25">
      <c r="A153" s="8" t="s">
        <v>161</v>
      </c>
      <c r="B153" s="13" t="s">
        <v>62</v>
      </c>
      <c r="C153" s="10" t="s">
        <v>63</v>
      </c>
      <c r="D153" s="11" t="s">
        <v>8</v>
      </c>
    </row>
    <row r="154" spans="1:4" x14ac:dyDescent="0.25">
      <c r="A154" s="8" t="s">
        <v>162</v>
      </c>
      <c r="B154" s="13" t="s">
        <v>62</v>
      </c>
      <c r="C154" s="10" t="s">
        <v>63</v>
      </c>
      <c r="D154" s="11" t="s">
        <v>8</v>
      </c>
    </row>
    <row r="155" spans="1:4" x14ac:dyDescent="0.25">
      <c r="A155" s="8" t="s">
        <v>163</v>
      </c>
      <c r="B155" s="13" t="s">
        <v>62</v>
      </c>
      <c r="C155" s="10" t="s">
        <v>63</v>
      </c>
      <c r="D155" s="11" t="s">
        <v>8</v>
      </c>
    </row>
    <row r="156" spans="1:4" x14ac:dyDescent="0.25">
      <c r="A156" s="8" t="s">
        <v>164</v>
      </c>
      <c r="B156" s="13" t="s">
        <v>62</v>
      </c>
      <c r="C156" s="10" t="s">
        <v>63</v>
      </c>
      <c r="D156" s="11" t="s">
        <v>8</v>
      </c>
    </row>
    <row r="157" spans="1:4" x14ac:dyDescent="0.25">
      <c r="A157" s="8" t="s">
        <v>165</v>
      </c>
      <c r="B157" s="13" t="s">
        <v>62</v>
      </c>
      <c r="C157" s="10" t="s">
        <v>63</v>
      </c>
      <c r="D157" s="11" t="s">
        <v>8</v>
      </c>
    </row>
    <row r="158" spans="1:4" x14ac:dyDescent="0.25">
      <c r="A158" s="8" t="s">
        <v>166</v>
      </c>
      <c r="B158" s="13" t="s">
        <v>62</v>
      </c>
      <c r="C158" s="10" t="s">
        <v>63</v>
      </c>
      <c r="D158" s="11" t="s">
        <v>8</v>
      </c>
    </row>
    <row r="159" spans="1:4" x14ac:dyDescent="0.25">
      <c r="A159" s="8" t="s">
        <v>167</v>
      </c>
      <c r="B159" s="13" t="s">
        <v>62</v>
      </c>
      <c r="C159" s="10" t="s">
        <v>63</v>
      </c>
      <c r="D159" s="11" t="s">
        <v>8</v>
      </c>
    </row>
    <row r="160" spans="1:4" x14ac:dyDescent="0.25">
      <c r="A160" s="8" t="s">
        <v>168</v>
      </c>
      <c r="B160" s="13" t="s">
        <v>62</v>
      </c>
      <c r="C160" s="10" t="s">
        <v>63</v>
      </c>
      <c r="D160" s="11" t="s">
        <v>8</v>
      </c>
    </row>
    <row r="161" spans="1:4" x14ac:dyDescent="0.25">
      <c r="A161" s="8" t="s">
        <v>169</v>
      </c>
      <c r="B161" s="13" t="s">
        <v>62</v>
      </c>
      <c r="C161" s="10" t="s">
        <v>63</v>
      </c>
      <c r="D161" s="11" t="s">
        <v>8</v>
      </c>
    </row>
    <row r="162" spans="1:4" x14ac:dyDescent="0.25">
      <c r="A162" s="8" t="s">
        <v>170</v>
      </c>
      <c r="B162" s="13" t="s">
        <v>62</v>
      </c>
      <c r="C162" s="10" t="s">
        <v>63</v>
      </c>
      <c r="D162" s="11" t="s">
        <v>8</v>
      </c>
    </row>
    <row r="163" spans="1:4" x14ac:dyDescent="0.25">
      <c r="A163" s="8" t="s">
        <v>171</v>
      </c>
      <c r="B163" s="13" t="s">
        <v>62</v>
      </c>
      <c r="C163" s="10" t="s">
        <v>63</v>
      </c>
      <c r="D163" s="11" t="s">
        <v>8</v>
      </c>
    </row>
    <row r="164" spans="1:4" x14ac:dyDescent="0.25">
      <c r="A164" s="8" t="s">
        <v>172</v>
      </c>
      <c r="B164" s="13" t="s">
        <v>62</v>
      </c>
      <c r="C164" s="10" t="s">
        <v>63</v>
      </c>
      <c r="D164" s="11" t="s">
        <v>8</v>
      </c>
    </row>
    <row r="165" spans="1:4" x14ac:dyDescent="0.25">
      <c r="A165" s="8" t="s">
        <v>173</v>
      </c>
      <c r="B165" s="13" t="s">
        <v>62</v>
      </c>
      <c r="C165" s="10" t="s">
        <v>63</v>
      </c>
      <c r="D165" s="11" t="s">
        <v>8</v>
      </c>
    </row>
    <row r="166" spans="1:4" x14ac:dyDescent="0.25">
      <c r="A166" s="8" t="s">
        <v>174</v>
      </c>
      <c r="B166" s="13" t="s">
        <v>62</v>
      </c>
      <c r="C166" s="10" t="s">
        <v>63</v>
      </c>
      <c r="D166" s="11" t="s">
        <v>8</v>
      </c>
    </row>
    <row r="167" spans="1:4" x14ac:dyDescent="0.25">
      <c r="A167" s="8" t="s">
        <v>175</v>
      </c>
      <c r="B167" s="13" t="s">
        <v>62</v>
      </c>
      <c r="C167" s="10" t="s">
        <v>63</v>
      </c>
      <c r="D167" s="11" t="s">
        <v>8</v>
      </c>
    </row>
    <row r="168" spans="1:4" x14ac:dyDescent="0.25">
      <c r="A168" s="8" t="s">
        <v>176</v>
      </c>
      <c r="B168" s="13" t="s">
        <v>62</v>
      </c>
      <c r="C168" s="10" t="s">
        <v>63</v>
      </c>
      <c r="D168" s="11" t="s">
        <v>8</v>
      </c>
    </row>
    <row r="169" spans="1:4" x14ac:dyDescent="0.25">
      <c r="A169" s="8" t="s">
        <v>177</v>
      </c>
      <c r="B169" s="13" t="s">
        <v>62</v>
      </c>
      <c r="C169" s="10" t="s">
        <v>63</v>
      </c>
      <c r="D169" s="11" t="s">
        <v>8</v>
      </c>
    </row>
    <row r="170" spans="1:4" x14ac:dyDescent="0.25">
      <c r="A170" s="8" t="s">
        <v>178</v>
      </c>
      <c r="B170" s="13" t="s">
        <v>62</v>
      </c>
      <c r="C170" s="10" t="s">
        <v>63</v>
      </c>
      <c r="D170" s="11" t="s">
        <v>8</v>
      </c>
    </row>
    <row r="171" spans="1:4" x14ac:dyDescent="0.25">
      <c r="A171" s="8" t="s">
        <v>179</v>
      </c>
      <c r="B171" s="13" t="s">
        <v>62</v>
      </c>
      <c r="C171" s="10" t="s">
        <v>63</v>
      </c>
      <c r="D171" s="11" t="s">
        <v>8</v>
      </c>
    </row>
    <row r="172" spans="1:4" x14ac:dyDescent="0.25">
      <c r="A172" s="8" t="s">
        <v>180</v>
      </c>
      <c r="B172" s="13" t="s">
        <v>62</v>
      </c>
      <c r="C172" s="10" t="s">
        <v>63</v>
      </c>
      <c r="D172" s="11" t="s">
        <v>8</v>
      </c>
    </row>
    <row r="173" spans="1:4" x14ac:dyDescent="0.25">
      <c r="A173" s="8" t="s">
        <v>181</v>
      </c>
      <c r="B173" s="13" t="s">
        <v>62</v>
      </c>
      <c r="C173" s="10" t="s">
        <v>63</v>
      </c>
      <c r="D173" s="11" t="s">
        <v>8</v>
      </c>
    </row>
    <row r="174" spans="1:4" x14ac:dyDescent="0.25">
      <c r="A174" s="8" t="s">
        <v>182</v>
      </c>
      <c r="B174" s="13" t="s">
        <v>62</v>
      </c>
      <c r="C174" s="10" t="s">
        <v>63</v>
      </c>
      <c r="D174" s="11" t="s">
        <v>8</v>
      </c>
    </row>
    <row r="175" spans="1:4" x14ac:dyDescent="0.25">
      <c r="A175" s="8" t="s">
        <v>183</v>
      </c>
      <c r="B175" s="13" t="s">
        <v>62</v>
      </c>
      <c r="C175" s="10" t="s">
        <v>63</v>
      </c>
      <c r="D175" s="11" t="s">
        <v>8</v>
      </c>
    </row>
    <row r="176" spans="1:4" x14ac:dyDescent="0.25">
      <c r="A176" s="8" t="s">
        <v>184</v>
      </c>
      <c r="B176" s="13" t="s">
        <v>62</v>
      </c>
      <c r="C176" s="10" t="s">
        <v>63</v>
      </c>
      <c r="D176" s="11" t="s">
        <v>8</v>
      </c>
    </row>
    <row r="177" spans="1:4" x14ac:dyDescent="0.25">
      <c r="A177" s="8" t="s">
        <v>185</v>
      </c>
      <c r="B177" s="13" t="s">
        <v>62</v>
      </c>
      <c r="C177" s="10" t="s">
        <v>63</v>
      </c>
      <c r="D177" s="11" t="s">
        <v>8</v>
      </c>
    </row>
    <row r="178" spans="1:4" x14ac:dyDescent="0.25">
      <c r="A178" s="8" t="s">
        <v>186</v>
      </c>
      <c r="B178" s="13" t="s">
        <v>62</v>
      </c>
      <c r="C178" s="10" t="s">
        <v>63</v>
      </c>
      <c r="D178" s="11" t="s">
        <v>8</v>
      </c>
    </row>
    <row r="179" spans="1:4" x14ac:dyDescent="0.25">
      <c r="A179" s="8" t="s">
        <v>187</v>
      </c>
      <c r="B179" s="13" t="s">
        <v>62</v>
      </c>
      <c r="C179" s="10" t="s">
        <v>63</v>
      </c>
      <c r="D179" s="11" t="s">
        <v>8</v>
      </c>
    </row>
    <row r="180" spans="1:4" x14ac:dyDescent="0.25">
      <c r="A180" s="8" t="s">
        <v>188</v>
      </c>
      <c r="B180" s="13" t="s">
        <v>62</v>
      </c>
      <c r="C180" s="10" t="s">
        <v>63</v>
      </c>
      <c r="D180" s="11" t="s">
        <v>8</v>
      </c>
    </row>
    <row r="181" spans="1:4" x14ac:dyDescent="0.25">
      <c r="A181" s="8" t="s">
        <v>189</v>
      </c>
      <c r="B181" s="13" t="s">
        <v>62</v>
      </c>
      <c r="C181" s="10" t="s">
        <v>63</v>
      </c>
      <c r="D181" s="11" t="s">
        <v>8</v>
      </c>
    </row>
    <row r="182" spans="1:4" x14ac:dyDescent="0.25">
      <c r="A182" s="8" t="s">
        <v>190</v>
      </c>
      <c r="B182" s="13" t="s">
        <v>62</v>
      </c>
      <c r="C182" s="10" t="s">
        <v>63</v>
      </c>
      <c r="D182" s="11" t="s">
        <v>8</v>
      </c>
    </row>
    <row r="183" spans="1:4" x14ac:dyDescent="0.25">
      <c r="A183" s="8" t="s">
        <v>191</v>
      </c>
      <c r="B183" s="13" t="s">
        <v>62</v>
      </c>
      <c r="C183" s="10" t="s">
        <v>63</v>
      </c>
      <c r="D183" s="11" t="s">
        <v>8</v>
      </c>
    </row>
    <row r="184" spans="1:4" x14ac:dyDescent="0.25">
      <c r="A184" s="8" t="s">
        <v>192</v>
      </c>
      <c r="B184" s="13" t="s">
        <v>62</v>
      </c>
      <c r="C184" s="10" t="s">
        <v>63</v>
      </c>
      <c r="D184" s="11" t="s">
        <v>8</v>
      </c>
    </row>
    <row r="185" spans="1:4" x14ac:dyDescent="0.25">
      <c r="A185" s="8" t="s">
        <v>193</v>
      </c>
      <c r="B185" s="13" t="s">
        <v>62</v>
      </c>
      <c r="C185" s="10" t="s">
        <v>63</v>
      </c>
      <c r="D185" s="11" t="s">
        <v>8</v>
      </c>
    </row>
    <row r="186" spans="1:4" x14ac:dyDescent="0.25">
      <c r="A186" s="8" t="s">
        <v>194</v>
      </c>
      <c r="B186" s="13" t="s">
        <v>62</v>
      </c>
      <c r="C186" s="10" t="s">
        <v>63</v>
      </c>
      <c r="D186" s="11" t="s">
        <v>8</v>
      </c>
    </row>
    <row r="187" spans="1:4" x14ac:dyDescent="0.25">
      <c r="A187" s="8" t="s">
        <v>195</v>
      </c>
      <c r="B187" s="13" t="s">
        <v>62</v>
      </c>
      <c r="C187" s="10" t="s">
        <v>63</v>
      </c>
      <c r="D187" s="11" t="s">
        <v>8</v>
      </c>
    </row>
    <row r="188" spans="1:4" x14ac:dyDescent="0.25">
      <c r="A188" s="8" t="s">
        <v>196</v>
      </c>
      <c r="B188" s="13" t="s">
        <v>62</v>
      </c>
      <c r="C188" s="10" t="s">
        <v>63</v>
      </c>
      <c r="D188" s="11" t="s">
        <v>8</v>
      </c>
    </row>
    <row r="189" spans="1:4" x14ac:dyDescent="0.25">
      <c r="A189" s="8" t="s">
        <v>197</v>
      </c>
      <c r="B189" s="13" t="s">
        <v>62</v>
      </c>
      <c r="C189" s="10" t="s">
        <v>63</v>
      </c>
      <c r="D189" s="11" t="s">
        <v>8</v>
      </c>
    </row>
    <row r="190" spans="1:4" x14ac:dyDescent="0.25">
      <c r="A190" s="8" t="s">
        <v>198</v>
      </c>
      <c r="B190" s="13" t="s">
        <v>62</v>
      </c>
      <c r="C190" s="10" t="s">
        <v>63</v>
      </c>
      <c r="D190" s="11" t="s">
        <v>8</v>
      </c>
    </row>
    <row r="191" spans="1:4" x14ac:dyDescent="0.25">
      <c r="A191" s="8" t="s">
        <v>199</v>
      </c>
      <c r="B191" s="13" t="s">
        <v>62</v>
      </c>
      <c r="C191" s="10" t="s">
        <v>63</v>
      </c>
      <c r="D191" s="11" t="s">
        <v>8</v>
      </c>
    </row>
    <row r="192" spans="1:4" x14ac:dyDescent="0.25">
      <c r="A192" s="8" t="s">
        <v>200</v>
      </c>
      <c r="B192" s="13" t="s">
        <v>62</v>
      </c>
      <c r="C192" s="10" t="s">
        <v>63</v>
      </c>
      <c r="D192" s="11" t="s">
        <v>8</v>
      </c>
    </row>
    <row r="193" spans="1:4" x14ac:dyDescent="0.25">
      <c r="A193" s="8" t="s">
        <v>201</v>
      </c>
      <c r="B193" s="13" t="s">
        <v>62</v>
      </c>
      <c r="C193" s="10" t="s">
        <v>63</v>
      </c>
      <c r="D193" s="11" t="s">
        <v>8</v>
      </c>
    </row>
    <row r="194" spans="1:4" x14ac:dyDescent="0.25">
      <c r="A194" s="8" t="s">
        <v>202</v>
      </c>
      <c r="B194" s="13" t="s">
        <v>62</v>
      </c>
      <c r="C194" s="10" t="s">
        <v>63</v>
      </c>
      <c r="D194" s="11" t="s">
        <v>8</v>
      </c>
    </row>
    <row r="195" spans="1:4" x14ac:dyDescent="0.25">
      <c r="A195" s="8" t="s">
        <v>203</v>
      </c>
      <c r="B195" s="13" t="s">
        <v>62</v>
      </c>
      <c r="C195" s="10" t="s">
        <v>63</v>
      </c>
      <c r="D195" s="11" t="s">
        <v>8</v>
      </c>
    </row>
    <row r="196" spans="1:4" x14ac:dyDescent="0.25">
      <c r="A196" s="8" t="s">
        <v>204</v>
      </c>
      <c r="B196" s="13" t="s">
        <v>62</v>
      </c>
      <c r="C196" s="10" t="s">
        <v>63</v>
      </c>
      <c r="D196" s="11" t="s">
        <v>8</v>
      </c>
    </row>
    <row r="197" spans="1:4" x14ac:dyDescent="0.25">
      <c r="A197" s="8" t="s">
        <v>205</v>
      </c>
      <c r="B197" s="13" t="s">
        <v>62</v>
      </c>
      <c r="C197" s="10" t="s">
        <v>63</v>
      </c>
      <c r="D197" s="11" t="s">
        <v>8</v>
      </c>
    </row>
    <row r="198" spans="1:4" x14ac:dyDescent="0.25">
      <c r="A198" s="8" t="s">
        <v>206</v>
      </c>
      <c r="B198" s="13" t="s">
        <v>62</v>
      </c>
      <c r="C198" s="10" t="s">
        <v>63</v>
      </c>
      <c r="D198" s="11" t="s">
        <v>8</v>
      </c>
    </row>
    <row r="199" spans="1:4" x14ac:dyDescent="0.25">
      <c r="A199" s="8" t="s">
        <v>207</v>
      </c>
      <c r="B199" s="13" t="s">
        <v>62</v>
      </c>
      <c r="C199" s="10" t="s">
        <v>63</v>
      </c>
      <c r="D199" s="11" t="s">
        <v>8</v>
      </c>
    </row>
    <row r="200" spans="1:4" x14ac:dyDescent="0.25">
      <c r="A200" s="8" t="s">
        <v>208</v>
      </c>
      <c r="B200" s="13" t="s">
        <v>62</v>
      </c>
      <c r="C200" s="10" t="s">
        <v>63</v>
      </c>
      <c r="D200" s="11" t="s">
        <v>8</v>
      </c>
    </row>
    <row r="201" spans="1:4" x14ac:dyDescent="0.25">
      <c r="A201" s="8" t="s">
        <v>209</v>
      </c>
      <c r="B201" s="13" t="s">
        <v>62</v>
      </c>
      <c r="C201" s="10" t="s">
        <v>63</v>
      </c>
      <c r="D201" s="11" t="s">
        <v>8</v>
      </c>
    </row>
    <row r="202" spans="1:4" x14ac:dyDescent="0.25">
      <c r="A202" s="8" t="s">
        <v>210</v>
      </c>
      <c r="B202" s="14" t="s">
        <v>211</v>
      </c>
      <c r="C202" s="10" t="s">
        <v>212</v>
      </c>
      <c r="D202" s="11" t="s">
        <v>8</v>
      </c>
    </row>
    <row r="203" spans="1:4" x14ac:dyDescent="0.25">
      <c r="A203" s="8" t="s">
        <v>213</v>
      </c>
      <c r="B203" s="14" t="s">
        <v>211</v>
      </c>
      <c r="C203" s="10" t="s">
        <v>212</v>
      </c>
      <c r="D203" s="11" t="s">
        <v>8</v>
      </c>
    </row>
    <row r="204" spans="1:4" x14ac:dyDescent="0.25">
      <c r="A204" s="8" t="s">
        <v>214</v>
      </c>
      <c r="B204" s="14" t="s">
        <v>211</v>
      </c>
      <c r="C204" s="10" t="s">
        <v>212</v>
      </c>
      <c r="D204" s="11" t="s">
        <v>8</v>
      </c>
    </row>
    <row r="205" spans="1:4" x14ac:dyDescent="0.25">
      <c r="A205" s="8" t="s">
        <v>215</v>
      </c>
      <c r="B205" s="14" t="s">
        <v>211</v>
      </c>
      <c r="C205" s="10" t="s">
        <v>212</v>
      </c>
      <c r="D205" s="11" t="s">
        <v>8</v>
      </c>
    </row>
    <row r="206" spans="1:4" x14ac:dyDescent="0.25">
      <c r="A206" s="8" t="s">
        <v>216</v>
      </c>
      <c r="B206" s="14" t="s">
        <v>211</v>
      </c>
      <c r="C206" s="10" t="s">
        <v>212</v>
      </c>
      <c r="D206" s="11" t="s">
        <v>8</v>
      </c>
    </row>
    <row r="207" spans="1:4" x14ac:dyDescent="0.25">
      <c r="A207" s="8" t="s">
        <v>217</v>
      </c>
      <c r="B207" s="14" t="s">
        <v>211</v>
      </c>
      <c r="C207" s="10" t="s">
        <v>212</v>
      </c>
      <c r="D207" s="11" t="s">
        <v>8</v>
      </c>
    </row>
    <row r="208" spans="1:4" x14ac:dyDescent="0.25">
      <c r="A208" s="8" t="s">
        <v>218</v>
      </c>
      <c r="B208" s="14" t="s">
        <v>211</v>
      </c>
      <c r="C208" s="10" t="s">
        <v>212</v>
      </c>
      <c r="D208" s="11" t="s">
        <v>8</v>
      </c>
    </row>
    <row r="209" spans="1:4" x14ac:dyDescent="0.25">
      <c r="A209" s="8" t="s">
        <v>219</v>
      </c>
      <c r="B209" s="14" t="s">
        <v>211</v>
      </c>
      <c r="C209" s="10" t="s">
        <v>212</v>
      </c>
      <c r="D209" s="11" t="s">
        <v>8</v>
      </c>
    </row>
    <row r="210" spans="1:4" x14ac:dyDescent="0.25">
      <c r="A210" s="8" t="s">
        <v>220</v>
      </c>
      <c r="B210" s="14" t="s">
        <v>211</v>
      </c>
      <c r="C210" s="10" t="s">
        <v>212</v>
      </c>
      <c r="D210" s="11" t="s">
        <v>8</v>
      </c>
    </row>
    <row r="211" spans="1:4" x14ac:dyDescent="0.25">
      <c r="A211" s="8" t="s">
        <v>221</v>
      </c>
      <c r="B211" s="14" t="s">
        <v>211</v>
      </c>
      <c r="C211" s="10" t="s">
        <v>212</v>
      </c>
      <c r="D211" s="11" t="s">
        <v>8</v>
      </c>
    </row>
    <row r="212" spans="1:4" x14ac:dyDescent="0.25">
      <c r="A212" s="8" t="s">
        <v>222</v>
      </c>
      <c r="B212" s="14" t="s">
        <v>211</v>
      </c>
      <c r="C212" s="10" t="s">
        <v>212</v>
      </c>
      <c r="D212" s="11" t="s">
        <v>8</v>
      </c>
    </row>
    <row r="213" spans="1:4" x14ac:dyDescent="0.25">
      <c r="A213" s="8" t="s">
        <v>223</v>
      </c>
      <c r="B213" s="14" t="s">
        <v>211</v>
      </c>
      <c r="C213" s="10" t="s">
        <v>212</v>
      </c>
      <c r="D213" s="11" t="s">
        <v>8</v>
      </c>
    </row>
    <row r="214" spans="1:4" x14ac:dyDescent="0.25">
      <c r="A214" s="8" t="s">
        <v>224</v>
      </c>
      <c r="B214" s="14" t="s">
        <v>211</v>
      </c>
      <c r="C214" s="10" t="s">
        <v>212</v>
      </c>
      <c r="D214" s="11" t="s">
        <v>8</v>
      </c>
    </row>
    <row r="215" spans="1:4" x14ac:dyDescent="0.25">
      <c r="A215" s="8" t="s">
        <v>225</v>
      </c>
      <c r="B215" s="14" t="s">
        <v>211</v>
      </c>
      <c r="C215" s="10" t="s">
        <v>212</v>
      </c>
      <c r="D215" s="11" t="s">
        <v>8</v>
      </c>
    </row>
    <row r="216" spans="1:4" x14ac:dyDescent="0.25">
      <c r="A216" s="8" t="s">
        <v>226</v>
      </c>
      <c r="B216" s="14" t="s">
        <v>211</v>
      </c>
      <c r="C216" s="10" t="s">
        <v>212</v>
      </c>
      <c r="D216" s="11" t="s">
        <v>8</v>
      </c>
    </row>
    <row r="217" spans="1:4" x14ac:dyDescent="0.25">
      <c r="A217" s="8" t="s">
        <v>227</v>
      </c>
      <c r="B217" s="14" t="s">
        <v>211</v>
      </c>
      <c r="C217" s="10" t="s">
        <v>212</v>
      </c>
      <c r="D217" s="11" t="s">
        <v>8</v>
      </c>
    </row>
    <row r="218" spans="1:4" x14ac:dyDescent="0.25">
      <c r="A218" s="8" t="s">
        <v>228</v>
      </c>
      <c r="B218" s="14" t="s">
        <v>211</v>
      </c>
      <c r="C218" s="10" t="s">
        <v>212</v>
      </c>
      <c r="D218" s="11" t="s">
        <v>8</v>
      </c>
    </row>
    <row r="219" spans="1:4" x14ac:dyDescent="0.25">
      <c r="A219" s="8" t="s">
        <v>229</v>
      </c>
      <c r="B219" s="14" t="s">
        <v>211</v>
      </c>
      <c r="C219" s="10" t="s">
        <v>212</v>
      </c>
      <c r="D219" s="11" t="s">
        <v>8</v>
      </c>
    </row>
    <row r="220" spans="1:4" x14ac:dyDescent="0.25">
      <c r="A220" s="8" t="s">
        <v>230</v>
      </c>
      <c r="B220" s="14" t="s">
        <v>211</v>
      </c>
      <c r="C220" s="10" t="s">
        <v>212</v>
      </c>
      <c r="D220" s="11" t="s">
        <v>8</v>
      </c>
    </row>
    <row r="221" spans="1:4" x14ac:dyDescent="0.25">
      <c r="A221" s="8" t="s">
        <v>231</v>
      </c>
      <c r="B221" s="14" t="s">
        <v>211</v>
      </c>
      <c r="C221" s="10" t="s">
        <v>212</v>
      </c>
      <c r="D221" s="11" t="s">
        <v>8</v>
      </c>
    </row>
    <row r="222" spans="1:4" x14ac:dyDescent="0.25">
      <c r="A222" s="8" t="s">
        <v>232</v>
      </c>
      <c r="B222" s="14" t="s">
        <v>211</v>
      </c>
      <c r="C222" s="10" t="s">
        <v>212</v>
      </c>
      <c r="D222" s="11" t="s">
        <v>8</v>
      </c>
    </row>
    <row r="223" spans="1:4" x14ac:dyDescent="0.25">
      <c r="A223" s="8" t="s">
        <v>233</v>
      </c>
      <c r="B223" s="14" t="s">
        <v>211</v>
      </c>
      <c r="C223" s="10" t="s">
        <v>212</v>
      </c>
      <c r="D223" s="11" t="s">
        <v>8</v>
      </c>
    </row>
    <row r="224" spans="1:4" x14ac:dyDescent="0.25">
      <c r="A224" s="8" t="s">
        <v>234</v>
      </c>
      <c r="B224" s="14" t="s">
        <v>211</v>
      </c>
      <c r="C224" s="10" t="s">
        <v>212</v>
      </c>
      <c r="D224" s="11" t="s">
        <v>8</v>
      </c>
    </row>
    <row r="225" spans="1:4" x14ac:dyDescent="0.25">
      <c r="A225" s="8" t="s">
        <v>235</v>
      </c>
      <c r="B225" s="14" t="s">
        <v>211</v>
      </c>
      <c r="C225" s="10" t="s">
        <v>212</v>
      </c>
      <c r="D225" s="11" t="s">
        <v>8</v>
      </c>
    </row>
    <row r="226" spans="1:4" x14ac:dyDescent="0.25">
      <c r="A226" s="8" t="s">
        <v>236</v>
      </c>
      <c r="B226" s="14" t="s">
        <v>211</v>
      </c>
      <c r="C226" s="10" t="s">
        <v>212</v>
      </c>
      <c r="D226" s="11" t="s">
        <v>8</v>
      </c>
    </row>
    <row r="227" spans="1:4" x14ac:dyDescent="0.25">
      <c r="A227" s="8" t="s">
        <v>237</v>
      </c>
      <c r="B227" s="14" t="s">
        <v>211</v>
      </c>
      <c r="C227" s="10" t="s">
        <v>212</v>
      </c>
      <c r="D227" s="11" t="s">
        <v>8</v>
      </c>
    </row>
    <row r="228" spans="1:4" x14ac:dyDescent="0.25">
      <c r="A228" s="8" t="s">
        <v>238</v>
      </c>
      <c r="B228" s="14" t="s">
        <v>211</v>
      </c>
      <c r="C228" s="10" t="s">
        <v>212</v>
      </c>
      <c r="D228" s="11" t="s">
        <v>8</v>
      </c>
    </row>
    <row r="229" spans="1:4" x14ac:dyDescent="0.25">
      <c r="A229" s="8" t="s">
        <v>239</v>
      </c>
      <c r="B229" s="14" t="s">
        <v>211</v>
      </c>
      <c r="C229" s="10" t="s">
        <v>212</v>
      </c>
      <c r="D229" s="11" t="s">
        <v>8</v>
      </c>
    </row>
    <row r="230" spans="1:4" x14ac:dyDescent="0.25">
      <c r="A230" s="8" t="s">
        <v>240</v>
      </c>
      <c r="B230" s="14" t="s">
        <v>211</v>
      </c>
      <c r="C230" s="10" t="s">
        <v>212</v>
      </c>
      <c r="D230" s="11" t="s">
        <v>8</v>
      </c>
    </row>
    <row r="231" spans="1:4" x14ac:dyDescent="0.25">
      <c r="A231" s="8" t="s">
        <v>241</v>
      </c>
      <c r="B231" s="14" t="s">
        <v>211</v>
      </c>
      <c r="C231" s="10" t="s">
        <v>212</v>
      </c>
      <c r="D231" s="11" t="s">
        <v>8</v>
      </c>
    </row>
    <row r="232" spans="1:4" x14ac:dyDescent="0.25">
      <c r="A232" s="8" t="s">
        <v>242</v>
      </c>
      <c r="B232" s="14" t="s">
        <v>211</v>
      </c>
      <c r="C232" s="10" t="s">
        <v>212</v>
      </c>
      <c r="D232" s="11" t="s">
        <v>8</v>
      </c>
    </row>
    <row r="233" spans="1:4" x14ac:dyDescent="0.25">
      <c r="A233" s="8" t="s">
        <v>243</v>
      </c>
      <c r="B233" s="14" t="s">
        <v>211</v>
      </c>
      <c r="C233" s="10" t="s">
        <v>212</v>
      </c>
      <c r="D233" s="11" t="s">
        <v>8</v>
      </c>
    </row>
    <row r="234" spans="1:4" x14ac:dyDescent="0.25">
      <c r="A234" s="8" t="s">
        <v>244</v>
      </c>
      <c r="B234" s="14" t="s">
        <v>211</v>
      </c>
      <c r="C234" s="10" t="s">
        <v>212</v>
      </c>
      <c r="D234" s="11" t="s">
        <v>8</v>
      </c>
    </row>
    <row r="235" spans="1:4" x14ac:dyDescent="0.25">
      <c r="A235" s="8" t="s">
        <v>245</v>
      </c>
      <c r="B235" s="14" t="s">
        <v>211</v>
      </c>
      <c r="C235" s="10" t="s">
        <v>212</v>
      </c>
      <c r="D235" s="11" t="s">
        <v>8</v>
      </c>
    </row>
    <row r="236" spans="1:4" x14ac:dyDescent="0.25">
      <c r="A236" s="8" t="s">
        <v>246</v>
      </c>
      <c r="B236" s="14" t="s">
        <v>211</v>
      </c>
      <c r="C236" s="10" t="s">
        <v>212</v>
      </c>
      <c r="D236" s="11" t="s">
        <v>8</v>
      </c>
    </row>
    <row r="237" spans="1:4" x14ac:dyDescent="0.25">
      <c r="A237" s="8" t="s">
        <v>247</v>
      </c>
      <c r="B237" s="14" t="s">
        <v>211</v>
      </c>
      <c r="C237" s="10" t="s">
        <v>212</v>
      </c>
      <c r="D237" s="11" t="s">
        <v>8</v>
      </c>
    </row>
    <row r="238" spans="1:4" x14ac:dyDescent="0.25">
      <c r="A238" s="8" t="s">
        <v>248</v>
      </c>
      <c r="B238" s="14" t="s">
        <v>211</v>
      </c>
      <c r="C238" s="10" t="s">
        <v>212</v>
      </c>
      <c r="D238" s="11" t="s">
        <v>8</v>
      </c>
    </row>
    <row r="239" spans="1:4" x14ac:dyDescent="0.25">
      <c r="A239" s="8" t="s">
        <v>249</v>
      </c>
      <c r="B239" s="14" t="s">
        <v>211</v>
      </c>
      <c r="C239" s="10" t="s">
        <v>212</v>
      </c>
      <c r="D239" s="11" t="s">
        <v>8</v>
      </c>
    </row>
    <row r="240" spans="1:4" x14ac:dyDescent="0.25">
      <c r="A240" s="8" t="s">
        <v>250</v>
      </c>
      <c r="B240" s="14" t="s">
        <v>211</v>
      </c>
      <c r="C240" s="10" t="s">
        <v>212</v>
      </c>
      <c r="D240" s="11" t="s">
        <v>8</v>
      </c>
    </row>
    <row r="241" spans="1:4" x14ac:dyDescent="0.25">
      <c r="A241" s="8" t="s">
        <v>251</v>
      </c>
      <c r="B241" s="14" t="s">
        <v>211</v>
      </c>
      <c r="C241" s="10" t="s">
        <v>212</v>
      </c>
      <c r="D241" s="11" t="s">
        <v>8</v>
      </c>
    </row>
    <row r="242" spans="1:4" x14ac:dyDescent="0.25">
      <c r="A242" s="8" t="s">
        <v>252</v>
      </c>
      <c r="B242" s="14" t="s">
        <v>211</v>
      </c>
      <c r="C242" s="10" t="s">
        <v>212</v>
      </c>
      <c r="D242" s="11" t="s">
        <v>8</v>
      </c>
    </row>
    <row r="243" spans="1:4" x14ac:dyDescent="0.25">
      <c r="A243" s="8" t="s">
        <v>253</v>
      </c>
      <c r="B243" s="14" t="s">
        <v>211</v>
      </c>
      <c r="C243" s="10" t="s">
        <v>212</v>
      </c>
      <c r="D243" s="11" t="s">
        <v>8</v>
      </c>
    </row>
    <row r="244" spans="1:4" x14ac:dyDescent="0.25">
      <c r="A244" s="8" t="s">
        <v>254</v>
      </c>
      <c r="B244" s="14" t="s">
        <v>211</v>
      </c>
      <c r="C244" s="10" t="s">
        <v>212</v>
      </c>
      <c r="D244" s="11" t="s">
        <v>8</v>
      </c>
    </row>
    <row r="245" spans="1:4" x14ac:dyDescent="0.25">
      <c r="A245" s="8" t="s">
        <v>255</v>
      </c>
      <c r="B245" s="14" t="s">
        <v>211</v>
      </c>
      <c r="C245" s="10" t="s">
        <v>212</v>
      </c>
      <c r="D245" s="11" t="s">
        <v>8</v>
      </c>
    </row>
    <row r="246" spans="1:4" x14ac:dyDescent="0.25">
      <c r="A246" s="8" t="s">
        <v>256</v>
      </c>
      <c r="B246" s="14" t="s">
        <v>211</v>
      </c>
      <c r="C246" s="10" t="s">
        <v>212</v>
      </c>
      <c r="D246" s="11" t="s">
        <v>8</v>
      </c>
    </row>
    <row r="247" spans="1:4" x14ac:dyDescent="0.25">
      <c r="A247" s="8" t="s">
        <v>257</v>
      </c>
      <c r="B247" s="14" t="s">
        <v>211</v>
      </c>
      <c r="C247" s="10" t="s">
        <v>212</v>
      </c>
      <c r="D247" s="11" t="s">
        <v>8</v>
      </c>
    </row>
    <row r="248" spans="1:4" x14ac:dyDescent="0.25">
      <c r="A248" s="8" t="s">
        <v>258</v>
      </c>
      <c r="B248" s="14" t="s">
        <v>211</v>
      </c>
      <c r="C248" s="10" t="s">
        <v>212</v>
      </c>
      <c r="D248" s="11" t="s">
        <v>8</v>
      </c>
    </row>
    <row r="249" spans="1:4" x14ac:dyDescent="0.25">
      <c r="A249" s="8" t="s">
        <v>259</v>
      </c>
      <c r="B249" s="14" t="s">
        <v>211</v>
      </c>
      <c r="C249" s="10" t="s">
        <v>212</v>
      </c>
      <c r="D249" s="11" t="s">
        <v>8</v>
      </c>
    </row>
    <row r="250" spans="1:4" x14ac:dyDescent="0.25">
      <c r="A250" s="8" t="s">
        <v>260</v>
      </c>
      <c r="B250" s="14" t="s">
        <v>211</v>
      </c>
      <c r="C250" s="10" t="s">
        <v>212</v>
      </c>
      <c r="D250" s="11" t="s">
        <v>8</v>
      </c>
    </row>
    <row r="251" spans="1:4" x14ac:dyDescent="0.25">
      <c r="A251" s="8" t="s">
        <v>261</v>
      </c>
      <c r="B251" s="14" t="s">
        <v>211</v>
      </c>
      <c r="C251" s="10" t="s">
        <v>212</v>
      </c>
      <c r="D251" s="11" t="s">
        <v>8</v>
      </c>
    </row>
    <row r="252" spans="1:4" x14ac:dyDescent="0.25">
      <c r="A252" s="8" t="s">
        <v>262</v>
      </c>
      <c r="B252" s="14" t="s">
        <v>211</v>
      </c>
      <c r="C252" s="10" t="s">
        <v>212</v>
      </c>
      <c r="D252" s="11" t="s">
        <v>8</v>
      </c>
    </row>
    <row r="253" spans="1:4" x14ac:dyDescent="0.25">
      <c r="A253" s="8" t="s">
        <v>263</v>
      </c>
      <c r="B253" s="14" t="s">
        <v>211</v>
      </c>
      <c r="C253" s="10" t="s">
        <v>212</v>
      </c>
      <c r="D253" s="11" t="s">
        <v>8</v>
      </c>
    </row>
    <row r="254" spans="1:4" x14ac:dyDescent="0.25">
      <c r="A254" s="8" t="s">
        <v>264</v>
      </c>
      <c r="B254" s="14" t="s">
        <v>211</v>
      </c>
      <c r="C254" s="10" t="s">
        <v>212</v>
      </c>
      <c r="D254" s="11" t="s">
        <v>8</v>
      </c>
    </row>
    <row r="255" spans="1:4" x14ac:dyDescent="0.25">
      <c r="A255" s="8" t="s">
        <v>265</v>
      </c>
      <c r="B255" s="14" t="s">
        <v>211</v>
      </c>
      <c r="C255" s="10" t="s">
        <v>212</v>
      </c>
      <c r="D255" s="11" t="s">
        <v>8</v>
      </c>
    </row>
    <row r="256" spans="1:4" x14ac:dyDescent="0.25">
      <c r="A256" s="8" t="s">
        <v>266</v>
      </c>
      <c r="B256" s="14" t="s">
        <v>211</v>
      </c>
      <c r="C256" s="10" t="s">
        <v>212</v>
      </c>
      <c r="D256" s="11" t="s">
        <v>8</v>
      </c>
    </row>
    <row r="257" spans="1:4" x14ac:dyDescent="0.25">
      <c r="A257" s="8" t="s">
        <v>267</v>
      </c>
      <c r="B257" s="14" t="s">
        <v>211</v>
      </c>
      <c r="C257" s="10" t="s">
        <v>212</v>
      </c>
      <c r="D257" s="11" t="s">
        <v>8</v>
      </c>
    </row>
    <row r="258" spans="1:4" x14ac:dyDescent="0.25">
      <c r="A258" s="8" t="s">
        <v>268</v>
      </c>
      <c r="B258" s="14" t="s">
        <v>211</v>
      </c>
      <c r="C258" s="10" t="s">
        <v>212</v>
      </c>
      <c r="D258" s="11" t="s">
        <v>8</v>
      </c>
    </row>
    <row r="259" spans="1:4" x14ac:dyDescent="0.25">
      <c r="A259" s="8" t="s">
        <v>269</v>
      </c>
      <c r="B259" s="14" t="s">
        <v>211</v>
      </c>
      <c r="C259" s="10" t="s">
        <v>212</v>
      </c>
      <c r="D259" s="11" t="s">
        <v>8</v>
      </c>
    </row>
    <row r="260" spans="1:4" x14ac:dyDescent="0.25">
      <c r="A260" s="8" t="s">
        <v>270</v>
      </c>
      <c r="B260" s="14" t="s">
        <v>211</v>
      </c>
      <c r="C260" s="10" t="s">
        <v>212</v>
      </c>
      <c r="D260" s="11" t="s">
        <v>8</v>
      </c>
    </row>
    <row r="261" spans="1:4" x14ac:dyDescent="0.25">
      <c r="A261" s="8" t="s">
        <v>271</v>
      </c>
      <c r="B261" s="14" t="s">
        <v>211</v>
      </c>
      <c r="C261" s="10" t="s">
        <v>212</v>
      </c>
      <c r="D261" s="11" t="s">
        <v>8</v>
      </c>
    </row>
    <row r="262" spans="1:4" x14ac:dyDescent="0.25">
      <c r="A262" s="8" t="s">
        <v>272</v>
      </c>
      <c r="B262" s="14" t="s">
        <v>211</v>
      </c>
      <c r="C262" s="10" t="s">
        <v>212</v>
      </c>
      <c r="D262" s="11" t="s">
        <v>8</v>
      </c>
    </row>
    <row r="263" spans="1:4" x14ac:dyDescent="0.25">
      <c r="A263" s="8" t="s">
        <v>273</v>
      </c>
      <c r="B263" s="14" t="s">
        <v>211</v>
      </c>
      <c r="C263" s="10" t="s">
        <v>212</v>
      </c>
      <c r="D263" s="11" t="s">
        <v>8</v>
      </c>
    </row>
    <row r="264" spans="1:4" x14ac:dyDescent="0.25">
      <c r="A264" s="8" t="s">
        <v>274</v>
      </c>
      <c r="B264" s="14" t="s">
        <v>211</v>
      </c>
      <c r="C264" s="10" t="s">
        <v>212</v>
      </c>
      <c r="D264" s="11" t="s">
        <v>8</v>
      </c>
    </row>
    <row r="265" spans="1:4" x14ac:dyDescent="0.25">
      <c r="A265" s="8" t="s">
        <v>275</v>
      </c>
      <c r="B265" s="14" t="s">
        <v>211</v>
      </c>
      <c r="C265" s="10" t="s">
        <v>212</v>
      </c>
      <c r="D265" s="11" t="s">
        <v>8</v>
      </c>
    </row>
    <row r="266" spans="1:4" x14ac:dyDescent="0.25">
      <c r="A266" s="8" t="s">
        <v>276</v>
      </c>
      <c r="B266" s="14" t="s">
        <v>211</v>
      </c>
      <c r="C266" s="10" t="s">
        <v>212</v>
      </c>
      <c r="D266" s="11" t="s">
        <v>8</v>
      </c>
    </row>
    <row r="267" spans="1:4" x14ac:dyDescent="0.25">
      <c r="A267" s="8" t="s">
        <v>277</v>
      </c>
      <c r="B267" s="14" t="s">
        <v>211</v>
      </c>
      <c r="C267" s="10" t="s">
        <v>212</v>
      </c>
      <c r="D267" s="11" t="s">
        <v>8</v>
      </c>
    </row>
    <row r="268" spans="1:4" x14ac:dyDescent="0.25">
      <c r="A268" s="8" t="s">
        <v>278</v>
      </c>
      <c r="B268" s="14" t="s">
        <v>211</v>
      </c>
      <c r="C268" s="10" t="s">
        <v>212</v>
      </c>
      <c r="D268" s="11" t="s">
        <v>8</v>
      </c>
    </row>
    <row r="269" spans="1:4" x14ac:dyDescent="0.25">
      <c r="A269" s="8" t="s">
        <v>279</v>
      </c>
      <c r="B269" s="14" t="s">
        <v>211</v>
      </c>
      <c r="C269" s="10" t="s">
        <v>212</v>
      </c>
      <c r="D269" s="11" t="s">
        <v>8</v>
      </c>
    </row>
    <row r="270" spans="1:4" x14ac:dyDescent="0.25">
      <c r="A270" s="8" t="s">
        <v>280</v>
      </c>
      <c r="B270" s="14" t="s">
        <v>211</v>
      </c>
      <c r="C270" s="10" t="s">
        <v>212</v>
      </c>
      <c r="D270" s="11" t="s">
        <v>8</v>
      </c>
    </row>
    <row r="271" spans="1:4" x14ac:dyDescent="0.25">
      <c r="A271" s="8" t="s">
        <v>281</v>
      </c>
      <c r="B271" s="14" t="s">
        <v>211</v>
      </c>
      <c r="C271" s="10" t="s">
        <v>212</v>
      </c>
      <c r="D271" s="11" t="s">
        <v>8</v>
      </c>
    </row>
    <row r="272" spans="1:4" x14ac:dyDescent="0.25">
      <c r="A272" s="8" t="s">
        <v>282</v>
      </c>
      <c r="B272" s="14" t="s">
        <v>211</v>
      </c>
      <c r="C272" s="10" t="s">
        <v>212</v>
      </c>
      <c r="D272" s="11" t="s">
        <v>8</v>
      </c>
    </row>
    <row r="273" spans="1:4" x14ac:dyDescent="0.25">
      <c r="A273" s="8" t="s">
        <v>283</v>
      </c>
      <c r="B273" s="14" t="s">
        <v>211</v>
      </c>
      <c r="C273" s="10" t="s">
        <v>212</v>
      </c>
      <c r="D273" s="11" t="s">
        <v>8</v>
      </c>
    </row>
    <row r="274" spans="1:4" x14ac:dyDescent="0.25">
      <c r="A274" s="8" t="s">
        <v>284</v>
      </c>
      <c r="B274" s="14" t="s">
        <v>211</v>
      </c>
      <c r="C274" s="10" t="s">
        <v>212</v>
      </c>
      <c r="D274" s="11" t="s">
        <v>8</v>
      </c>
    </row>
    <row r="275" spans="1:4" x14ac:dyDescent="0.25">
      <c r="A275" s="8" t="s">
        <v>285</v>
      </c>
      <c r="B275" s="14" t="s">
        <v>211</v>
      </c>
      <c r="C275" s="10" t="s">
        <v>212</v>
      </c>
      <c r="D275" s="11" t="s">
        <v>8</v>
      </c>
    </row>
    <row r="276" spans="1:4" x14ac:dyDescent="0.25">
      <c r="A276" s="8" t="s">
        <v>286</v>
      </c>
      <c r="B276" s="14" t="s">
        <v>211</v>
      </c>
      <c r="C276" s="10" t="s">
        <v>212</v>
      </c>
      <c r="D276" s="11" t="s">
        <v>8</v>
      </c>
    </row>
    <row r="277" spans="1:4" x14ac:dyDescent="0.25">
      <c r="A277" s="8" t="s">
        <v>287</v>
      </c>
      <c r="B277" s="14" t="s">
        <v>211</v>
      </c>
      <c r="C277" s="10" t="s">
        <v>212</v>
      </c>
      <c r="D277" s="11" t="s">
        <v>8</v>
      </c>
    </row>
    <row r="278" spans="1:4" x14ac:dyDescent="0.25">
      <c r="A278" s="8" t="s">
        <v>288</v>
      </c>
      <c r="B278" s="14" t="s">
        <v>211</v>
      </c>
      <c r="C278" s="10" t="s">
        <v>212</v>
      </c>
      <c r="D278" s="11" t="s">
        <v>8</v>
      </c>
    </row>
    <row r="279" spans="1:4" x14ac:dyDescent="0.25">
      <c r="A279" s="8" t="s">
        <v>289</v>
      </c>
      <c r="B279" s="14" t="s">
        <v>211</v>
      </c>
      <c r="C279" s="10" t="s">
        <v>212</v>
      </c>
      <c r="D279" s="11" t="s">
        <v>8</v>
      </c>
    </row>
    <row r="280" spans="1:4" x14ac:dyDescent="0.25">
      <c r="A280" s="8" t="s">
        <v>290</v>
      </c>
      <c r="B280" s="14" t="s">
        <v>211</v>
      </c>
      <c r="C280" s="10" t="s">
        <v>212</v>
      </c>
      <c r="D280" s="11" t="s">
        <v>8</v>
      </c>
    </row>
    <row r="281" spans="1:4" x14ac:dyDescent="0.25">
      <c r="A281" s="8" t="s">
        <v>291</v>
      </c>
      <c r="B281" s="14" t="s">
        <v>211</v>
      </c>
      <c r="C281" s="10" t="s">
        <v>212</v>
      </c>
      <c r="D281" s="11" t="s">
        <v>8</v>
      </c>
    </row>
    <row r="282" spans="1:4" x14ac:dyDescent="0.25">
      <c r="A282" s="8" t="s">
        <v>292</v>
      </c>
      <c r="B282" s="14" t="s">
        <v>211</v>
      </c>
      <c r="C282" s="10" t="s">
        <v>212</v>
      </c>
      <c r="D282" s="11" t="s">
        <v>8</v>
      </c>
    </row>
    <row r="283" spans="1:4" x14ac:dyDescent="0.25">
      <c r="A283" s="8" t="s">
        <v>293</v>
      </c>
      <c r="B283" s="14" t="s">
        <v>211</v>
      </c>
      <c r="C283" s="10" t="s">
        <v>212</v>
      </c>
      <c r="D283" s="11" t="s">
        <v>8</v>
      </c>
    </row>
    <row r="284" spans="1:4" x14ac:dyDescent="0.25">
      <c r="A284" s="8" t="s">
        <v>294</v>
      </c>
      <c r="B284" s="14" t="s">
        <v>211</v>
      </c>
      <c r="C284" s="10" t="s">
        <v>212</v>
      </c>
      <c r="D284" s="11" t="s">
        <v>8</v>
      </c>
    </row>
    <row r="285" spans="1:4" x14ac:dyDescent="0.25">
      <c r="A285" s="8" t="s">
        <v>295</v>
      </c>
      <c r="B285" s="14" t="s">
        <v>211</v>
      </c>
      <c r="C285" s="10" t="s">
        <v>212</v>
      </c>
      <c r="D285" s="11" t="s">
        <v>8</v>
      </c>
    </row>
    <row r="286" spans="1:4" x14ac:dyDescent="0.25">
      <c r="A286" s="8" t="s">
        <v>296</v>
      </c>
      <c r="B286" s="14" t="s">
        <v>211</v>
      </c>
      <c r="C286" s="10" t="s">
        <v>212</v>
      </c>
      <c r="D286" s="11" t="s">
        <v>8</v>
      </c>
    </row>
    <row r="287" spans="1:4" x14ac:dyDescent="0.25">
      <c r="A287" s="8" t="s">
        <v>297</v>
      </c>
      <c r="B287" s="14" t="s">
        <v>211</v>
      </c>
      <c r="C287" s="10" t="s">
        <v>212</v>
      </c>
      <c r="D287" s="11" t="s">
        <v>8</v>
      </c>
    </row>
    <row r="288" spans="1:4" x14ac:dyDescent="0.25">
      <c r="A288" s="8" t="s">
        <v>298</v>
      </c>
      <c r="B288" s="14" t="s">
        <v>211</v>
      </c>
      <c r="C288" s="10" t="s">
        <v>212</v>
      </c>
      <c r="D288" s="11" t="s">
        <v>8</v>
      </c>
    </row>
    <row r="289" spans="1:4" x14ac:dyDescent="0.25">
      <c r="A289" s="8" t="s">
        <v>299</v>
      </c>
      <c r="B289" s="14" t="s">
        <v>211</v>
      </c>
      <c r="C289" s="10" t="s">
        <v>212</v>
      </c>
      <c r="D289" s="11" t="s">
        <v>8</v>
      </c>
    </row>
    <row r="290" spans="1:4" x14ac:dyDescent="0.25">
      <c r="A290" s="8" t="s">
        <v>300</v>
      </c>
      <c r="B290" s="14" t="s">
        <v>211</v>
      </c>
      <c r="C290" s="10" t="s">
        <v>212</v>
      </c>
      <c r="D290" s="11" t="s">
        <v>8</v>
      </c>
    </row>
    <row r="291" spans="1:4" x14ac:dyDescent="0.25">
      <c r="A291" s="8" t="s">
        <v>301</v>
      </c>
      <c r="B291" s="14" t="s">
        <v>211</v>
      </c>
      <c r="C291" s="10" t="s">
        <v>212</v>
      </c>
      <c r="D291" s="11" t="s">
        <v>8</v>
      </c>
    </row>
    <row r="292" spans="1:4" x14ac:dyDescent="0.25">
      <c r="A292" s="8" t="s">
        <v>302</v>
      </c>
      <c r="B292" s="14" t="s">
        <v>211</v>
      </c>
      <c r="C292" s="10" t="s">
        <v>212</v>
      </c>
      <c r="D292" s="11" t="s">
        <v>8</v>
      </c>
    </row>
    <row r="293" spans="1:4" x14ac:dyDescent="0.25">
      <c r="A293" s="8" t="s">
        <v>303</v>
      </c>
      <c r="B293" s="14" t="s">
        <v>211</v>
      </c>
      <c r="C293" s="10" t="s">
        <v>212</v>
      </c>
      <c r="D293" s="11" t="s">
        <v>8</v>
      </c>
    </row>
    <row r="294" spans="1:4" x14ac:dyDescent="0.25">
      <c r="A294" s="8" t="s">
        <v>304</v>
      </c>
      <c r="B294" s="14" t="s">
        <v>211</v>
      </c>
      <c r="C294" s="10" t="s">
        <v>212</v>
      </c>
      <c r="D294" s="11" t="s">
        <v>8</v>
      </c>
    </row>
    <row r="295" spans="1:4" x14ac:dyDescent="0.25">
      <c r="A295" s="8" t="s">
        <v>305</v>
      </c>
      <c r="B295" s="14" t="s">
        <v>211</v>
      </c>
      <c r="C295" s="10" t="s">
        <v>212</v>
      </c>
      <c r="D295" s="11" t="s">
        <v>8</v>
      </c>
    </row>
    <row r="296" spans="1:4" x14ac:dyDescent="0.25">
      <c r="A296" s="8" t="s">
        <v>306</v>
      </c>
      <c r="B296" s="14" t="s">
        <v>211</v>
      </c>
      <c r="C296" s="10" t="s">
        <v>212</v>
      </c>
      <c r="D296" s="11" t="s">
        <v>8</v>
      </c>
    </row>
    <row r="297" spans="1:4" x14ac:dyDescent="0.25">
      <c r="A297" s="8" t="s">
        <v>307</v>
      </c>
      <c r="B297" s="14" t="s">
        <v>211</v>
      </c>
      <c r="C297" s="10" t="s">
        <v>212</v>
      </c>
      <c r="D297" s="11" t="s">
        <v>8</v>
      </c>
    </row>
    <row r="298" spans="1:4" x14ac:dyDescent="0.25">
      <c r="A298" s="8" t="s">
        <v>308</v>
      </c>
      <c r="B298" s="14" t="s">
        <v>211</v>
      </c>
      <c r="C298" s="10" t="s">
        <v>212</v>
      </c>
      <c r="D298" s="11" t="s">
        <v>8</v>
      </c>
    </row>
    <row r="299" spans="1:4" x14ac:dyDescent="0.25">
      <c r="A299" s="8" t="s">
        <v>309</v>
      </c>
      <c r="B299" s="14" t="s">
        <v>211</v>
      </c>
      <c r="C299" s="10" t="s">
        <v>212</v>
      </c>
      <c r="D299" s="11" t="s">
        <v>8</v>
      </c>
    </row>
    <row r="300" spans="1:4" x14ac:dyDescent="0.25">
      <c r="A300" s="8" t="s">
        <v>310</v>
      </c>
      <c r="B300" s="14" t="s">
        <v>211</v>
      </c>
      <c r="C300" s="10" t="s">
        <v>212</v>
      </c>
      <c r="D300" s="11" t="s">
        <v>8</v>
      </c>
    </row>
    <row r="301" spans="1:4" x14ac:dyDescent="0.25">
      <c r="A301" s="8" t="s">
        <v>311</v>
      </c>
      <c r="B301" s="14" t="s">
        <v>211</v>
      </c>
      <c r="C301" s="10" t="s">
        <v>212</v>
      </c>
      <c r="D301" s="11" t="s">
        <v>8</v>
      </c>
    </row>
    <row r="302" spans="1:4" x14ac:dyDescent="0.25">
      <c r="A302" s="8" t="s">
        <v>312</v>
      </c>
      <c r="B302" s="14" t="s">
        <v>211</v>
      </c>
      <c r="C302" s="10" t="s">
        <v>212</v>
      </c>
      <c r="D302" s="11" t="s">
        <v>8</v>
      </c>
    </row>
    <row r="303" spans="1:4" x14ac:dyDescent="0.25">
      <c r="A303" s="8" t="s">
        <v>313</v>
      </c>
      <c r="B303" s="14" t="s">
        <v>211</v>
      </c>
      <c r="C303" s="10" t="s">
        <v>212</v>
      </c>
      <c r="D303" s="11" t="s">
        <v>8</v>
      </c>
    </row>
    <row r="304" spans="1:4" x14ac:dyDescent="0.25">
      <c r="A304" s="8" t="s">
        <v>314</v>
      </c>
      <c r="B304" s="14" t="s">
        <v>211</v>
      </c>
      <c r="C304" s="10" t="s">
        <v>212</v>
      </c>
      <c r="D304" s="11" t="s">
        <v>8</v>
      </c>
    </row>
    <row r="305" spans="1:4" x14ac:dyDescent="0.25">
      <c r="A305" s="8" t="s">
        <v>315</v>
      </c>
      <c r="B305" s="14" t="s">
        <v>211</v>
      </c>
      <c r="C305" s="10" t="s">
        <v>212</v>
      </c>
      <c r="D305" s="11" t="s">
        <v>8</v>
      </c>
    </row>
    <row r="306" spans="1:4" x14ac:dyDescent="0.25">
      <c r="A306" s="8" t="s">
        <v>316</v>
      </c>
      <c r="B306" s="14" t="s">
        <v>211</v>
      </c>
      <c r="C306" s="10" t="s">
        <v>212</v>
      </c>
      <c r="D306" s="11" t="s">
        <v>8</v>
      </c>
    </row>
    <row r="307" spans="1:4" x14ac:dyDescent="0.25">
      <c r="A307" s="8" t="s">
        <v>317</v>
      </c>
      <c r="B307" s="14" t="s">
        <v>211</v>
      </c>
      <c r="C307" s="10" t="s">
        <v>212</v>
      </c>
      <c r="D307" s="11" t="s">
        <v>8</v>
      </c>
    </row>
    <row r="308" spans="1:4" x14ac:dyDescent="0.25">
      <c r="A308" s="8" t="s">
        <v>318</v>
      </c>
      <c r="B308" s="14" t="s">
        <v>211</v>
      </c>
      <c r="C308" s="10" t="s">
        <v>212</v>
      </c>
      <c r="D308" s="11" t="s">
        <v>8</v>
      </c>
    </row>
    <row r="309" spans="1:4" x14ac:dyDescent="0.25">
      <c r="A309" s="8" t="s">
        <v>319</v>
      </c>
      <c r="B309" s="14" t="s">
        <v>211</v>
      </c>
      <c r="C309" s="10" t="s">
        <v>212</v>
      </c>
      <c r="D309" s="11" t="s">
        <v>8</v>
      </c>
    </row>
    <row r="310" spans="1:4" x14ac:dyDescent="0.25">
      <c r="A310" s="8" t="s">
        <v>320</v>
      </c>
      <c r="B310" s="14" t="s">
        <v>211</v>
      </c>
      <c r="C310" s="10" t="s">
        <v>212</v>
      </c>
      <c r="D310" s="11" t="s">
        <v>8</v>
      </c>
    </row>
    <row r="311" spans="1:4" x14ac:dyDescent="0.25">
      <c r="A311" s="8" t="s">
        <v>321</v>
      </c>
      <c r="B311" s="14" t="s">
        <v>211</v>
      </c>
      <c r="C311" s="10" t="s">
        <v>212</v>
      </c>
      <c r="D311" s="11" t="s">
        <v>8</v>
      </c>
    </row>
    <row r="312" spans="1:4" x14ac:dyDescent="0.25">
      <c r="A312" s="8" t="s">
        <v>322</v>
      </c>
      <c r="B312" s="14" t="s">
        <v>211</v>
      </c>
      <c r="C312" s="10" t="s">
        <v>212</v>
      </c>
      <c r="D312" s="11" t="s">
        <v>8</v>
      </c>
    </row>
    <row r="313" spans="1:4" x14ac:dyDescent="0.25">
      <c r="A313" s="8" t="s">
        <v>323</v>
      </c>
      <c r="B313" s="14" t="s">
        <v>211</v>
      </c>
      <c r="C313" s="10" t="s">
        <v>212</v>
      </c>
      <c r="D313" s="11" t="s">
        <v>8</v>
      </c>
    </row>
    <row r="314" spans="1:4" x14ac:dyDescent="0.25">
      <c r="A314" s="8" t="s">
        <v>324</v>
      </c>
      <c r="B314" s="14" t="s">
        <v>211</v>
      </c>
      <c r="C314" s="10" t="s">
        <v>212</v>
      </c>
      <c r="D314" s="11" t="s">
        <v>8</v>
      </c>
    </row>
    <row r="315" spans="1:4" x14ac:dyDescent="0.25">
      <c r="A315" s="8" t="s">
        <v>325</v>
      </c>
      <c r="B315" s="14" t="s">
        <v>211</v>
      </c>
      <c r="C315" s="10" t="s">
        <v>212</v>
      </c>
      <c r="D315" s="11" t="s">
        <v>8</v>
      </c>
    </row>
    <row r="316" spans="1:4" x14ac:dyDescent="0.25">
      <c r="A316" s="8" t="s">
        <v>326</v>
      </c>
      <c r="B316" s="14" t="s">
        <v>211</v>
      </c>
      <c r="C316" s="10" t="s">
        <v>212</v>
      </c>
      <c r="D316" s="11" t="s">
        <v>8</v>
      </c>
    </row>
    <row r="317" spans="1:4" x14ac:dyDescent="0.25">
      <c r="A317" s="8" t="s">
        <v>327</v>
      </c>
      <c r="B317" s="14" t="s">
        <v>211</v>
      </c>
      <c r="C317" s="10" t="s">
        <v>212</v>
      </c>
      <c r="D317" s="11" t="s">
        <v>8</v>
      </c>
    </row>
    <row r="318" spans="1:4" x14ac:dyDescent="0.25">
      <c r="A318" s="8" t="s">
        <v>328</v>
      </c>
      <c r="B318" s="14" t="s">
        <v>211</v>
      </c>
      <c r="C318" s="10" t="s">
        <v>212</v>
      </c>
      <c r="D318" s="11" t="s">
        <v>8</v>
      </c>
    </row>
    <row r="319" spans="1:4" x14ac:dyDescent="0.25">
      <c r="A319" s="8" t="s">
        <v>329</v>
      </c>
      <c r="B319" s="14" t="s">
        <v>211</v>
      </c>
      <c r="C319" s="10" t="s">
        <v>212</v>
      </c>
      <c r="D319" s="11" t="s">
        <v>8</v>
      </c>
    </row>
    <row r="320" spans="1:4" x14ac:dyDescent="0.25">
      <c r="A320" s="8" t="s">
        <v>330</v>
      </c>
      <c r="B320" s="14" t="s">
        <v>211</v>
      </c>
      <c r="C320" s="10" t="s">
        <v>212</v>
      </c>
      <c r="D320" s="11" t="s">
        <v>8</v>
      </c>
    </row>
    <row r="321" spans="1:4" x14ac:dyDescent="0.25">
      <c r="A321" s="8" t="s">
        <v>331</v>
      </c>
      <c r="B321" s="14" t="s">
        <v>211</v>
      </c>
      <c r="C321" s="10" t="s">
        <v>212</v>
      </c>
      <c r="D321" s="11" t="s">
        <v>8</v>
      </c>
    </row>
    <row r="322" spans="1:4" x14ac:dyDescent="0.25">
      <c r="A322" s="8" t="s">
        <v>332</v>
      </c>
      <c r="B322" s="14" t="s">
        <v>211</v>
      </c>
      <c r="C322" s="10" t="s">
        <v>212</v>
      </c>
      <c r="D322" s="11" t="s">
        <v>8</v>
      </c>
    </row>
    <row r="323" spans="1:4" x14ac:dyDescent="0.25">
      <c r="A323" s="8" t="s">
        <v>333</v>
      </c>
      <c r="B323" s="14" t="s">
        <v>211</v>
      </c>
      <c r="C323" s="10" t="s">
        <v>212</v>
      </c>
      <c r="D323" s="11" t="s">
        <v>8</v>
      </c>
    </row>
    <row r="324" spans="1:4" x14ac:dyDescent="0.25">
      <c r="A324" s="8" t="s">
        <v>334</v>
      </c>
      <c r="B324" s="14" t="s">
        <v>211</v>
      </c>
      <c r="C324" s="10" t="s">
        <v>212</v>
      </c>
      <c r="D324" s="11" t="s">
        <v>8</v>
      </c>
    </row>
    <row r="325" spans="1:4" x14ac:dyDescent="0.25">
      <c r="A325" s="8" t="s">
        <v>335</v>
      </c>
      <c r="B325" s="14" t="s">
        <v>211</v>
      </c>
      <c r="C325" s="10" t="s">
        <v>212</v>
      </c>
      <c r="D325" s="11" t="s">
        <v>8</v>
      </c>
    </row>
    <row r="326" spans="1:4" x14ac:dyDescent="0.25">
      <c r="A326" s="8" t="s">
        <v>336</v>
      </c>
      <c r="B326" s="14" t="s">
        <v>211</v>
      </c>
      <c r="C326" s="10" t="s">
        <v>212</v>
      </c>
      <c r="D326" s="11" t="s">
        <v>8</v>
      </c>
    </row>
    <row r="327" spans="1:4" x14ac:dyDescent="0.25">
      <c r="A327" s="8" t="s">
        <v>337</v>
      </c>
      <c r="B327" s="14" t="s">
        <v>211</v>
      </c>
      <c r="C327" s="10" t="s">
        <v>212</v>
      </c>
      <c r="D327" s="11" t="s">
        <v>8</v>
      </c>
    </row>
    <row r="328" spans="1:4" x14ac:dyDescent="0.25">
      <c r="A328" s="8" t="s">
        <v>338</v>
      </c>
      <c r="B328" s="14" t="s">
        <v>211</v>
      </c>
      <c r="C328" s="10" t="s">
        <v>212</v>
      </c>
      <c r="D328" s="11" t="s">
        <v>8</v>
      </c>
    </row>
    <row r="329" spans="1:4" x14ac:dyDescent="0.25">
      <c r="A329" s="8" t="s">
        <v>339</v>
      </c>
      <c r="B329" s="14" t="s">
        <v>211</v>
      </c>
      <c r="C329" s="10" t="s">
        <v>212</v>
      </c>
      <c r="D329" s="11" t="s">
        <v>8</v>
      </c>
    </row>
    <row r="330" spans="1:4" x14ac:dyDescent="0.25">
      <c r="A330" s="8" t="s">
        <v>340</v>
      </c>
      <c r="B330" s="14" t="s">
        <v>211</v>
      </c>
      <c r="C330" s="10" t="s">
        <v>212</v>
      </c>
      <c r="D330" s="11" t="s">
        <v>8</v>
      </c>
    </row>
    <row r="331" spans="1:4" x14ac:dyDescent="0.25">
      <c r="A331" s="8" t="s">
        <v>341</v>
      </c>
      <c r="B331" s="14" t="s">
        <v>211</v>
      </c>
      <c r="C331" s="10" t="s">
        <v>212</v>
      </c>
      <c r="D331" s="11" t="s">
        <v>8</v>
      </c>
    </row>
    <row r="332" spans="1:4" x14ac:dyDescent="0.25">
      <c r="A332" s="8" t="s">
        <v>342</v>
      </c>
      <c r="B332" s="14" t="s">
        <v>211</v>
      </c>
      <c r="C332" s="10" t="s">
        <v>212</v>
      </c>
      <c r="D332" s="11" t="s">
        <v>8</v>
      </c>
    </row>
    <row r="333" spans="1:4" x14ac:dyDescent="0.25">
      <c r="A333" s="8" t="s">
        <v>343</v>
      </c>
      <c r="B333" s="14" t="s">
        <v>211</v>
      </c>
      <c r="C333" s="10" t="s">
        <v>212</v>
      </c>
      <c r="D333" s="11" t="s">
        <v>8</v>
      </c>
    </row>
    <row r="334" spans="1:4" x14ac:dyDescent="0.25">
      <c r="A334" s="8" t="s">
        <v>344</v>
      </c>
      <c r="B334" s="14" t="s">
        <v>211</v>
      </c>
      <c r="C334" s="10" t="s">
        <v>212</v>
      </c>
      <c r="D334" s="11" t="s">
        <v>8</v>
      </c>
    </row>
    <row r="335" spans="1:4" x14ac:dyDescent="0.25">
      <c r="A335" s="8" t="s">
        <v>345</v>
      </c>
      <c r="B335" s="14" t="s">
        <v>211</v>
      </c>
      <c r="C335" s="10" t="s">
        <v>212</v>
      </c>
      <c r="D335" s="11" t="s">
        <v>8</v>
      </c>
    </row>
    <row r="336" spans="1:4" x14ac:dyDescent="0.25">
      <c r="A336" s="8" t="s">
        <v>346</v>
      </c>
      <c r="B336" s="14" t="s">
        <v>211</v>
      </c>
      <c r="C336" s="10" t="s">
        <v>212</v>
      </c>
      <c r="D336" s="11" t="s">
        <v>8</v>
      </c>
    </row>
    <row r="337" spans="1:4" x14ac:dyDescent="0.25">
      <c r="A337" s="8" t="s">
        <v>347</v>
      </c>
      <c r="B337" s="14" t="s">
        <v>211</v>
      </c>
      <c r="C337" s="10" t="s">
        <v>212</v>
      </c>
      <c r="D337" s="11" t="s">
        <v>8</v>
      </c>
    </row>
    <row r="338" spans="1:4" x14ac:dyDescent="0.25">
      <c r="A338" s="8" t="s">
        <v>348</v>
      </c>
      <c r="B338" s="14" t="s">
        <v>211</v>
      </c>
      <c r="C338" s="10" t="s">
        <v>212</v>
      </c>
      <c r="D338" s="11" t="s">
        <v>8</v>
      </c>
    </row>
    <row r="339" spans="1:4" x14ac:dyDescent="0.25">
      <c r="A339" s="8" t="s">
        <v>349</v>
      </c>
      <c r="B339" s="14" t="s">
        <v>211</v>
      </c>
      <c r="C339" s="10" t="s">
        <v>212</v>
      </c>
      <c r="D339" s="11" t="s">
        <v>8</v>
      </c>
    </row>
    <row r="340" spans="1:4" x14ac:dyDescent="0.25">
      <c r="A340" s="8" t="s">
        <v>350</v>
      </c>
      <c r="B340" s="14" t="s">
        <v>211</v>
      </c>
      <c r="C340" s="10" t="s">
        <v>212</v>
      </c>
      <c r="D340" s="11" t="s">
        <v>8</v>
      </c>
    </row>
    <row r="341" spans="1:4" x14ac:dyDescent="0.25">
      <c r="A341" s="8" t="s">
        <v>351</v>
      </c>
      <c r="B341" s="14" t="s">
        <v>211</v>
      </c>
      <c r="C341" s="10" t="s">
        <v>212</v>
      </c>
      <c r="D341" s="11" t="s">
        <v>8</v>
      </c>
    </row>
    <row r="342" spans="1:4" x14ac:dyDescent="0.25">
      <c r="A342" s="8" t="s">
        <v>352</v>
      </c>
      <c r="B342" s="14" t="s">
        <v>211</v>
      </c>
      <c r="C342" s="10" t="s">
        <v>212</v>
      </c>
      <c r="D342" s="11" t="s">
        <v>8</v>
      </c>
    </row>
    <row r="343" spans="1:4" x14ac:dyDescent="0.25">
      <c r="A343" s="8" t="s">
        <v>353</v>
      </c>
      <c r="B343" s="14" t="s">
        <v>211</v>
      </c>
      <c r="C343" s="10" t="s">
        <v>212</v>
      </c>
      <c r="D343" s="11" t="s">
        <v>8</v>
      </c>
    </row>
    <row r="344" spans="1:4" x14ac:dyDescent="0.25">
      <c r="A344" s="8" t="s">
        <v>354</v>
      </c>
      <c r="B344" s="14" t="s">
        <v>211</v>
      </c>
      <c r="C344" s="10" t="s">
        <v>212</v>
      </c>
      <c r="D344" s="11" t="s">
        <v>8</v>
      </c>
    </row>
    <row r="345" spans="1:4" x14ac:dyDescent="0.25">
      <c r="A345" s="8" t="s">
        <v>355</v>
      </c>
      <c r="B345" s="14" t="s">
        <v>211</v>
      </c>
      <c r="C345" s="10" t="s">
        <v>212</v>
      </c>
      <c r="D345" s="11" t="s">
        <v>8</v>
      </c>
    </row>
    <row r="346" spans="1:4" x14ac:dyDescent="0.25">
      <c r="A346" s="8" t="s">
        <v>356</v>
      </c>
      <c r="B346" s="14" t="s">
        <v>211</v>
      </c>
      <c r="C346" s="10" t="s">
        <v>212</v>
      </c>
      <c r="D346" s="11" t="s">
        <v>8</v>
      </c>
    </row>
    <row r="347" spans="1:4" x14ac:dyDescent="0.25">
      <c r="A347" s="8" t="s">
        <v>357</v>
      </c>
      <c r="B347" s="14" t="s">
        <v>211</v>
      </c>
      <c r="C347" s="10" t="s">
        <v>212</v>
      </c>
      <c r="D347" s="11" t="s">
        <v>8</v>
      </c>
    </row>
    <row r="348" spans="1:4" x14ac:dyDescent="0.25">
      <c r="A348" s="8" t="s">
        <v>358</v>
      </c>
      <c r="B348" s="14" t="s">
        <v>211</v>
      </c>
      <c r="C348" s="10" t="s">
        <v>212</v>
      </c>
      <c r="D348" s="11" t="s">
        <v>8</v>
      </c>
    </row>
    <row r="349" spans="1:4" x14ac:dyDescent="0.25">
      <c r="A349" s="8" t="s">
        <v>359</v>
      </c>
      <c r="B349" s="14" t="s">
        <v>211</v>
      </c>
      <c r="C349" s="10" t="s">
        <v>212</v>
      </c>
      <c r="D349" s="11" t="s">
        <v>8</v>
      </c>
    </row>
    <row r="350" spans="1:4" x14ac:dyDescent="0.25">
      <c r="A350" s="8" t="s">
        <v>360</v>
      </c>
      <c r="B350" s="14" t="s">
        <v>211</v>
      </c>
      <c r="C350" s="10" t="s">
        <v>212</v>
      </c>
      <c r="D350" s="11" t="s">
        <v>8</v>
      </c>
    </row>
    <row r="351" spans="1:4" x14ac:dyDescent="0.25">
      <c r="A351" s="8" t="s">
        <v>361</v>
      </c>
      <c r="B351" s="14" t="s">
        <v>211</v>
      </c>
      <c r="C351" s="10" t="s">
        <v>212</v>
      </c>
      <c r="D351" s="11" t="s">
        <v>8</v>
      </c>
    </row>
    <row r="352" spans="1:4" x14ac:dyDescent="0.25">
      <c r="A352" s="8" t="s">
        <v>362</v>
      </c>
      <c r="B352" s="14" t="s">
        <v>211</v>
      </c>
      <c r="C352" s="10" t="s">
        <v>212</v>
      </c>
      <c r="D352" s="11" t="s">
        <v>8</v>
      </c>
    </row>
    <row r="353" spans="1:4" x14ac:dyDescent="0.25">
      <c r="A353" s="8" t="s">
        <v>363</v>
      </c>
      <c r="B353" s="14" t="s">
        <v>211</v>
      </c>
      <c r="C353" s="10" t="s">
        <v>212</v>
      </c>
      <c r="D353" s="11" t="s">
        <v>8</v>
      </c>
    </row>
    <row r="354" spans="1:4" x14ac:dyDescent="0.25">
      <c r="A354" s="8" t="s">
        <v>364</v>
      </c>
      <c r="B354" s="14" t="s">
        <v>211</v>
      </c>
      <c r="C354" s="10" t="s">
        <v>212</v>
      </c>
      <c r="D354" s="11" t="s">
        <v>8</v>
      </c>
    </row>
    <row r="355" spans="1:4" x14ac:dyDescent="0.25">
      <c r="A355" s="8" t="s">
        <v>365</v>
      </c>
      <c r="B355" s="14" t="s">
        <v>211</v>
      </c>
      <c r="C355" s="10" t="s">
        <v>212</v>
      </c>
      <c r="D355" s="11" t="s">
        <v>8</v>
      </c>
    </row>
    <row r="356" spans="1:4" x14ac:dyDescent="0.25">
      <c r="A356" s="8" t="s">
        <v>366</v>
      </c>
      <c r="B356" s="14" t="s">
        <v>211</v>
      </c>
      <c r="C356" s="10" t="s">
        <v>212</v>
      </c>
      <c r="D356" s="11" t="s">
        <v>8</v>
      </c>
    </row>
    <row r="357" spans="1:4" x14ac:dyDescent="0.25">
      <c r="A357" s="8" t="s">
        <v>367</v>
      </c>
      <c r="B357" s="14" t="s">
        <v>211</v>
      </c>
      <c r="C357" s="10" t="s">
        <v>212</v>
      </c>
      <c r="D357" s="11" t="s">
        <v>8</v>
      </c>
    </row>
    <row r="358" spans="1:4" x14ac:dyDescent="0.25">
      <c r="A358" s="8" t="s">
        <v>368</v>
      </c>
      <c r="B358" s="14" t="s">
        <v>211</v>
      </c>
      <c r="C358" s="10" t="s">
        <v>212</v>
      </c>
      <c r="D358" s="11" t="s">
        <v>8</v>
      </c>
    </row>
    <row r="359" spans="1:4" x14ac:dyDescent="0.25">
      <c r="A359" s="8" t="s">
        <v>369</v>
      </c>
      <c r="B359" s="14" t="s">
        <v>211</v>
      </c>
      <c r="C359" s="10" t="s">
        <v>212</v>
      </c>
      <c r="D359" s="11" t="s">
        <v>8</v>
      </c>
    </row>
    <row r="360" spans="1:4" x14ac:dyDescent="0.25">
      <c r="A360" s="8" t="s">
        <v>370</v>
      </c>
      <c r="B360" s="14" t="s">
        <v>211</v>
      </c>
      <c r="C360" s="10" t="s">
        <v>212</v>
      </c>
      <c r="D360" s="11" t="s">
        <v>8</v>
      </c>
    </row>
    <row r="361" spans="1:4" x14ac:dyDescent="0.25">
      <c r="A361" s="8" t="s">
        <v>371</v>
      </c>
      <c r="B361" s="14" t="s">
        <v>211</v>
      </c>
      <c r="C361" s="10" t="s">
        <v>212</v>
      </c>
      <c r="D361" s="11" t="s">
        <v>8</v>
      </c>
    </row>
    <row r="362" spans="1:4" x14ac:dyDescent="0.25">
      <c r="A362" s="8" t="s">
        <v>372</v>
      </c>
      <c r="B362" s="14" t="s">
        <v>211</v>
      </c>
      <c r="C362" s="10" t="s">
        <v>212</v>
      </c>
      <c r="D362" s="11" t="s">
        <v>8</v>
      </c>
    </row>
    <row r="363" spans="1:4" x14ac:dyDescent="0.25">
      <c r="A363" s="8" t="s">
        <v>373</v>
      </c>
      <c r="B363" s="14" t="s">
        <v>211</v>
      </c>
      <c r="C363" s="10" t="s">
        <v>212</v>
      </c>
      <c r="D363" s="11" t="s">
        <v>8</v>
      </c>
    </row>
    <row r="364" spans="1:4" x14ac:dyDescent="0.25">
      <c r="A364" s="8" t="s">
        <v>374</v>
      </c>
      <c r="B364" s="14" t="s">
        <v>211</v>
      </c>
      <c r="C364" s="10" t="s">
        <v>212</v>
      </c>
      <c r="D364" s="11" t="s">
        <v>8</v>
      </c>
    </row>
    <row r="365" spans="1:4" x14ac:dyDescent="0.25">
      <c r="A365" s="8" t="s">
        <v>375</v>
      </c>
      <c r="B365" s="14" t="s">
        <v>211</v>
      </c>
      <c r="C365" s="10" t="s">
        <v>212</v>
      </c>
      <c r="D365" s="11" t="s">
        <v>8</v>
      </c>
    </row>
    <row r="366" spans="1:4" x14ac:dyDescent="0.25">
      <c r="A366" s="8" t="s">
        <v>376</v>
      </c>
      <c r="B366" s="14" t="s">
        <v>211</v>
      </c>
      <c r="C366" s="10" t="s">
        <v>212</v>
      </c>
      <c r="D366" s="11" t="s">
        <v>8</v>
      </c>
    </row>
    <row r="367" spans="1:4" x14ac:dyDescent="0.25">
      <c r="A367" s="8" t="s">
        <v>377</v>
      </c>
      <c r="B367" s="14" t="s">
        <v>211</v>
      </c>
      <c r="C367" s="10" t="s">
        <v>212</v>
      </c>
      <c r="D367" s="11" t="s">
        <v>8</v>
      </c>
    </row>
    <row r="368" spans="1:4" x14ac:dyDescent="0.25">
      <c r="A368" s="8" t="s">
        <v>378</v>
      </c>
      <c r="B368" s="14" t="s">
        <v>211</v>
      </c>
      <c r="C368" s="10" t="s">
        <v>212</v>
      </c>
      <c r="D368" s="11" t="s">
        <v>8</v>
      </c>
    </row>
    <row r="369" spans="1:4" x14ac:dyDescent="0.25">
      <c r="A369" s="8" t="s">
        <v>379</v>
      </c>
      <c r="B369" s="14" t="s">
        <v>211</v>
      </c>
      <c r="C369" s="10" t="s">
        <v>212</v>
      </c>
      <c r="D369" s="11" t="s">
        <v>8</v>
      </c>
    </row>
    <row r="370" spans="1:4" x14ac:dyDescent="0.25">
      <c r="A370" s="8" t="s">
        <v>380</v>
      </c>
      <c r="B370" s="14" t="s">
        <v>211</v>
      </c>
      <c r="C370" s="10" t="s">
        <v>212</v>
      </c>
      <c r="D370" s="11" t="s">
        <v>8</v>
      </c>
    </row>
    <row r="371" spans="1:4" x14ac:dyDescent="0.25">
      <c r="A371" s="8" t="s">
        <v>381</v>
      </c>
      <c r="B371" s="14" t="s">
        <v>211</v>
      </c>
      <c r="C371" s="10" t="s">
        <v>212</v>
      </c>
      <c r="D371" s="11" t="s">
        <v>8</v>
      </c>
    </row>
    <row r="372" spans="1:4" x14ac:dyDescent="0.25">
      <c r="A372" s="8" t="s">
        <v>382</v>
      </c>
      <c r="B372" s="14" t="s">
        <v>211</v>
      </c>
      <c r="C372" s="10" t="s">
        <v>212</v>
      </c>
      <c r="D372" s="11" t="s">
        <v>8</v>
      </c>
    </row>
    <row r="373" spans="1:4" x14ac:dyDescent="0.25">
      <c r="A373" s="8" t="s">
        <v>383</v>
      </c>
      <c r="B373" s="14" t="s">
        <v>211</v>
      </c>
      <c r="C373" s="10" t="s">
        <v>212</v>
      </c>
      <c r="D373" s="11" t="s">
        <v>8</v>
      </c>
    </row>
    <row r="374" spans="1:4" x14ac:dyDescent="0.25">
      <c r="A374" s="8" t="s">
        <v>384</v>
      </c>
      <c r="B374" s="14" t="s">
        <v>211</v>
      </c>
      <c r="C374" s="10" t="s">
        <v>212</v>
      </c>
      <c r="D374" s="11" t="s">
        <v>8</v>
      </c>
    </row>
    <row r="375" spans="1:4" x14ac:dyDescent="0.25">
      <c r="A375" s="8" t="s">
        <v>385</v>
      </c>
      <c r="B375" s="14" t="s">
        <v>211</v>
      </c>
      <c r="C375" s="10" t="s">
        <v>212</v>
      </c>
      <c r="D375" s="11" t="s">
        <v>8</v>
      </c>
    </row>
    <row r="376" spans="1:4" x14ac:dyDescent="0.25">
      <c r="A376" s="8" t="s">
        <v>386</v>
      </c>
      <c r="B376" s="14" t="s">
        <v>211</v>
      </c>
      <c r="C376" s="10" t="s">
        <v>212</v>
      </c>
      <c r="D376" s="11" t="s">
        <v>8</v>
      </c>
    </row>
    <row r="377" spans="1:4" x14ac:dyDescent="0.25">
      <c r="A377" s="8" t="s">
        <v>387</v>
      </c>
      <c r="B377" s="14" t="s">
        <v>211</v>
      </c>
      <c r="C377" s="10" t="s">
        <v>212</v>
      </c>
      <c r="D377" s="11" t="s">
        <v>8</v>
      </c>
    </row>
    <row r="378" spans="1:4" x14ac:dyDescent="0.25">
      <c r="A378" s="8" t="s">
        <v>388</v>
      </c>
      <c r="B378" s="14" t="s">
        <v>211</v>
      </c>
      <c r="C378" s="10" t="s">
        <v>212</v>
      </c>
      <c r="D378" s="11" t="s">
        <v>8</v>
      </c>
    </row>
    <row r="379" spans="1:4" x14ac:dyDescent="0.25">
      <c r="A379" s="8" t="s">
        <v>389</v>
      </c>
      <c r="B379" s="14" t="s">
        <v>211</v>
      </c>
      <c r="C379" s="10" t="s">
        <v>212</v>
      </c>
      <c r="D379" s="11" t="s">
        <v>8</v>
      </c>
    </row>
    <row r="380" spans="1:4" x14ac:dyDescent="0.25">
      <c r="A380" s="8" t="s">
        <v>390</v>
      </c>
      <c r="B380" s="14" t="s">
        <v>211</v>
      </c>
      <c r="C380" s="10" t="s">
        <v>212</v>
      </c>
      <c r="D380" s="11" t="s">
        <v>8</v>
      </c>
    </row>
    <row r="381" spans="1:4" x14ac:dyDescent="0.25">
      <c r="A381" s="8" t="s">
        <v>391</v>
      </c>
      <c r="B381" s="14" t="s">
        <v>211</v>
      </c>
      <c r="C381" s="10" t="s">
        <v>212</v>
      </c>
      <c r="D381" s="11" t="s">
        <v>8</v>
      </c>
    </row>
    <row r="382" spans="1:4" x14ac:dyDescent="0.25">
      <c r="A382" s="8" t="s">
        <v>392</v>
      </c>
      <c r="B382" s="14" t="s">
        <v>211</v>
      </c>
      <c r="C382" s="10" t="s">
        <v>212</v>
      </c>
      <c r="D382" s="11" t="s">
        <v>8</v>
      </c>
    </row>
    <row r="383" spans="1:4" x14ac:dyDescent="0.25">
      <c r="A383" s="8" t="s">
        <v>393</v>
      </c>
      <c r="B383" s="14" t="s">
        <v>211</v>
      </c>
      <c r="C383" s="10" t="s">
        <v>212</v>
      </c>
      <c r="D383" s="11" t="s">
        <v>8</v>
      </c>
    </row>
    <row r="384" spans="1:4" x14ac:dyDescent="0.25">
      <c r="A384" s="8" t="s">
        <v>394</v>
      </c>
      <c r="B384" s="14" t="s">
        <v>211</v>
      </c>
      <c r="C384" s="10" t="s">
        <v>212</v>
      </c>
      <c r="D384" s="11" t="s">
        <v>8</v>
      </c>
    </row>
    <row r="385" spans="1:4" x14ac:dyDescent="0.25">
      <c r="A385" s="8" t="s">
        <v>395</v>
      </c>
      <c r="B385" s="14" t="s">
        <v>211</v>
      </c>
      <c r="C385" s="10" t="s">
        <v>212</v>
      </c>
      <c r="D385" s="11" t="s">
        <v>8</v>
      </c>
    </row>
    <row r="386" spans="1:4" x14ac:dyDescent="0.25">
      <c r="A386" s="8" t="s">
        <v>396</v>
      </c>
      <c r="B386" s="14" t="s">
        <v>211</v>
      </c>
      <c r="C386" s="10" t="s">
        <v>212</v>
      </c>
      <c r="D386" s="11" t="s">
        <v>8</v>
      </c>
    </row>
    <row r="387" spans="1:4" x14ac:dyDescent="0.25">
      <c r="A387" s="8" t="s">
        <v>397</v>
      </c>
      <c r="B387" s="14" t="s">
        <v>211</v>
      </c>
      <c r="C387" s="10" t="s">
        <v>212</v>
      </c>
      <c r="D387" s="11" t="s">
        <v>8</v>
      </c>
    </row>
    <row r="388" spans="1:4" x14ac:dyDescent="0.25">
      <c r="A388" s="8" t="s">
        <v>398</v>
      </c>
      <c r="B388" s="14" t="s">
        <v>211</v>
      </c>
      <c r="C388" s="10" t="s">
        <v>212</v>
      </c>
      <c r="D388" s="11" t="s">
        <v>8</v>
      </c>
    </row>
    <row r="389" spans="1:4" x14ac:dyDescent="0.25">
      <c r="A389" s="8" t="s">
        <v>399</v>
      </c>
      <c r="B389" s="14" t="s">
        <v>211</v>
      </c>
      <c r="C389" s="10" t="s">
        <v>212</v>
      </c>
      <c r="D389" s="11" t="s">
        <v>8</v>
      </c>
    </row>
    <row r="390" spans="1:4" x14ac:dyDescent="0.25">
      <c r="A390" s="8" t="s">
        <v>400</v>
      </c>
      <c r="B390" s="14" t="s">
        <v>211</v>
      </c>
      <c r="C390" s="10" t="s">
        <v>212</v>
      </c>
      <c r="D390" s="11" t="s">
        <v>8</v>
      </c>
    </row>
    <row r="391" spans="1:4" x14ac:dyDescent="0.25">
      <c r="A391" s="8" t="s">
        <v>401</v>
      </c>
      <c r="B391" s="14" t="s">
        <v>211</v>
      </c>
      <c r="C391" s="10" t="s">
        <v>212</v>
      </c>
      <c r="D391" s="11" t="s">
        <v>8</v>
      </c>
    </row>
    <row r="392" spans="1:4" x14ac:dyDescent="0.25">
      <c r="A392" s="8" t="s">
        <v>402</v>
      </c>
      <c r="B392" s="14" t="s">
        <v>211</v>
      </c>
      <c r="C392" s="10" t="s">
        <v>212</v>
      </c>
      <c r="D392" s="11" t="s">
        <v>8</v>
      </c>
    </row>
    <row r="393" spans="1:4" x14ac:dyDescent="0.25">
      <c r="A393" s="8" t="s">
        <v>403</v>
      </c>
      <c r="B393" s="14" t="s">
        <v>211</v>
      </c>
      <c r="C393" s="10" t="s">
        <v>212</v>
      </c>
      <c r="D393" s="11" t="s">
        <v>8</v>
      </c>
    </row>
    <row r="394" spans="1:4" x14ac:dyDescent="0.25">
      <c r="A394" s="8" t="s">
        <v>404</v>
      </c>
      <c r="B394" s="14" t="s">
        <v>211</v>
      </c>
      <c r="C394" s="10" t="s">
        <v>212</v>
      </c>
      <c r="D394" s="11" t="s">
        <v>8</v>
      </c>
    </row>
    <row r="395" spans="1:4" x14ac:dyDescent="0.25">
      <c r="A395" s="8" t="s">
        <v>405</v>
      </c>
      <c r="B395" s="14" t="s">
        <v>211</v>
      </c>
      <c r="C395" s="10" t="s">
        <v>212</v>
      </c>
      <c r="D395" s="11" t="s">
        <v>8</v>
      </c>
    </row>
    <row r="396" spans="1:4" x14ac:dyDescent="0.25">
      <c r="A396" s="8" t="s">
        <v>406</v>
      </c>
      <c r="B396" s="14" t="s">
        <v>211</v>
      </c>
      <c r="C396" s="10" t="s">
        <v>212</v>
      </c>
      <c r="D396" s="11" t="s">
        <v>8</v>
      </c>
    </row>
    <row r="397" spans="1:4" x14ac:dyDescent="0.25">
      <c r="A397" s="8" t="s">
        <v>407</v>
      </c>
      <c r="B397" s="14" t="s">
        <v>211</v>
      </c>
      <c r="C397" s="10" t="s">
        <v>212</v>
      </c>
      <c r="D397" s="11" t="s">
        <v>8</v>
      </c>
    </row>
    <row r="398" spans="1:4" x14ac:dyDescent="0.25">
      <c r="A398" s="8" t="s">
        <v>408</v>
      </c>
      <c r="B398" s="14" t="s">
        <v>211</v>
      </c>
      <c r="C398" s="10" t="s">
        <v>212</v>
      </c>
      <c r="D398" s="11" t="s">
        <v>8</v>
      </c>
    </row>
    <row r="399" spans="1:4" x14ac:dyDescent="0.25">
      <c r="A399" s="8" t="s">
        <v>409</v>
      </c>
      <c r="B399" s="14" t="s">
        <v>211</v>
      </c>
      <c r="C399" s="10" t="s">
        <v>212</v>
      </c>
      <c r="D399" s="11" t="s">
        <v>8</v>
      </c>
    </row>
    <row r="400" spans="1:4" x14ac:dyDescent="0.25">
      <c r="A400" s="8" t="s">
        <v>410</v>
      </c>
      <c r="B400" s="14" t="s">
        <v>211</v>
      </c>
      <c r="C400" s="10" t="s">
        <v>212</v>
      </c>
      <c r="D400" s="11" t="s">
        <v>8</v>
      </c>
    </row>
    <row r="401" spans="1:4" x14ac:dyDescent="0.25">
      <c r="A401" s="8" t="s">
        <v>411</v>
      </c>
      <c r="B401" s="14" t="s">
        <v>211</v>
      </c>
      <c r="C401" s="10" t="s">
        <v>212</v>
      </c>
      <c r="D401" s="11" t="s">
        <v>8</v>
      </c>
    </row>
    <row r="402" spans="1:4" x14ac:dyDescent="0.25">
      <c r="A402" s="8" t="s">
        <v>412</v>
      </c>
      <c r="B402" s="14" t="s">
        <v>211</v>
      </c>
      <c r="C402" s="10" t="s">
        <v>212</v>
      </c>
      <c r="D402" s="11" t="s">
        <v>8</v>
      </c>
    </row>
    <row r="403" spans="1:4" x14ac:dyDescent="0.25">
      <c r="A403" s="8" t="s">
        <v>413</v>
      </c>
      <c r="B403" s="14" t="s">
        <v>211</v>
      </c>
      <c r="C403" s="10" t="s">
        <v>212</v>
      </c>
      <c r="D403" s="11" t="s">
        <v>8</v>
      </c>
    </row>
    <row r="404" spans="1:4" x14ac:dyDescent="0.25">
      <c r="A404" s="8" t="s">
        <v>414</v>
      </c>
      <c r="B404" s="14" t="s">
        <v>211</v>
      </c>
      <c r="C404" s="10" t="s">
        <v>212</v>
      </c>
      <c r="D404" s="11" t="s">
        <v>8</v>
      </c>
    </row>
    <row r="405" spans="1:4" x14ac:dyDescent="0.25">
      <c r="A405" s="8" t="s">
        <v>415</v>
      </c>
      <c r="B405" s="14" t="s">
        <v>211</v>
      </c>
      <c r="C405" s="10" t="s">
        <v>212</v>
      </c>
      <c r="D405" s="11" t="s">
        <v>8</v>
      </c>
    </row>
    <row r="406" spans="1:4" x14ac:dyDescent="0.25">
      <c r="A406" s="8" t="s">
        <v>416</v>
      </c>
      <c r="B406" s="14" t="s">
        <v>211</v>
      </c>
      <c r="C406" s="10" t="s">
        <v>212</v>
      </c>
      <c r="D406" s="11" t="s">
        <v>8</v>
      </c>
    </row>
    <row r="407" spans="1:4" x14ac:dyDescent="0.25">
      <c r="A407" s="8" t="s">
        <v>417</v>
      </c>
      <c r="B407" s="14" t="s">
        <v>211</v>
      </c>
      <c r="C407" s="10" t="s">
        <v>212</v>
      </c>
      <c r="D407" s="11" t="s">
        <v>8</v>
      </c>
    </row>
    <row r="408" spans="1:4" x14ac:dyDescent="0.25">
      <c r="A408" s="8" t="s">
        <v>418</v>
      </c>
      <c r="B408" s="14" t="s">
        <v>211</v>
      </c>
      <c r="C408" s="10" t="s">
        <v>212</v>
      </c>
      <c r="D408" s="11" t="s">
        <v>8</v>
      </c>
    </row>
    <row r="409" spans="1:4" x14ac:dyDescent="0.25">
      <c r="A409" s="8" t="s">
        <v>419</v>
      </c>
      <c r="B409" s="14" t="s">
        <v>211</v>
      </c>
      <c r="C409" s="10" t="s">
        <v>212</v>
      </c>
      <c r="D409" s="11" t="s">
        <v>8</v>
      </c>
    </row>
    <row r="410" spans="1:4" x14ac:dyDescent="0.25">
      <c r="A410" s="8" t="s">
        <v>420</v>
      </c>
      <c r="B410" s="14" t="s">
        <v>211</v>
      </c>
      <c r="C410" s="10" t="s">
        <v>212</v>
      </c>
      <c r="D410" s="11" t="s">
        <v>8</v>
      </c>
    </row>
    <row r="411" spans="1:4" x14ac:dyDescent="0.25">
      <c r="A411" s="8" t="s">
        <v>421</v>
      </c>
      <c r="B411" s="14" t="s">
        <v>211</v>
      </c>
      <c r="C411" s="10" t="s">
        <v>212</v>
      </c>
      <c r="D411" s="11" t="s">
        <v>8</v>
      </c>
    </row>
    <row r="412" spans="1:4" x14ac:dyDescent="0.25">
      <c r="A412" s="8" t="s">
        <v>422</v>
      </c>
      <c r="B412" s="14" t="s">
        <v>211</v>
      </c>
      <c r="C412" s="10" t="s">
        <v>212</v>
      </c>
      <c r="D412" s="11" t="s">
        <v>8</v>
      </c>
    </row>
    <row r="413" spans="1:4" x14ac:dyDescent="0.25">
      <c r="A413" s="8" t="s">
        <v>423</v>
      </c>
      <c r="B413" s="14" t="s">
        <v>211</v>
      </c>
      <c r="C413" s="10" t="s">
        <v>212</v>
      </c>
      <c r="D413" s="11" t="s">
        <v>8</v>
      </c>
    </row>
    <row r="414" spans="1:4" x14ac:dyDescent="0.25">
      <c r="A414" s="8" t="s">
        <v>424</v>
      </c>
      <c r="B414" s="14" t="s">
        <v>211</v>
      </c>
      <c r="C414" s="10" t="s">
        <v>212</v>
      </c>
      <c r="D414" s="11" t="s">
        <v>8</v>
      </c>
    </row>
    <row r="415" spans="1:4" x14ac:dyDescent="0.25">
      <c r="A415" s="8" t="s">
        <v>425</v>
      </c>
      <c r="B415" s="14" t="s">
        <v>211</v>
      </c>
      <c r="C415" s="10" t="s">
        <v>212</v>
      </c>
      <c r="D415" s="11" t="s">
        <v>8</v>
      </c>
    </row>
    <row r="416" spans="1:4" x14ac:dyDescent="0.25">
      <c r="A416" s="8" t="s">
        <v>426</v>
      </c>
      <c r="B416" s="14" t="s">
        <v>211</v>
      </c>
      <c r="C416" s="10" t="s">
        <v>212</v>
      </c>
      <c r="D416" s="11" t="s">
        <v>8</v>
      </c>
    </row>
    <row r="417" spans="1:4" x14ac:dyDescent="0.25">
      <c r="A417" s="8" t="s">
        <v>427</v>
      </c>
      <c r="B417" s="14" t="s">
        <v>211</v>
      </c>
      <c r="C417" s="10" t="s">
        <v>212</v>
      </c>
      <c r="D417" s="11" t="s">
        <v>8</v>
      </c>
    </row>
    <row r="418" spans="1:4" x14ac:dyDescent="0.25">
      <c r="A418" s="8" t="s">
        <v>428</v>
      </c>
      <c r="B418" s="14" t="s">
        <v>211</v>
      </c>
      <c r="C418" s="10" t="s">
        <v>212</v>
      </c>
      <c r="D418" s="11" t="s">
        <v>8</v>
      </c>
    </row>
    <row r="419" spans="1:4" x14ac:dyDescent="0.25">
      <c r="A419" s="8" t="s">
        <v>429</v>
      </c>
      <c r="B419" s="14" t="s">
        <v>211</v>
      </c>
      <c r="C419" s="10" t="s">
        <v>212</v>
      </c>
      <c r="D419" s="11" t="s">
        <v>8</v>
      </c>
    </row>
    <row r="420" spans="1:4" x14ac:dyDescent="0.25">
      <c r="A420" s="8" t="s">
        <v>430</v>
      </c>
      <c r="B420" s="14" t="s">
        <v>211</v>
      </c>
      <c r="C420" s="10" t="s">
        <v>212</v>
      </c>
      <c r="D420" s="11" t="s">
        <v>8</v>
      </c>
    </row>
    <row r="421" spans="1:4" x14ac:dyDescent="0.25">
      <c r="A421" s="8" t="s">
        <v>431</v>
      </c>
      <c r="B421" s="14" t="s">
        <v>211</v>
      </c>
      <c r="C421" s="10" t="s">
        <v>212</v>
      </c>
      <c r="D421" s="11" t="s">
        <v>8</v>
      </c>
    </row>
    <row r="422" spans="1:4" x14ac:dyDescent="0.25">
      <c r="A422" s="8" t="s">
        <v>432</v>
      </c>
      <c r="B422" s="14" t="s">
        <v>211</v>
      </c>
      <c r="C422" s="10" t="s">
        <v>212</v>
      </c>
      <c r="D422" s="11" t="s">
        <v>8</v>
      </c>
    </row>
    <row r="423" spans="1:4" x14ac:dyDescent="0.25">
      <c r="A423" s="8" t="s">
        <v>433</v>
      </c>
      <c r="B423" s="14" t="s">
        <v>211</v>
      </c>
      <c r="C423" s="10" t="s">
        <v>212</v>
      </c>
      <c r="D423" s="11" t="s">
        <v>8</v>
      </c>
    </row>
    <row r="424" spans="1:4" x14ac:dyDescent="0.25">
      <c r="A424" s="8" t="s">
        <v>434</v>
      </c>
      <c r="B424" s="14" t="s">
        <v>211</v>
      </c>
      <c r="C424" s="10" t="s">
        <v>212</v>
      </c>
      <c r="D424" s="11" t="s">
        <v>8</v>
      </c>
    </row>
    <row r="425" spans="1:4" x14ac:dyDescent="0.25">
      <c r="A425" s="8" t="s">
        <v>435</v>
      </c>
      <c r="B425" s="14" t="s">
        <v>211</v>
      </c>
      <c r="C425" s="10" t="s">
        <v>212</v>
      </c>
      <c r="D425" s="11" t="s">
        <v>8</v>
      </c>
    </row>
    <row r="426" spans="1:4" x14ac:dyDescent="0.25">
      <c r="A426" s="8" t="s">
        <v>436</v>
      </c>
      <c r="B426" s="14" t="s">
        <v>211</v>
      </c>
      <c r="C426" s="10" t="s">
        <v>212</v>
      </c>
      <c r="D426" s="11" t="s">
        <v>8</v>
      </c>
    </row>
    <row r="427" spans="1:4" x14ac:dyDescent="0.25">
      <c r="A427" s="8" t="s">
        <v>437</v>
      </c>
      <c r="B427" s="14" t="s">
        <v>211</v>
      </c>
      <c r="C427" s="10" t="s">
        <v>212</v>
      </c>
      <c r="D427" s="11" t="s">
        <v>8</v>
      </c>
    </row>
    <row r="428" spans="1:4" x14ac:dyDescent="0.25">
      <c r="A428" s="8" t="s">
        <v>438</v>
      </c>
      <c r="B428" s="14" t="s">
        <v>211</v>
      </c>
      <c r="C428" s="10" t="s">
        <v>212</v>
      </c>
      <c r="D428" s="11" t="s">
        <v>8</v>
      </c>
    </row>
    <row r="429" spans="1:4" x14ac:dyDescent="0.25">
      <c r="A429" s="8" t="s">
        <v>439</v>
      </c>
      <c r="B429" s="14" t="s">
        <v>211</v>
      </c>
      <c r="C429" s="10" t="s">
        <v>212</v>
      </c>
      <c r="D429" s="11" t="s">
        <v>8</v>
      </c>
    </row>
    <row r="430" spans="1:4" x14ac:dyDescent="0.25">
      <c r="A430" s="8" t="s">
        <v>440</v>
      </c>
      <c r="B430" s="14" t="s">
        <v>211</v>
      </c>
      <c r="C430" s="10" t="s">
        <v>212</v>
      </c>
      <c r="D430" s="11" t="s">
        <v>8</v>
      </c>
    </row>
    <row r="431" spans="1:4" x14ac:dyDescent="0.25">
      <c r="A431" s="8" t="s">
        <v>441</v>
      </c>
      <c r="B431" s="14" t="s">
        <v>211</v>
      </c>
      <c r="C431" s="10" t="s">
        <v>212</v>
      </c>
      <c r="D431" s="11" t="s">
        <v>8</v>
      </c>
    </row>
    <row r="432" spans="1:4" x14ac:dyDescent="0.25">
      <c r="A432" s="8" t="s">
        <v>442</v>
      </c>
      <c r="B432" s="14" t="s">
        <v>211</v>
      </c>
      <c r="C432" s="10" t="s">
        <v>212</v>
      </c>
      <c r="D432" s="11" t="s">
        <v>8</v>
      </c>
    </row>
    <row r="433" spans="1:4" x14ac:dyDescent="0.25">
      <c r="A433" s="8" t="s">
        <v>443</v>
      </c>
      <c r="B433" s="14" t="s">
        <v>211</v>
      </c>
      <c r="C433" s="10" t="s">
        <v>212</v>
      </c>
      <c r="D433" s="11" t="s">
        <v>8</v>
      </c>
    </row>
    <row r="434" spans="1:4" x14ac:dyDescent="0.25">
      <c r="A434" s="8" t="s">
        <v>444</v>
      </c>
      <c r="B434" s="14" t="s">
        <v>211</v>
      </c>
      <c r="C434" s="10" t="s">
        <v>212</v>
      </c>
      <c r="D434" s="11" t="s">
        <v>8</v>
      </c>
    </row>
    <row r="435" spans="1:4" x14ac:dyDescent="0.25">
      <c r="A435" s="8" t="s">
        <v>445</v>
      </c>
      <c r="B435" s="14" t="s">
        <v>211</v>
      </c>
      <c r="C435" s="10" t="s">
        <v>212</v>
      </c>
      <c r="D435" s="11" t="s">
        <v>8</v>
      </c>
    </row>
    <row r="436" spans="1:4" x14ac:dyDescent="0.25">
      <c r="A436" s="8" t="s">
        <v>446</v>
      </c>
      <c r="B436" s="14" t="s">
        <v>211</v>
      </c>
      <c r="C436" s="10" t="s">
        <v>212</v>
      </c>
      <c r="D436" s="11" t="s">
        <v>8</v>
      </c>
    </row>
    <row r="437" spans="1:4" x14ac:dyDescent="0.25">
      <c r="A437" s="8" t="s">
        <v>447</v>
      </c>
      <c r="B437" s="14" t="s">
        <v>211</v>
      </c>
      <c r="C437" s="10" t="s">
        <v>212</v>
      </c>
      <c r="D437" s="11" t="s">
        <v>8</v>
      </c>
    </row>
    <row r="438" spans="1:4" x14ac:dyDescent="0.25">
      <c r="A438" s="8" t="s">
        <v>448</v>
      </c>
      <c r="B438" s="14" t="s">
        <v>211</v>
      </c>
      <c r="C438" s="10" t="s">
        <v>212</v>
      </c>
      <c r="D438" s="11" t="s">
        <v>8</v>
      </c>
    </row>
    <row r="439" spans="1:4" x14ac:dyDescent="0.25">
      <c r="A439" s="8" t="s">
        <v>449</v>
      </c>
      <c r="B439" s="14" t="s">
        <v>211</v>
      </c>
      <c r="C439" s="10" t="s">
        <v>212</v>
      </c>
      <c r="D439" s="11" t="s">
        <v>8</v>
      </c>
    </row>
    <row r="440" spans="1:4" x14ac:dyDescent="0.25">
      <c r="A440" s="8" t="s">
        <v>450</v>
      </c>
      <c r="B440" s="14" t="s">
        <v>211</v>
      </c>
      <c r="C440" s="10" t="s">
        <v>212</v>
      </c>
      <c r="D440" s="11" t="s">
        <v>8</v>
      </c>
    </row>
    <row r="441" spans="1:4" x14ac:dyDescent="0.25">
      <c r="A441" s="8" t="s">
        <v>451</v>
      </c>
      <c r="B441" s="14" t="s">
        <v>211</v>
      </c>
      <c r="C441" s="10" t="s">
        <v>212</v>
      </c>
      <c r="D441" s="11" t="s">
        <v>8</v>
      </c>
    </row>
    <row r="442" spans="1:4" x14ac:dyDescent="0.25">
      <c r="A442" s="8" t="s">
        <v>452</v>
      </c>
      <c r="B442" s="14" t="s">
        <v>211</v>
      </c>
      <c r="C442" s="10" t="s">
        <v>212</v>
      </c>
      <c r="D442" s="11" t="s">
        <v>8</v>
      </c>
    </row>
    <row r="443" spans="1:4" x14ac:dyDescent="0.25">
      <c r="A443" s="8" t="s">
        <v>453</v>
      </c>
      <c r="B443" s="14" t="s">
        <v>211</v>
      </c>
      <c r="C443" s="10" t="s">
        <v>212</v>
      </c>
      <c r="D443" s="11" t="s">
        <v>8</v>
      </c>
    </row>
    <row r="444" spans="1:4" x14ac:dyDescent="0.25">
      <c r="A444" s="8" t="s">
        <v>454</v>
      </c>
      <c r="B444" s="14" t="s">
        <v>211</v>
      </c>
      <c r="C444" s="10" t="s">
        <v>212</v>
      </c>
      <c r="D444" s="11" t="s">
        <v>8</v>
      </c>
    </row>
    <row r="445" spans="1:4" x14ac:dyDescent="0.25">
      <c r="A445" s="8" t="s">
        <v>455</v>
      </c>
      <c r="B445" s="14" t="s">
        <v>211</v>
      </c>
      <c r="C445" s="10" t="s">
        <v>212</v>
      </c>
      <c r="D445" s="11" t="s">
        <v>8</v>
      </c>
    </row>
    <row r="446" spans="1:4" x14ac:dyDescent="0.25">
      <c r="A446" s="8" t="s">
        <v>456</v>
      </c>
      <c r="B446" s="14" t="s">
        <v>211</v>
      </c>
      <c r="C446" s="10" t="s">
        <v>212</v>
      </c>
      <c r="D446" s="11" t="s">
        <v>8</v>
      </c>
    </row>
    <row r="447" spans="1:4" x14ac:dyDescent="0.25">
      <c r="A447" s="8" t="s">
        <v>457</v>
      </c>
      <c r="B447" s="14" t="s">
        <v>211</v>
      </c>
      <c r="C447" s="10" t="s">
        <v>212</v>
      </c>
      <c r="D447" s="11" t="s">
        <v>8</v>
      </c>
    </row>
    <row r="448" spans="1:4" x14ac:dyDescent="0.25">
      <c r="A448" s="8" t="s">
        <v>458</v>
      </c>
      <c r="B448" s="14" t="s">
        <v>211</v>
      </c>
      <c r="C448" s="10" t="s">
        <v>212</v>
      </c>
      <c r="D448" s="11" t="s">
        <v>8</v>
      </c>
    </row>
    <row r="449" spans="1:4" x14ac:dyDescent="0.25">
      <c r="A449" s="8" t="s">
        <v>459</v>
      </c>
      <c r="B449" s="14" t="s">
        <v>211</v>
      </c>
      <c r="C449" s="10" t="s">
        <v>212</v>
      </c>
      <c r="D449" s="11" t="s">
        <v>8</v>
      </c>
    </row>
    <row r="450" spans="1:4" x14ac:dyDescent="0.25">
      <c r="A450" s="8" t="s">
        <v>460</v>
      </c>
      <c r="B450" s="14" t="s">
        <v>211</v>
      </c>
      <c r="C450" s="10" t="s">
        <v>212</v>
      </c>
      <c r="D450" s="11" t="s">
        <v>8</v>
      </c>
    </row>
    <row r="451" spans="1:4" x14ac:dyDescent="0.25">
      <c r="A451" s="8" t="s">
        <v>461</v>
      </c>
      <c r="B451" s="14" t="s">
        <v>211</v>
      </c>
      <c r="C451" s="10" t="s">
        <v>212</v>
      </c>
      <c r="D451" s="11" t="s">
        <v>8</v>
      </c>
    </row>
    <row r="452" spans="1:4" x14ac:dyDescent="0.25">
      <c r="A452" s="8" t="s">
        <v>462</v>
      </c>
      <c r="B452" s="14" t="s">
        <v>211</v>
      </c>
      <c r="C452" s="10" t="s">
        <v>212</v>
      </c>
      <c r="D452" s="11" t="s">
        <v>8</v>
      </c>
    </row>
    <row r="453" spans="1:4" x14ac:dyDescent="0.25">
      <c r="A453" s="8" t="s">
        <v>463</v>
      </c>
      <c r="B453" s="14" t="s">
        <v>211</v>
      </c>
      <c r="C453" s="10" t="s">
        <v>212</v>
      </c>
      <c r="D453" s="11" t="s">
        <v>8</v>
      </c>
    </row>
    <row r="454" spans="1:4" x14ac:dyDescent="0.25">
      <c r="A454" s="8" t="s">
        <v>464</v>
      </c>
      <c r="B454" s="14" t="s">
        <v>211</v>
      </c>
      <c r="C454" s="10" t="s">
        <v>212</v>
      </c>
      <c r="D454" s="11" t="s">
        <v>8</v>
      </c>
    </row>
    <row r="455" spans="1:4" x14ac:dyDescent="0.25">
      <c r="A455" s="8" t="s">
        <v>465</v>
      </c>
      <c r="B455" s="14" t="s">
        <v>211</v>
      </c>
      <c r="C455" s="10" t="s">
        <v>212</v>
      </c>
      <c r="D455" s="11" t="s">
        <v>8</v>
      </c>
    </row>
    <row r="456" spans="1:4" x14ac:dyDescent="0.25">
      <c r="A456" s="8" t="s">
        <v>466</v>
      </c>
      <c r="B456" s="14" t="s">
        <v>211</v>
      </c>
      <c r="C456" s="10" t="s">
        <v>212</v>
      </c>
      <c r="D456" s="11" t="s">
        <v>8</v>
      </c>
    </row>
    <row r="457" spans="1:4" x14ac:dyDescent="0.25">
      <c r="A457" s="8" t="s">
        <v>467</v>
      </c>
      <c r="B457" s="14" t="s">
        <v>211</v>
      </c>
      <c r="C457" s="10" t="s">
        <v>212</v>
      </c>
      <c r="D457" s="11" t="s">
        <v>8</v>
      </c>
    </row>
    <row r="458" spans="1:4" x14ac:dyDescent="0.25">
      <c r="A458" s="8" t="s">
        <v>468</v>
      </c>
      <c r="B458" s="14" t="s">
        <v>211</v>
      </c>
      <c r="C458" s="10" t="s">
        <v>212</v>
      </c>
      <c r="D458" s="11" t="s">
        <v>8</v>
      </c>
    </row>
    <row r="459" spans="1:4" x14ac:dyDescent="0.25">
      <c r="A459" s="8" t="s">
        <v>469</v>
      </c>
      <c r="B459" s="14" t="s">
        <v>211</v>
      </c>
      <c r="C459" s="10" t="s">
        <v>212</v>
      </c>
      <c r="D459" s="11" t="s">
        <v>8</v>
      </c>
    </row>
    <row r="460" spans="1:4" x14ac:dyDescent="0.25">
      <c r="A460" s="8" t="s">
        <v>470</v>
      </c>
      <c r="B460" s="14" t="s">
        <v>211</v>
      </c>
      <c r="C460" s="10" t="s">
        <v>212</v>
      </c>
      <c r="D460" s="11" t="s">
        <v>8</v>
      </c>
    </row>
    <row r="461" spans="1:4" x14ac:dyDescent="0.25">
      <c r="A461" s="8" t="s">
        <v>471</v>
      </c>
      <c r="B461" s="14" t="s">
        <v>211</v>
      </c>
      <c r="C461" s="10" t="s">
        <v>212</v>
      </c>
      <c r="D461" s="11" t="s">
        <v>8</v>
      </c>
    </row>
    <row r="462" spans="1:4" x14ac:dyDescent="0.25">
      <c r="A462" s="8" t="s">
        <v>472</v>
      </c>
      <c r="B462" s="14" t="s">
        <v>211</v>
      </c>
      <c r="C462" s="10" t="s">
        <v>212</v>
      </c>
      <c r="D462" s="11" t="s">
        <v>8</v>
      </c>
    </row>
    <row r="463" spans="1:4" x14ac:dyDescent="0.25">
      <c r="A463" s="8" t="s">
        <v>473</v>
      </c>
      <c r="B463" s="14" t="s">
        <v>211</v>
      </c>
      <c r="C463" s="10" t="s">
        <v>212</v>
      </c>
      <c r="D463" s="11" t="s">
        <v>8</v>
      </c>
    </row>
    <row r="464" spans="1:4" x14ac:dyDescent="0.25">
      <c r="A464" s="8" t="s">
        <v>474</v>
      </c>
      <c r="B464" s="14" t="s">
        <v>211</v>
      </c>
      <c r="C464" s="10" t="s">
        <v>212</v>
      </c>
      <c r="D464" s="11" t="s">
        <v>8</v>
      </c>
    </row>
    <row r="465" spans="1:4" x14ac:dyDescent="0.25">
      <c r="A465" s="8" t="s">
        <v>475</v>
      </c>
      <c r="B465" s="14" t="s">
        <v>211</v>
      </c>
      <c r="C465" s="10" t="s">
        <v>212</v>
      </c>
      <c r="D465" s="11" t="s">
        <v>8</v>
      </c>
    </row>
    <row r="466" spans="1:4" x14ac:dyDescent="0.25">
      <c r="A466" s="8" t="s">
        <v>476</v>
      </c>
      <c r="B466" s="14" t="s">
        <v>211</v>
      </c>
      <c r="C466" s="10" t="s">
        <v>212</v>
      </c>
      <c r="D466" s="11" t="s">
        <v>8</v>
      </c>
    </row>
    <row r="467" spans="1:4" x14ac:dyDescent="0.25">
      <c r="A467" s="8" t="s">
        <v>477</v>
      </c>
      <c r="B467" s="14" t="s">
        <v>211</v>
      </c>
      <c r="C467" s="10" t="s">
        <v>212</v>
      </c>
      <c r="D467" s="11" t="s">
        <v>8</v>
      </c>
    </row>
    <row r="468" spans="1:4" x14ac:dyDescent="0.25">
      <c r="A468" s="8" t="s">
        <v>478</v>
      </c>
      <c r="B468" s="14" t="s">
        <v>211</v>
      </c>
      <c r="C468" s="10" t="s">
        <v>212</v>
      </c>
      <c r="D468" s="11" t="s">
        <v>8</v>
      </c>
    </row>
    <row r="469" spans="1:4" x14ac:dyDescent="0.25">
      <c r="A469" s="8" t="s">
        <v>479</v>
      </c>
      <c r="B469" s="14" t="s">
        <v>211</v>
      </c>
      <c r="C469" s="10" t="s">
        <v>212</v>
      </c>
      <c r="D469" s="11" t="s">
        <v>8</v>
      </c>
    </row>
    <row r="470" spans="1:4" x14ac:dyDescent="0.25">
      <c r="A470" s="8" t="s">
        <v>480</v>
      </c>
      <c r="B470" s="14" t="s">
        <v>211</v>
      </c>
      <c r="C470" s="10" t="s">
        <v>212</v>
      </c>
      <c r="D470" s="11" t="s">
        <v>8</v>
      </c>
    </row>
    <row r="471" spans="1:4" x14ac:dyDescent="0.25">
      <c r="A471" s="8" t="s">
        <v>481</v>
      </c>
      <c r="B471" s="14" t="s">
        <v>211</v>
      </c>
      <c r="C471" s="10" t="s">
        <v>212</v>
      </c>
      <c r="D471" s="11" t="s">
        <v>8</v>
      </c>
    </row>
    <row r="472" spans="1:4" x14ac:dyDescent="0.25">
      <c r="A472" s="8" t="s">
        <v>482</v>
      </c>
      <c r="B472" s="14" t="s">
        <v>211</v>
      </c>
      <c r="C472" s="10" t="s">
        <v>212</v>
      </c>
      <c r="D472" s="11" t="s">
        <v>8</v>
      </c>
    </row>
    <row r="473" spans="1:4" x14ac:dyDescent="0.25">
      <c r="A473" s="8" t="s">
        <v>483</v>
      </c>
      <c r="B473" s="14" t="s">
        <v>211</v>
      </c>
      <c r="C473" s="10" t="s">
        <v>212</v>
      </c>
      <c r="D473" s="11" t="s">
        <v>8</v>
      </c>
    </row>
    <row r="474" spans="1:4" x14ac:dyDescent="0.25">
      <c r="A474" s="8" t="s">
        <v>484</v>
      </c>
      <c r="B474" s="14" t="s">
        <v>211</v>
      </c>
      <c r="C474" s="10" t="s">
        <v>212</v>
      </c>
      <c r="D474" s="11" t="s">
        <v>8</v>
      </c>
    </row>
    <row r="475" spans="1:4" x14ac:dyDescent="0.25">
      <c r="A475" s="8" t="s">
        <v>485</v>
      </c>
      <c r="B475" s="14" t="s">
        <v>211</v>
      </c>
      <c r="C475" s="10" t="s">
        <v>212</v>
      </c>
      <c r="D475" s="11" t="s">
        <v>8</v>
      </c>
    </row>
    <row r="476" spans="1:4" x14ac:dyDescent="0.25">
      <c r="A476" s="8" t="s">
        <v>486</v>
      </c>
      <c r="B476" s="14" t="s">
        <v>211</v>
      </c>
      <c r="C476" s="10" t="s">
        <v>212</v>
      </c>
      <c r="D476" s="11" t="s">
        <v>8</v>
      </c>
    </row>
    <row r="477" spans="1:4" x14ac:dyDescent="0.25">
      <c r="A477" s="8" t="s">
        <v>487</v>
      </c>
      <c r="B477" s="14" t="s">
        <v>211</v>
      </c>
      <c r="C477" s="10" t="s">
        <v>212</v>
      </c>
      <c r="D477" s="11" t="s">
        <v>8</v>
      </c>
    </row>
    <row r="478" spans="1:4" x14ac:dyDescent="0.25">
      <c r="A478" s="8" t="s">
        <v>488</v>
      </c>
      <c r="B478" s="14" t="s">
        <v>211</v>
      </c>
      <c r="C478" s="10" t="s">
        <v>212</v>
      </c>
      <c r="D478" s="11" t="s">
        <v>8</v>
      </c>
    </row>
    <row r="479" spans="1:4" x14ac:dyDescent="0.25">
      <c r="A479" s="8" t="s">
        <v>489</v>
      </c>
      <c r="B479" s="14" t="s">
        <v>211</v>
      </c>
      <c r="C479" s="10" t="s">
        <v>212</v>
      </c>
      <c r="D479" s="11" t="s">
        <v>8</v>
      </c>
    </row>
    <row r="480" spans="1:4" x14ac:dyDescent="0.25">
      <c r="A480" s="8" t="s">
        <v>490</v>
      </c>
      <c r="B480" s="14" t="s">
        <v>211</v>
      </c>
      <c r="C480" s="10" t="s">
        <v>212</v>
      </c>
      <c r="D480" s="11" t="s">
        <v>8</v>
      </c>
    </row>
    <row r="481" spans="1:4" x14ac:dyDescent="0.25">
      <c r="A481" s="8" t="s">
        <v>491</v>
      </c>
      <c r="B481" s="14" t="s">
        <v>211</v>
      </c>
      <c r="C481" s="10" t="s">
        <v>212</v>
      </c>
      <c r="D481" s="11" t="s">
        <v>8</v>
      </c>
    </row>
    <row r="482" spans="1:4" x14ac:dyDescent="0.25">
      <c r="A482" s="8" t="s">
        <v>492</v>
      </c>
      <c r="B482" s="14" t="s">
        <v>211</v>
      </c>
      <c r="C482" s="10" t="s">
        <v>212</v>
      </c>
      <c r="D482" s="11" t="s">
        <v>8</v>
      </c>
    </row>
    <row r="483" spans="1:4" x14ac:dyDescent="0.25">
      <c r="A483" s="8" t="s">
        <v>493</v>
      </c>
      <c r="B483" s="14" t="s">
        <v>211</v>
      </c>
      <c r="C483" s="10" t="s">
        <v>212</v>
      </c>
      <c r="D483" s="11" t="s">
        <v>8</v>
      </c>
    </row>
    <row r="484" spans="1:4" x14ac:dyDescent="0.25">
      <c r="A484" s="8" t="s">
        <v>494</v>
      </c>
      <c r="B484" s="14" t="s">
        <v>211</v>
      </c>
      <c r="C484" s="10" t="s">
        <v>212</v>
      </c>
      <c r="D484" s="11" t="s">
        <v>8</v>
      </c>
    </row>
    <row r="485" spans="1:4" x14ac:dyDescent="0.25">
      <c r="A485" s="8" t="s">
        <v>495</v>
      </c>
      <c r="B485" s="14" t="s">
        <v>211</v>
      </c>
      <c r="C485" s="10" t="s">
        <v>212</v>
      </c>
      <c r="D485" s="11" t="s">
        <v>8</v>
      </c>
    </row>
    <row r="486" spans="1:4" x14ac:dyDescent="0.25">
      <c r="A486" s="8" t="s">
        <v>496</v>
      </c>
      <c r="B486" s="14" t="s">
        <v>211</v>
      </c>
      <c r="C486" s="10" t="s">
        <v>212</v>
      </c>
      <c r="D486" s="11" t="s">
        <v>8</v>
      </c>
    </row>
    <row r="487" spans="1:4" x14ac:dyDescent="0.25">
      <c r="A487" s="8" t="s">
        <v>497</v>
      </c>
      <c r="B487" s="14" t="s">
        <v>211</v>
      </c>
      <c r="C487" s="10" t="s">
        <v>212</v>
      </c>
      <c r="D487" s="11" t="s">
        <v>8</v>
      </c>
    </row>
    <row r="488" spans="1:4" x14ac:dyDescent="0.25">
      <c r="A488" s="8" t="s">
        <v>498</v>
      </c>
      <c r="B488" s="14" t="s">
        <v>211</v>
      </c>
      <c r="C488" s="10" t="s">
        <v>212</v>
      </c>
      <c r="D488" s="11" t="s">
        <v>8</v>
      </c>
    </row>
    <row r="489" spans="1:4" x14ac:dyDescent="0.25">
      <c r="A489" s="8" t="s">
        <v>499</v>
      </c>
      <c r="B489" s="14" t="s">
        <v>211</v>
      </c>
      <c r="C489" s="10" t="s">
        <v>212</v>
      </c>
      <c r="D489" s="11" t="s">
        <v>8</v>
      </c>
    </row>
    <row r="490" spans="1:4" x14ac:dyDescent="0.25">
      <c r="A490" s="8" t="s">
        <v>500</v>
      </c>
      <c r="B490" s="14" t="s">
        <v>211</v>
      </c>
      <c r="C490" s="10" t="s">
        <v>212</v>
      </c>
      <c r="D490" s="11" t="s">
        <v>8</v>
      </c>
    </row>
    <row r="491" spans="1:4" x14ac:dyDescent="0.25">
      <c r="A491" s="8" t="s">
        <v>501</v>
      </c>
      <c r="B491" s="14" t="s">
        <v>211</v>
      </c>
      <c r="C491" s="10" t="s">
        <v>212</v>
      </c>
      <c r="D491" s="11" t="s">
        <v>8</v>
      </c>
    </row>
    <row r="492" spans="1:4" x14ac:dyDescent="0.25">
      <c r="A492" s="8" t="s">
        <v>502</v>
      </c>
      <c r="B492" s="14" t="s">
        <v>211</v>
      </c>
      <c r="C492" s="10" t="s">
        <v>212</v>
      </c>
      <c r="D492" s="11" t="s">
        <v>8</v>
      </c>
    </row>
    <row r="493" spans="1:4" x14ac:dyDescent="0.25">
      <c r="A493" s="8" t="s">
        <v>503</v>
      </c>
      <c r="B493" s="14" t="s">
        <v>211</v>
      </c>
      <c r="C493" s="10" t="s">
        <v>212</v>
      </c>
      <c r="D493" s="11" t="s">
        <v>8</v>
      </c>
    </row>
    <row r="494" spans="1:4" x14ac:dyDescent="0.25">
      <c r="A494" s="8" t="s">
        <v>504</v>
      </c>
      <c r="B494" s="14" t="s">
        <v>211</v>
      </c>
      <c r="C494" s="10" t="s">
        <v>212</v>
      </c>
      <c r="D494" s="11" t="s">
        <v>8</v>
      </c>
    </row>
    <row r="495" spans="1:4" x14ac:dyDescent="0.25">
      <c r="A495" s="8" t="s">
        <v>505</v>
      </c>
      <c r="B495" s="14" t="s">
        <v>211</v>
      </c>
      <c r="C495" s="10" t="s">
        <v>212</v>
      </c>
      <c r="D495" s="11" t="s">
        <v>8</v>
      </c>
    </row>
    <row r="496" spans="1:4" x14ac:dyDescent="0.25">
      <c r="A496" s="8" t="s">
        <v>506</v>
      </c>
      <c r="B496" s="14" t="s">
        <v>211</v>
      </c>
      <c r="C496" s="10" t="s">
        <v>212</v>
      </c>
      <c r="D496" s="11" t="s">
        <v>8</v>
      </c>
    </row>
    <row r="497" spans="1:4" x14ac:dyDescent="0.25">
      <c r="A497" s="8" t="s">
        <v>507</v>
      </c>
      <c r="B497" s="14" t="s">
        <v>211</v>
      </c>
      <c r="C497" s="10" t="s">
        <v>212</v>
      </c>
      <c r="D497" s="11" t="s">
        <v>8</v>
      </c>
    </row>
    <row r="498" spans="1:4" x14ac:dyDescent="0.25">
      <c r="A498" s="8" t="s">
        <v>508</v>
      </c>
      <c r="B498" s="14" t="s">
        <v>211</v>
      </c>
      <c r="C498" s="10" t="s">
        <v>212</v>
      </c>
      <c r="D498" s="11" t="s">
        <v>8</v>
      </c>
    </row>
    <row r="499" spans="1:4" x14ac:dyDescent="0.25">
      <c r="A499" s="8" t="s">
        <v>509</v>
      </c>
      <c r="B499" s="14" t="s">
        <v>211</v>
      </c>
      <c r="C499" s="10" t="s">
        <v>212</v>
      </c>
      <c r="D499" s="11" t="s">
        <v>8</v>
      </c>
    </row>
    <row r="500" spans="1:4" x14ac:dyDescent="0.25">
      <c r="A500" s="8" t="s">
        <v>510</v>
      </c>
      <c r="B500" s="14" t="s">
        <v>211</v>
      </c>
      <c r="C500" s="10" t="s">
        <v>212</v>
      </c>
      <c r="D500" s="11" t="s">
        <v>8</v>
      </c>
    </row>
    <row r="501" spans="1:4" x14ac:dyDescent="0.25">
      <c r="A501" s="8" t="s">
        <v>511</v>
      </c>
      <c r="B501" s="14" t="s">
        <v>211</v>
      </c>
      <c r="C501" s="10" t="s">
        <v>212</v>
      </c>
      <c r="D501" s="11" t="s">
        <v>8</v>
      </c>
    </row>
    <row r="502" spans="1:4" x14ac:dyDescent="0.25">
      <c r="A502" s="8" t="s">
        <v>512</v>
      </c>
      <c r="B502" s="14" t="s">
        <v>211</v>
      </c>
      <c r="C502" s="10" t="s">
        <v>212</v>
      </c>
      <c r="D502" s="11" t="s">
        <v>8</v>
      </c>
    </row>
    <row r="503" spans="1:4" x14ac:dyDescent="0.25">
      <c r="A503" s="8" t="s">
        <v>513</v>
      </c>
      <c r="B503" s="14" t="s">
        <v>211</v>
      </c>
      <c r="C503" s="10" t="s">
        <v>212</v>
      </c>
      <c r="D503" s="11" t="s">
        <v>8</v>
      </c>
    </row>
    <row r="504" spans="1:4" x14ac:dyDescent="0.25">
      <c r="A504" s="8" t="s">
        <v>514</v>
      </c>
      <c r="B504" s="14" t="s">
        <v>211</v>
      </c>
      <c r="C504" s="10" t="s">
        <v>212</v>
      </c>
      <c r="D504" s="11" t="s">
        <v>8</v>
      </c>
    </row>
    <row r="505" spans="1:4" x14ac:dyDescent="0.25">
      <c r="A505" s="8" t="s">
        <v>515</v>
      </c>
      <c r="B505" s="14" t="s">
        <v>211</v>
      </c>
      <c r="C505" s="10" t="s">
        <v>212</v>
      </c>
      <c r="D505" s="11" t="s">
        <v>8</v>
      </c>
    </row>
    <row r="506" spans="1:4" x14ac:dyDescent="0.25">
      <c r="A506" s="8" t="s">
        <v>516</v>
      </c>
      <c r="B506" s="14" t="s">
        <v>211</v>
      </c>
      <c r="C506" s="10" t="s">
        <v>212</v>
      </c>
      <c r="D506" s="11" t="s">
        <v>8</v>
      </c>
    </row>
    <row r="507" spans="1:4" x14ac:dyDescent="0.25">
      <c r="A507" s="8" t="s">
        <v>517</v>
      </c>
      <c r="B507" s="14" t="s">
        <v>211</v>
      </c>
      <c r="C507" s="10" t="s">
        <v>212</v>
      </c>
      <c r="D507" s="11" t="s">
        <v>8</v>
      </c>
    </row>
    <row r="508" spans="1:4" x14ac:dyDescent="0.25">
      <c r="A508" s="8" t="s">
        <v>518</v>
      </c>
      <c r="B508" s="14" t="s">
        <v>211</v>
      </c>
      <c r="C508" s="10" t="s">
        <v>212</v>
      </c>
      <c r="D508" s="11" t="s">
        <v>8</v>
      </c>
    </row>
    <row r="509" spans="1:4" x14ac:dyDescent="0.25">
      <c r="A509" s="8" t="s">
        <v>519</v>
      </c>
      <c r="B509" s="14" t="s">
        <v>211</v>
      </c>
      <c r="C509" s="10" t="s">
        <v>212</v>
      </c>
      <c r="D509" s="11" t="s">
        <v>8</v>
      </c>
    </row>
    <row r="510" spans="1:4" x14ac:dyDescent="0.25">
      <c r="A510" s="8" t="s">
        <v>520</v>
      </c>
      <c r="B510" s="14" t="s">
        <v>211</v>
      </c>
      <c r="C510" s="10" t="s">
        <v>212</v>
      </c>
      <c r="D510" s="11" t="s">
        <v>8</v>
      </c>
    </row>
    <row r="511" spans="1:4" x14ac:dyDescent="0.25">
      <c r="A511" s="8" t="s">
        <v>521</v>
      </c>
      <c r="B511" s="14" t="s">
        <v>211</v>
      </c>
      <c r="C511" s="10" t="s">
        <v>212</v>
      </c>
      <c r="D511" s="11" t="s">
        <v>8</v>
      </c>
    </row>
    <row r="512" spans="1:4" x14ac:dyDescent="0.25">
      <c r="A512" s="8" t="s">
        <v>522</v>
      </c>
      <c r="B512" s="14" t="s">
        <v>211</v>
      </c>
      <c r="C512" s="10" t="s">
        <v>212</v>
      </c>
      <c r="D512" s="11" t="s">
        <v>8</v>
      </c>
    </row>
    <row r="513" spans="1:4" x14ac:dyDescent="0.25">
      <c r="A513" s="8" t="s">
        <v>523</v>
      </c>
      <c r="B513" s="14" t="s">
        <v>211</v>
      </c>
      <c r="C513" s="10" t="s">
        <v>212</v>
      </c>
      <c r="D513" s="11" t="s">
        <v>8</v>
      </c>
    </row>
    <row r="514" spans="1:4" x14ac:dyDescent="0.25">
      <c r="A514" s="8" t="s">
        <v>524</v>
      </c>
      <c r="B514" s="14" t="s">
        <v>211</v>
      </c>
      <c r="C514" s="10" t="s">
        <v>212</v>
      </c>
      <c r="D514" s="11" t="s">
        <v>8</v>
      </c>
    </row>
    <row r="515" spans="1:4" x14ac:dyDescent="0.25">
      <c r="A515" s="8" t="s">
        <v>525</v>
      </c>
      <c r="B515" s="14" t="s">
        <v>211</v>
      </c>
      <c r="C515" s="10" t="s">
        <v>212</v>
      </c>
      <c r="D515" s="11" t="s">
        <v>8</v>
      </c>
    </row>
    <row r="516" spans="1:4" x14ac:dyDescent="0.25">
      <c r="A516" s="8" t="s">
        <v>526</v>
      </c>
      <c r="B516" s="14" t="s">
        <v>211</v>
      </c>
      <c r="C516" s="10" t="s">
        <v>212</v>
      </c>
      <c r="D516" s="11" t="s">
        <v>8</v>
      </c>
    </row>
    <row r="517" spans="1:4" x14ac:dyDescent="0.25">
      <c r="A517" s="8" t="s">
        <v>527</v>
      </c>
      <c r="B517" s="14" t="s">
        <v>211</v>
      </c>
      <c r="C517" s="10" t="s">
        <v>212</v>
      </c>
      <c r="D517" s="11" t="s">
        <v>8</v>
      </c>
    </row>
    <row r="518" spans="1:4" x14ac:dyDescent="0.25">
      <c r="A518" s="8" t="s">
        <v>528</v>
      </c>
      <c r="B518" s="14" t="s">
        <v>211</v>
      </c>
      <c r="C518" s="10" t="s">
        <v>212</v>
      </c>
      <c r="D518" s="11" t="s">
        <v>8</v>
      </c>
    </row>
    <row r="519" spans="1:4" x14ac:dyDescent="0.25">
      <c r="A519" s="8" t="s">
        <v>529</v>
      </c>
      <c r="B519" s="14" t="s">
        <v>211</v>
      </c>
      <c r="C519" s="10" t="s">
        <v>212</v>
      </c>
      <c r="D519" s="11" t="s">
        <v>8</v>
      </c>
    </row>
    <row r="520" spans="1:4" x14ac:dyDescent="0.25">
      <c r="A520" s="8" t="s">
        <v>530</v>
      </c>
      <c r="B520" s="14" t="s">
        <v>211</v>
      </c>
      <c r="C520" s="10" t="s">
        <v>212</v>
      </c>
      <c r="D520" s="11" t="s">
        <v>8</v>
      </c>
    </row>
    <row r="521" spans="1:4" x14ac:dyDescent="0.25">
      <c r="A521" s="8" t="s">
        <v>531</v>
      </c>
      <c r="B521" s="14" t="s">
        <v>211</v>
      </c>
      <c r="C521" s="10" t="s">
        <v>212</v>
      </c>
      <c r="D521" s="11" t="s">
        <v>8</v>
      </c>
    </row>
    <row r="522" spans="1:4" x14ac:dyDescent="0.25">
      <c r="A522" s="8" t="s">
        <v>532</v>
      </c>
      <c r="B522" s="14" t="s">
        <v>211</v>
      </c>
      <c r="C522" s="10" t="s">
        <v>212</v>
      </c>
      <c r="D522" s="11" t="s">
        <v>8</v>
      </c>
    </row>
    <row r="523" spans="1:4" x14ac:dyDescent="0.25">
      <c r="A523" s="8" t="s">
        <v>533</v>
      </c>
      <c r="B523" s="14" t="s">
        <v>211</v>
      </c>
      <c r="C523" s="10" t="s">
        <v>212</v>
      </c>
      <c r="D523" s="11" t="s">
        <v>8</v>
      </c>
    </row>
    <row r="524" spans="1:4" x14ac:dyDescent="0.25">
      <c r="A524" s="8" t="s">
        <v>534</v>
      </c>
      <c r="B524" s="14" t="s">
        <v>211</v>
      </c>
      <c r="C524" s="10" t="s">
        <v>212</v>
      </c>
      <c r="D524" s="11" t="s">
        <v>8</v>
      </c>
    </row>
    <row r="525" spans="1:4" x14ac:dyDescent="0.25">
      <c r="A525" s="8" t="s">
        <v>535</v>
      </c>
      <c r="B525" s="14" t="s">
        <v>211</v>
      </c>
      <c r="C525" s="10" t="s">
        <v>212</v>
      </c>
      <c r="D525" s="11" t="s">
        <v>8</v>
      </c>
    </row>
    <row r="526" spans="1:4" x14ac:dyDescent="0.25">
      <c r="A526" s="8" t="s">
        <v>536</v>
      </c>
      <c r="B526" s="14" t="s">
        <v>211</v>
      </c>
      <c r="C526" s="10" t="s">
        <v>212</v>
      </c>
      <c r="D526" s="11" t="s">
        <v>8</v>
      </c>
    </row>
    <row r="527" spans="1:4" x14ac:dyDescent="0.25">
      <c r="A527" s="8" t="s">
        <v>537</v>
      </c>
      <c r="B527" s="14" t="s">
        <v>211</v>
      </c>
      <c r="C527" s="10" t="s">
        <v>212</v>
      </c>
      <c r="D527" s="11" t="s">
        <v>8</v>
      </c>
    </row>
    <row r="528" spans="1:4" x14ac:dyDescent="0.25">
      <c r="A528" s="8" t="s">
        <v>538</v>
      </c>
      <c r="B528" s="14" t="s">
        <v>211</v>
      </c>
      <c r="C528" s="10" t="s">
        <v>212</v>
      </c>
      <c r="D528" s="11" t="s">
        <v>8</v>
      </c>
    </row>
    <row r="529" spans="1:4" x14ac:dyDescent="0.25">
      <c r="A529" s="8" t="s">
        <v>539</v>
      </c>
      <c r="B529" s="14" t="s">
        <v>211</v>
      </c>
      <c r="C529" s="10" t="s">
        <v>212</v>
      </c>
      <c r="D529" s="11" t="s">
        <v>8</v>
      </c>
    </row>
    <row r="530" spans="1:4" x14ac:dyDescent="0.25">
      <c r="A530" s="8" t="s">
        <v>540</v>
      </c>
      <c r="B530" s="14" t="s">
        <v>211</v>
      </c>
      <c r="C530" s="10" t="s">
        <v>212</v>
      </c>
      <c r="D530" s="11" t="s">
        <v>8</v>
      </c>
    </row>
    <row r="531" spans="1:4" x14ac:dyDescent="0.25">
      <c r="A531" s="8" t="s">
        <v>541</v>
      </c>
      <c r="B531" s="14" t="s">
        <v>211</v>
      </c>
      <c r="C531" s="10" t="s">
        <v>212</v>
      </c>
      <c r="D531" s="11" t="s">
        <v>8</v>
      </c>
    </row>
    <row r="532" spans="1:4" x14ac:dyDescent="0.25">
      <c r="A532" s="8" t="s">
        <v>542</v>
      </c>
      <c r="B532" s="14" t="s">
        <v>211</v>
      </c>
      <c r="C532" s="10" t="s">
        <v>212</v>
      </c>
      <c r="D532" s="11" t="s">
        <v>8</v>
      </c>
    </row>
    <row r="533" spans="1:4" x14ac:dyDescent="0.25">
      <c r="A533" s="8" t="s">
        <v>543</v>
      </c>
      <c r="B533" s="14" t="s">
        <v>211</v>
      </c>
      <c r="C533" s="10" t="s">
        <v>212</v>
      </c>
      <c r="D533" s="11" t="s">
        <v>8</v>
      </c>
    </row>
    <row r="534" spans="1:4" x14ac:dyDescent="0.25">
      <c r="A534" s="8" t="s">
        <v>544</v>
      </c>
      <c r="B534" s="14" t="s">
        <v>211</v>
      </c>
      <c r="C534" s="10" t="s">
        <v>212</v>
      </c>
      <c r="D534" s="11" t="s">
        <v>8</v>
      </c>
    </row>
    <row r="535" spans="1:4" x14ac:dyDescent="0.25">
      <c r="A535" s="8" t="s">
        <v>545</v>
      </c>
      <c r="B535" s="14" t="s">
        <v>211</v>
      </c>
      <c r="C535" s="10" t="s">
        <v>212</v>
      </c>
      <c r="D535" s="11" t="s">
        <v>8</v>
      </c>
    </row>
    <row r="536" spans="1:4" x14ac:dyDescent="0.25">
      <c r="A536" s="8" t="s">
        <v>546</v>
      </c>
      <c r="B536" s="14" t="s">
        <v>211</v>
      </c>
      <c r="C536" s="10" t="s">
        <v>212</v>
      </c>
      <c r="D536" s="11" t="s">
        <v>8</v>
      </c>
    </row>
    <row r="537" spans="1:4" x14ac:dyDescent="0.25">
      <c r="A537" s="8" t="s">
        <v>547</v>
      </c>
      <c r="B537" s="14" t="s">
        <v>211</v>
      </c>
      <c r="C537" s="10" t="s">
        <v>212</v>
      </c>
      <c r="D537" s="11" t="s">
        <v>8</v>
      </c>
    </row>
    <row r="538" spans="1:4" x14ac:dyDescent="0.25">
      <c r="A538" s="8" t="s">
        <v>548</v>
      </c>
      <c r="B538" s="14" t="s">
        <v>211</v>
      </c>
      <c r="C538" s="10" t="s">
        <v>212</v>
      </c>
      <c r="D538" s="11" t="s">
        <v>8</v>
      </c>
    </row>
    <row r="539" spans="1:4" x14ac:dyDescent="0.25">
      <c r="A539" s="8" t="s">
        <v>549</v>
      </c>
      <c r="B539" s="14" t="s">
        <v>211</v>
      </c>
      <c r="C539" s="10" t="s">
        <v>212</v>
      </c>
      <c r="D539" s="11" t="s">
        <v>8</v>
      </c>
    </row>
    <row r="540" spans="1:4" x14ac:dyDescent="0.25">
      <c r="A540" s="8" t="s">
        <v>550</v>
      </c>
      <c r="B540" s="14" t="s">
        <v>211</v>
      </c>
      <c r="C540" s="10" t="s">
        <v>212</v>
      </c>
      <c r="D540" s="11" t="s">
        <v>8</v>
      </c>
    </row>
    <row r="541" spans="1:4" x14ac:dyDescent="0.25">
      <c r="A541" s="8" t="s">
        <v>551</v>
      </c>
      <c r="B541" s="14" t="s">
        <v>211</v>
      </c>
      <c r="C541" s="10" t="s">
        <v>212</v>
      </c>
      <c r="D541" s="11" t="s">
        <v>8</v>
      </c>
    </row>
    <row r="542" spans="1:4" x14ac:dyDescent="0.25">
      <c r="A542" s="8" t="s">
        <v>552</v>
      </c>
      <c r="B542" s="14" t="s">
        <v>211</v>
      </c>
      <c r="C542" s="10" t="s">
        <v>212</v>
      </c>
      <c r="D542" s="11" t="s">
        <v>8</v>
      </c>
    </row>
    <row r="543" spans="1:4" x14ac:dyDescent="0.25">
      <c r="A543" s="8" t="s">
        <v>553</v>
      </c>
      <c r="B543" s="14" t="s">
        <v>211</v>
      </c>
      <c r="C543" s="10" t="s">
        <v>212</v>
      </c>
      <c r="D543" s="11" t="s">
        <v>8</v>
      </c>
    </row>
    <row r="544" spans="1:4" x14ac:dyDescent="0.25">
      <c r="A544" s="8" t="s">
        <v>554</v>
      </c>
      <c r="B544" s="14" t="s">
        <v>211</v>
      </c>
      <c r="C544" s="10" t="s">
        <v>212</v>
      </c>
      <c r="D544" s="11" t="s">
        <v>8</v>
      </c>
    </row>
    <row r="545" spans="1:4" x14ac:dyDescent="0.25">
      <c r="A545" s="8" t="s">
        <v>555</v>
      </c>
      <c r="B545" s="14" t="s">
        <v>211</v>
      </c>
      <c r="C545" s="10" t="s">
        <v>212</v>
      </c>
      <c r="D545" s="11" t="s">
        <v>8</v>
      </c>
    </row>
    <row r="546" spans="1:4" x14ac:dyDescent="0.25">
      <c r="A546" s="8" t="s">
        <v>556</v>
      </c>
      <c r="B546" s="14" t="s">
        <v>211</v>
      </c>
      <c r="C546" s="10" t="s">
        <v>212</v>
      </c>
      <c r="D546" s="11" t="s">
        <v>8</v>
      </c>
    </row>
    <row r="547" spans="1:4" x14ac:dyDescent="0.25">
      <c r="A547" s="8" t="s">
        <v>557</v>
      </c>
      <c r="B547" s="14" t="s">
        <v>211</v>
      </c>
      <c r="C547" s="10" t="s">
        <v>212</v>
      </c>
      <c r="D547" s="11" t="s">
        <v>8</v>
      </c>
    </row>
    <row r="548" spans="1:4" x14ac:dyDescent="0.25">
      <c r="A548" s="8" t="s">
        <v>558</v>
      </c>
      <c r="B548" s="14" t="s">
        <v>211</v>
      </c>
      <c r="C548" s="10" t="s">
        <v>212</v>
      </c>
      <c r="D548" s="11" t="s">
        <v>8</v>
      </c>
    </row>
    <row r="549" spans="1:4" x14ac:dyDescent="0.25">
      <c r="A549" s="8" t="s">
        <v>559</v>
      </c>
      <c r="B549" s="14" t="s">
        <v>211</v>
      </c>
      <c r="C549" s="10" t="s">
        <v>212</v>
      </c>
      <c r="D549" s="11" t="s">
        <v>8</v>
      </c>
    </row>
    <row r="550" spans="1:4" x14ac:dyDescent="0.25">
      <c r="A550" s="8" t="s">
        <v>560</v>
      </c>
      <c r="B550" s="14" t="s">
        <v>211</v>
      </c>
      <c r="C550" s="10" t="s">
        <v>212</v>
      </c>
      <c r="D550" s="11" t="s">
        <v>8</v>
      </c>
    </row>
    <row r="551" spans="1:4" x14ac:dyDescent="0.25">
      <c r="A551" s="8" t="s">
        <v>561</v>
      </c>
      <c r="B551" s="14" t="s">
        <v>211</v>
      </c>
      <c r="C551" s="10" t="s">
        <v>212</v>
      </c>
      <c r="D551" s="11" t="s">
        <v>8</v>
      </c>
    </row>
    <row r="552" spans="1:4" x14ac:dyDescent="0.25">
      <c r="A552" s="8" t="s">
        <v>562</v>
      </c>
      <c r="B552" s="14" t="s">
        <v>211</v>
      </c>
      <c r="C552" s="10" t="s">
        <v>212</v>
      </c>
      <c r="D552" s="11" t="s">
        <v>8</v>
      </c>
    </row>
    <row r="553" spans="1:4" x14ac:dyDescent="0.25">
      <c r="A553" s="8" t="s">
        <v>563</v>
      </c>
      <c r="B553" s="14" t="s">
        <v>211</v>
      </c>
      <c r="C553" s="10" t="s">
        <v>212</v>
      </c>
      <c r="D553" s="11" t="s">
        <v>8</v>
      </c>
    </row>
    <row r="554" spans="1:4" x14ac:dyDescent="0.25">
      <c r="A554" s="8" t="s">
        <v>564</v>
      </c>
      <c r="B554" s="14" t="s">
        <v>211</v>
      </c>
      <c r="C554" s="10" t="s">
        <v>212</v>
      </c>
      <c r="D554" s="11" t="s">
        <v>8</v>
      </c>
    </row>
    <row r="555" spans="1:4" x14ac:dyDescent="0.25">
      <c r="A555" s="8" t="s">
        <v>565</v>
      </c>
      <c r="B555" s="14" t="s">
        <v>211</v>
      </c>
      <c r="C555" s="10" t="s">
        <v>212</v>
      </c>
      <c r="D555" s="11" t="s">
        <v>8</v>
      </c>
    </row>
    <row r="556" spans="1:4" x14ac:dyDescent="0.25">
      <c r="A556" s="8" t="s">
        <v>566</v>
      </c>
      <c r="B556" s="14" t="s">
        <v>211</v>
      </c>
      <c r="C556" s="10" t="s">
        <v>212</v>
      </c>
      <c r="D556" s="11" t="s">
        <v>8</v>
      </c>
    </row>
    <row r="557" spans="1:4" x14ac:dyDescent="0.25">
      <c r="A557" s="8" t="s">
        <v>567</v>
      </c>
      <c r="B557" s="14" t="s">
        <v>211</v>
      </c>
      <c r="C557" s="10" t="s">
        <v>212</v>
      </c>
      <c r="D557" s="11" t="s">
        <v>8</v>
      </c>
    </row>
    <row r="558" spans="1:4" x14ac:dyDescent="0.25">
      <c r="A558" s="8" t="s">
        <v>568</v>
      </c>
      <c r="B558" s="14" t="s">
        <v>211</v>
      </c>
      <c r="C558" s="10" t="s">
        <v>212</v>
      </c>
      <c r="D558" s="11" t="s">
        <v>8</v>
      </c>
    </row>
    <row r="559" spans="1:4" x14ac:dyDescent="0.25">
      <c r="A559" s="8" t="s">
        <v>569</v>
      </c>
      <c r="B559" s="14" t="s">
        <v>211</v>
      </c>
      <c r="C559" s="10" t="s">
        <v>212</v>
      </c>
      <c r="D559" s="11" t="s">
        <v>8</v>
      </c>
    </row>
    <row r="560" spans="1:4" x14ac:dyDescent="0.25">
      <c r="A560" s="8" t="s">
        <v>570</v>
      </c>
      <c r="B560" s="14" t="s">
        <v>211</v>
      </c>
      <c r="C560" s="10" t="s">
        <v>212</v>
      </c>
      <c r="D560" s="11" t="s">
        <v>8</v>
      </c>
    </row>
    <row r="561" spans="1:4" x14ac:dyDescent="0.25">
      <c r="A561" s="8" t="s">
        <v>571</v>
      </c>
      <c r="B561" s="14" t="s">
        <v>211</v>
      </c>
      <c r="C561" s="10" t="s">
        <v>212</v>
      </c>
      <c r="D561" s="11" t="s">
        <v>8</v>
      </c>
    </row>
    <row r="562" spans="1:4" x14ac:dyDescent="0.25">
      <c r="A562" s="8" t="s">
        <v>572</v>
      </c>
      <c r="B562" s="14" t="s">
        <v>211</v>
      </c>
      <c r="C562" s="10" t="s">
        <v>212</v>
      </c>
      <c r="D562" s="11" t="s">
        <v>8</v>
      </c>
    </row>
    <row r="563" spans="1:4" x14ac:dyDescent="0.25">
      <c r="A563" s="8" t="s">
        <v>573</v>
      </c>
      <c r="B563" s="14" t="s">
        <v>211</v>
      </c>
      <c r="C563" s="10" t="s">
        <v>212</v>
      </c>
      <c r="D563" s="11" t="s">
        <v>8</v>
      </c>
    </row>
    <row r="564" spans="1:4" x14ac:dyDescent="0.25">
      <c r="A564" s="8" t="s">
        <v>574</v>
      </c>
      <c r="B564" s="14" t="s">
        <v>211</v>
      </c>
      <c r="C564" s="10" t="s">
        <v>212</v>
      </c>
      <c r="D564" s="11" t="s">
        <v>8</v>
      </c>
    </row>
    <row r="565" spans="1:4" x14ac:dyDescent="0.25">
      <c r="A565" s="8" t="s">
        <v>575</v>
      </c>
      <c r="B565" s="14" t="s">
        <v>211</v>
      </c>
      <c r="C565" s="10" t="s">
        <v>212</v>
      </c>
      <c r="D565" s="11" t="s">
        <v>8</v>
      </c>
    </row>
    <row r="566" spans="1:4" x14ac:dyDescent="0.25">
      <c r="A566" s="8" t="s">
        <v>576</v>
      </c>
      <c r="B566" s="14" t="s">
        <v>211</v>
      </c>
      <c r="C566" s="10" t="s">
        <v>212</v>
      </c>
      <c r="D566" s="11" t="s">
        <v>8</v>
      </c>
    </row>
    <row r="567" spans="1:4" x14ac:dyDescent="0.25">
      <c r="A567" s="8" t="s">
        <v>577</v>
      </c>
      <c r="B567" s="14" t="s">
        <v>211</v>
      </c>
      <c r="C567" s="10" t="s">
        <v>212</v>
      </c>
      <c r="D567" s="11" t="s">
        <v>8</v>
      </c>
    </row>
    <row r="568" spans="1:4" x14ac:dyDescent="0.25">
      <c r="A568" s="8" t="s">
        <v>578</v>
      </c>
      <c r="B568" s="14" t="s">
        <v>211</v>
      </c>
      <c r="C568" s="10" t="s">
        <v>212</v>
      </c>
      <c r="D568" s="11" t="s">
        <v>8</v>
      </c>
    </row>
    <row r="569" spans="1:4" x14ac:dyDescent="0.25">
      <c r="A569" s="8" t="s">
        <v>579</v>
      </c>
      <c r="B569" s="14" t="s">
        <v>211</v>
      </c>
      <c r="C569" s="10" t="s">
        <v>212</v>
      </c>
      <c r="D569" s="11" t="s">
        <v>8</v>
      </c>
    </row>
    <row r="570" spans="1:4" x14ac:dyDescent="0.25">
      <c r="A570" s="8" t="s">
        <v>580</v>
      </c>
      <c r="B570" s="14" t="s">
        <v>211</v>
      </c>
      <c r="C570" s="10" t="s">
        <v>212</v>
      </c>
      <c r="D570" s="11" t="s">
        <v>8</v>
      </c>
    </row>
    <row r="571" spans="1:4" x14ac:dyDescent="0.25">
      <c r="A571" s="8" t="s">
        <v>581</v>
      </c>
      <c r="B571" s="14" t="s">
        <v>211</v>
      </c>
      <c r="C571" s="10" t="s">
        <v>212</v>
      </c>
      <c r="D571" s="11" t="s">
        <v>8</v>
      </c>
    </row>
    <row r="572" spans="1:4" x14ac:dyDescent="0.25">
      <c r="A572" s="8" t="s">
        <v>582</v>
      </c>
      <c r="B572" s="14" t="s">
        <v>211</v>
      </c>
      <c r="C572" s="10" t="s">
        <v>212</v>
      </c>
      <c r="D572" s="11" t="s">
        <v>8</v>
      </c>
    </row>
    <row r="573" spans="1:4" x14ac:dyDescent="0.25">
      <c r="A573" s="8" t="s">
        <v>583</v>
      </c>
      <c r="B573" s="14" t="s">
        <v>211</v>
      </c>
      <c r="C573" s="10" t="s">
        <v>212</v>
      </c>
      <c r="D573" s="11" t="s">
        <v>8</v>
      </c>
    </row>
    <row r="574" spans="1:4" x14ac:dyDescent="0.25">
      <c r="A574" s="8" t="s">
        <v>584</v>
      </c>
      <c r="B574" s="14" t="s">
        <v>211</v>
      </c>
      <c r="C574" s="10" t="s">
        <v>212</v>
      </c>
      <c r="D574" s="11" t="s">
        <v>8</v>
      </c>
    </row>
    <row r="575" spans="1:4" x14ac:dyDescent="0.25">
      <c r="A575" s="8" t="s">
        <v>585</v>
      </c>
      <c r="B575" s="14" t="s">
        <v>211</v>
      </c>
      <c r="C575" s="10" t="s">
        <v>212</v>
      </c>
      <c r="D575" s="11" t="s">
        <v>8</v>
      </c>
    </row>
    <row r="576" spans="1:4" x14ac:dyDescent="0.25">
      <c r="A576" s="8" t="s">
        <v>586</v>
      </c>
      <c r="B576" s="14" t="s">
        <v>211</v>
      </c>
      <c r="C576" s="10" t="s">
        <v>212</v>
      </c>
      <c r="D576" s="11" t="s">
        <v>8</v>
      </c>
    </row>
    <row r="577" spans="1:4" x14ac:dyDescent="0.25">
      <c r="A577" s="8" t="s">
        <v>587</v>
      </c>
      <c r="B577" s="14" t="s">
        <v>211</v>
      </c>
      <c r="C577" s="10" t="s">
        <v>212</v>
      </c>
      <c r="D577" s="11" t="s">
        <v>8</v>
      </c>
    </row>
    <row r="578" spans="1:4" x14ac:dyDescent="0.25">
      <c r="A578" s="8" t="s">
        <v>588</v>
      </c>
      <c r="B578" s="14" t="s">
        <v>211</v>
      </c>
      <c r="C578" s="10" t="s">
        <v>212</v>
      </c>
      <c r="D578" s="11" t="s">
        <v>8</v>
      </c>
    </row>
    <row r="579" spans="1:4" x14ac:dyDescent="0.25">
      <c r="A579" s="8" t="s">
        <v>589</v>
      </c>
      <c r="B579" s="14" t="s">
        <v>211</v>
      </c>
      <c r="C579" s="10" t="s">
        <v>212</v>
      </c>
      <c r="D579" s="11" t="s">
        <v>8</v>
      </c>
    </row>
    <row r="580" spans="1:4" x14ac:dyDescent="0.25">
      <c r="A580" s="8" t="s">
        <v>590</v>
      </c>
      <c r="B580" s="14" t="s">
        <v>211</v>
      </c>
      <c r="C580" s="10" t="s">
        <v>212</v>
      </c>
      <c r="D580" s="11" t="s">
        <v>8</v>
      </c>
    </row>
    <row r="581" spans="1:4" x14ac:dyDescent="0.25">
      <c r="A581" s="8" t="s">
        <v>591</v>
      </c>
      <c r="B581" s="14" t="s">
        <v>211</v>
      </c>
      <c r="C581" s="10" t="s">
        <v>212</v>
      </c>
      <c r="D581" s="11" t="s">
        <v>8</v>
      </c>
    </row>
    <row r="582" spans="1:4" x14ac:dyDescent="0.25">
      <c r="A582" s="8" t="s">
        <v>592</v>
      </c>
      <c r="B582" s="14" t="s">
        <v>211</v>
      </c>
      <c r="C582" s="10" t="s">
        <v>212</v>
      </c>
      <c r="D582" s="11" t="s">
        <v>8</v>
      </c>
    </row>
    <row r="583" spans="1:4" x14ac:dyDescent="0.25">
      <c r="A583" s="8" t="s">
        <v>593</v>
      </c>
      <c r="B583" s="14" t="s">
        <v>211</v>
      </c>
      <c r="C583" s="10" t="s">
        <v>212</v>
      </c>
      <c r="D583" s="11" t="s">
        <v>8</v>
      </c>
    </row>
    <row r="584" spans="1:4" x14ac:dyDescent="0.25">
      <c r="A584" s="8" t="s">
        <v>594</v>
      </c>
      <c r="B584" s="14" t="s">
        <v>211</v>
      </c>
      <c r="C584" s="10" t="s">
        <v>212</v>
      </c>
      <c r="D584" s="11" t="s">
        <v>8</v>
      </c>
    </row>
    <row r="585" spans="1:4" x14ac:dyDescent="0.25">
      <c r="A585" s="8" t="s">
        <v>595</v>
      </c>
      <c r="B585" s="14" t="s">
        <v>211</v>
      </c>
      <c r="C585" s="10" t="s">
        <v>212</v>
      </c>
      <c r="D585" s="11" t="s">
        <v>8</v>
      </c>
    </row>
    <row r="586" spans="1:4" x14ac:dyDescent="0.25">
      <c r="A586" s="8" t="s">
        <v>596</v>
      </c>
      <c r="B586" s="14" t="s">
        <v>211</v>
      </c>
      <c r="C586" s="10" t="s">
        <v>212</v>
      </c>
      <c r="D586" s="11" t="s">
        <v>8</v>
      </c>
    </row>
    <row r="587" spans="1:4" x14ac:dyDescent="0.25">
      <c r="A587" s="8" t="s">
        <v>597</v>
      </c>
      <c r="B587" s="14" t="s">
        <v>211</v>
      </c>
      <c r="C587" s="10" t="s">
        <v>212</v>
      </c>
      <c r="D587" s="11" t="s">
        <v>8</v>
      </c>
    </row>
    <row r="588" spans="1:4" x14ac:dyDescent="0.25">
      <c r="A588" s="8" t="s">
        <v>598</v>
      </c>
      <c r="B588" s="15" t="s">
        <v>599</v>
      </c>
      <c r="C588" s="10" t="s">
        <v>600</v>
      </c>
      <c r="D588" s="11" t="s">
        <v>8</v>
      </c>
    </row>
    <row r="589" spans="1:4" x14ac:dyDescent="0.25">
      <c r="A589" s="8" t="s">
        <v>601</v>
      </c>
      <c r="B589" s="15" t="s">
        <v>599</v>
      </c>
      <c r="C589" s="10" t="s">
        <v>600</v>
      </c>
      <c r="D589" s="11" t="s">
        <v>8</v>
      </c>
    </row>
    <row r="590" spans="1:4" x14ac:dyDescent="0.25">
      <c r="A590" s="8" t="s">
        <v>602</v>
      </c>
      <c r="B590" s="15" t="s">
        <v>599</v>
      </c>
      <c r="C590" s="10" t="s">
        <v>600</v>
      </c>
      <c r="D590" s="11" t="s">
        <v>8</v>
      </c>
    </row>
    <row r="591" spans="1:4" x14ac:dyDescent="0.25">
      <c r="A591" s="8" t="s">
        <v>603</v>
      </c>
      <c r="B591" s="15" t="s">
        <v>599</v>
      </c>
      <c r="C591" s="10" t="s">
        <v>600</v>
      </c>
      <c r="D591" s="11" t="s">
        <v>8</v>
      </c>
    </row>
    <row r="592" spans="1:4" x14ac:dyDescent="0.25">
      <c r="A592" s="8" t="s">
        <v>604</v>
      </c>
      <c r="B592" s="15" t="s">
        <v>599</v>
      </c>
      <c r="C592" s="10" t="s">
        <v>600</v>
      </c>
      <c r="D592" s="11" t="s">
        <v>8</v>
      </c>
    </row>
    <row r="593" spans="1:4" x14ac:dyDescent="0.25">
      <c r="A593" s="8" t="s">
        <v>605</v>
      </c>
      <c r="B593" s="15" t="s">
        <v>599</v>
      </c>
      <c r="C593" s="10" t="s">
        <v>600</v>
      </c>
      <c r="D593" s="11" t="s">
        <v>8</v>
      </c>
    </row>
    <row r="594" spans="1:4" x14ac:dyDescent="0.25">
      <c r="A594" s="8" t="s">
        <v>606</v>
      </c>
      <c r="B594" s="15" t="s">
        <v>599</v>
      </c>
      <c r="C594" s="10" t="s">
        <v>600</v>
      </c>
      <c r="D594" s="11" t="s">
        <v>8</v>
      </c>
    </row>
    <row r="595" spans="1:4" x14ac:dyDescent="0.25">
      <c r="A595" s="8" t="s">
        <v>607</v>
      </c>
      <c r="B595" s="15" t="s">
        <v>599</v>
      </c>
      <c r="C595" s="10" t="s">
        <v>600</v>
      </c>
      <c r="D595" s="11" t="s">
        <v>8</v>
      </c>
    </row>
    <row r="596" spans="1:4" x14ac:dyDescent="0.25">
      <c r="A596" s="8" t="s">
        <v>608</v>
      </c>
      <c r="B596" s="15" t="s">
        <v>599</v>
      </c>
      <c r="C596" s="10" t="s">
        <v>600</v>
      </c>
      <c r="D596" s="11" t="s">
        <v>8</v>
      </c>
    </row>
    <row r="597" spans="1:4" x14ac:dyDescent="0.25">
      <c r="A597" s="8" t="s">
        <v>609</v>
      </c>
      <c r="B597" s="15" t="s">
        <v>599</v>
      </c>
      <c r="C597" s="10" t="s">
        <v>600</v>
      </c>
      <c r="D597" s="11" t="s">
        <v>8</v>
      </c>
    </row>
    <row r="598" spans="1:4" x14ac:dyDescent="0.25">
      <c r="A598" s="8" t="s">
        <v>610</v>
      </c>
      <c r="B598" s="15" t="s">
        <v>599</v>
      </c>
      <c r="C598" s="10" t="s">
        <v>600</v>
      </c>
      <c r="D598" s="11" t="s">
        <v>8</v>
      </c>
    </row>
    <row r="599" spans="1:4" x14ac:dyDescent="0.25">
      <c r="A599" s="8" t="s">
        <v>611</v>
      </c>
      <c r="B599" s="15" t="s">
        <v>599</v>
      </c>
      <c r="C599" s="10" t="s">
        <v>600</v>
      </c>
      <c r="D599" s="11" t="s">
        <v>8</v>
      </c>
    </row>
    <row r="600" spans="1:4" x14ac:dyDescent="0.25">
      <c r="A600" s="8" t="s">
        <v>612</v>
      </c>
      <c r="B600" s="15" t="s">
        <v>599</v>
      </c>
      <c r="C600" s="10" t="s">
        <v>600</v>
      </c>
      <c r="D600" s="11" t="s">
        <v>8</v>
      </c>
    </row>
    <row r="601" spans="1:4" x14ac:dyDescent="0.25">
      <c r="A601" s="8" t="s">
        <v>613</v>
      </c>
      <c r="B601" s="15" t="s">
        <v>599</v>
      </c>
      <c r="C601" s="10" t="s">
        <v>600</v>
      </c>
      <c r="D601" s="11" t="s">
        <v>8</v>
      </c>
    </row>
    <row r="602" spans="1:4" x14ac:dyDescent="0.25">
      <c r="A602" s="8" t="s">
        <v>614</v>
      </c>
      <c r="B602" s="15" t="s">
        <v>599</v>
      </c>
      <c r="C602" s="10" t="s">
        <v>600</v>
      </c>
      <c r="D602" s="11" t="s">
        <v>8</v>
      </c>
    </row>
    <row r="603" spans="1:4" x14ac:dyDescent="0.25">
      <c r="A603" s="8" t="s">
        <v>615</v>
      </c>
      <c r="B603" s="15" t="s">
        <v>599</v>
      </c>
      <c r="C603" s="10" t="s">
        <v>600</v>
      </c>
      <c r="D603" s="11" t="s">
        <v>8</v>
      </c>
    </row>
    <row r="604" spans="1:4" x14ac:dyDescent="0.25">
      <c r="A604" s="8" t="s">
        <v>616</v>
      </c>
      <c r="B604" s="15" t="s">
        <v>599</v>
      </c>
      <c r="C604" s="10" t="s">
        <v>600</v>
      </c>
      <c r="D604" s="11" t="s">
        <v>8</v>
      </c>
    </row>
    <row r="605" spans="1:4" x14ac:dyDescent="0.25">
      <c r="A605" s="8" t="s">
        <v>617</v>
      </c>
      <c r="B605" s="15" t="s">
        <v>599</v>
      </c>
      <c r="C605" s="10" t="s">
        <v>600</v>
      </c>
      <c r="D605" s="11" t="s">
        <v>8</v>
      </c>
    </row>
    <row r="606" spans="1:4" x14ac:dyDescent="0.25">
      <c r="A606" s="8" t="s">
        <v>618</v>
      </c>
      <c r="B606" s="15" t="s">
        <v>599</v>
      </c>
      <c r="C606" s="10" t="s">
        <v>600</v>
      </c>
      <c r="D606" s="11" t="s">
        <v>8</v>
      </c>
    </row>
    <row r="607" spans="1:4" x14ac:dyDescent="0.25">
      <c r="A607" s="8" t="s">
        <v>619</v>
      </c>
      <c r="B607" s="15" t="s">
        <v>599</v>
      </c>
      <c r="C607" s="10" t="s">
        <v>600</v>
      </c>
      <c r="D607" s="11" t="s">
        <v>8</v>
      </c>
    </row>
    <row r="608" spans="1:4" x14ac:dyDescent="0.25">
      <c r="A608" s="8" t="s">
        <v>620</v>
      </c>
      <c r="B608" s="15" t="s">
        <v>599</v>
      </c>
      <c r="C608" s="10" t="s">
        <v>600</v>
      </c>
      <c r="D608" s="11" t="s">
        <v>8</v>
      </c>
    </row>
    <row r="609" spans="1:4" x14ac:dyDescent="0.25">
      <c r="A609" s="8" t="s">
        <v>621</v>
      </c>
      <c r="B609" s="15" t="s">
        <v>599</v>
      </c>
      <c r="C609" s="10" t="s">
        <v>600</v>
      </c>
      <c r="D609" s="11" t="s">
        <v>8</v>
      </c>
    </row>
    <row r="610" spans="1:4" x14ac:dyDescent="0.25">
      <c r="A610" s="8" t="s">
        <v>622</v>
      </c>
      <c r="B610" s="15" t="s">
        <v>599</v>
      </c>
      <c r="C610" s="10" t="s">
        <v>600</v>
      </c>
      <c r="D610" s="11" t="s">
        <v>8</v>
      </c>
    </row>
    <row r="611" spans="1:4" x14ac:dyDescent="0.25">
      <c r="A611" s="8" t="s">
        <v>623</v>
      </c>
      <c r="B611" s="15" t="s">
        <v>599</v>
      </c>
      <c r="C611" s="10" t="s">
        <v>600</v>
      </c>
      <c r="D611" s="11" t="s">
        <v>8</v>
      </c>
    </row>
    <row r="612" spans="1:4" x14ac:dyDescent="0.25">
      <c r="A612" s="8" t="s">
        <v>624</v>
      </c>
      <c r="B612" s="15" t="s">
        <v>599</v>
      </c>
      <c r="C612" s="10" t="s">
        <v>600</v>
      </c>
      <c r="D612" s="11" t="s">
        <v>8</v>
      </c>
    </row>
    <row r="613" spans="1:4" x14ac:dyDescent="0.25">
      <c r="A613" s="8" t="s">
        <v>625</v>
      </c>
      <c r="B613" s="15" t="s">
        <v>599</v>
      </c>
      <c r="C613" s="10" t="s">
        <v>600</v>
      </c>
      <c r="D613" s="11" t="s">
        <v>8</v>
      </c>
    </row>
    <row r="614" spans="1:4" x14ac:dyDescent="0.25">
      <c r="A614" s="8" t="s">
        <v>626</v>
      </c>
      <c r="B614" s="15" t="s">
        <v>599</v>
      </c>
      <c r="C614" s="10" t="s">
        <v>600</v>
      </c>
      <c r="D614" s="11" t="s">
        <v>8</v>
      </c>
    </row>
    <row r="615" spans="1:4" x14ac:dyDescent="0.25">
      <c r="A615" s="8" t="s">
        <v>627</v>
      </c>
      <c r="B615" s="15" t="s">
        <v>599</v>
      </c>
      <c r="C615" s="10" t="s">
        <v>600</v>
      </c>
      <c r="D615" s="11" t="s">
        <v>8</v>
      </c>
    </row>
    <row r="616" spans="1:4" x14ac:dyDescent="0.25">
      <c r="A616" s="8" t="s">
        <v>628</v>
      </c>
      <c r="B616" s="15" t="s">
        <v>599</v>
      </c>
      <c r="C616" s="10" t="s">
        <v>600</v>
      </c>
      <c r="D616" s="11" t="s">
        <v>8</v>
      </c>
    </row>
    <row r="617" spans="1:4" x14ac:dyDescent="0.25">
      <c r="A617" s="8" t="s">
        <v>629</v>
      </c>
      <c r="B617" s="15" t="s">
        <v>599</v>
      </c>
      <c r="C617" s="10" t="s">
        <v>600</v>
      </c>
      <c r="D617" s="11" t="s">
        <v>8</v>
      </c>
    </row>
    <row r="618" spans="1:4" x14ac:dyDescent="0.25">
      <c r="A618" s="8" t="s">
        <v>630</v>
      </c>
      <c r="B618" s="15" t="s">
        <v>599</v>
      </c>
      <c r="C618" s="10" t="s">
        <v>600</v>
      </c>
      <c r="D618" s="11" t="s">
        <v>8</v>
      </c>
    </row>
    <row r="619" spans="1:4" x14ac:dyDescent="0.25">
      <c r="A619" s="8" t="s">
        <v>631</v>
      </c>
      <c r="B619" s="15" t="s">
        <v>599</v>
      </c>
      <c r="C619" s="10" t="s">
        <v>600</v>
      </c>
      <c r="D619" s="11" t="s">
        <v>8</v>
      </c>
    </row>
    <row r="620" spans="1:4" x14ac:dyDescent="0.25">
      <c r="A620" s="8" t="s">
        <v>632</v>
      </c>
      <c r="B620" s="15" t="s">
        <v>599</v>
      </c>
      <c r="C620" s="10" t="s">
        <v>600</v>
      </c>
      <c r="D620" s="11" t="s">
        <v>8</v>
      </c>
    </row>
    <row r="621" spans="1:4" x14ac:dyDescent="0.25">
      <c r="A621" s="8" t="s">
        <v>633</v>
      </c>
      <c r="B621" s="15" t="s">
        <v>599</v>
      </c>
      <c r="C621" s="10" t="s">
        <v>600</v>
      </c>
      <c r="D621" s="11" t="s">
        <v>8</v>
      </c>
    </row>
    <row r="622" spans="1:4" x14ac:dyDescent="0.25">
      <c r="A622" s="8" t="s">
        <v>634</v>
      </c>
      <c r="B622" s="15" t="s">
        <v>599</v>
      </c>
      <c r="C622" s="10" t="s">
        <v>600</v>
      </c>
      <c r="D622" s="11" t="s">
        <v>8</v>
      </c>
    </row>
    <row r="623" spans="1:4" x14ac:dyDescent="0.25">
      <c r="A623" s="8" t="s">
        <v>635</v>
      </c>
      <c r="B623" s="15" t="s">
        <v>599</v>
      </c>
      <c r="C623" s="10" t="s">
        <v>600</v>
      </c>
      <c r="D623" s="11" t="s">
        <v>8</v>
      </c>
    </row>
    <row r="624" spans="1:4" x14ac:dyDescent="0.25">
      <c r="A624" s="8" t="s">
        <v>636</v>
      </c>
      <c r="B624" s="15" t="s">
        <v>599</v>
      </c>
      <c r="C624" s="10" t="s">
        <v>600</v>
      </c>
      <c r="D624" s="11" t="s">
        <v>8</v>
      </c>
    </row>
    <row r="625" spans="1:4" x14ac:dyDescent="0.25">
      <c r="A625" s="8" t="s">
        <v>637</v>
      </c>
      <c r="B625" s="15" t="s">
        <v>599</v>
      </c>
      <c r="C625" s="10" t="s">
        <v>600</v>
      </c>
      <c r="D625" s="11" t="s">
        <v>8</v>
      </c>
    </row>
    <row r="626" spans="1:4" x14ac:dyDescent="0.25">
      <c r="A626" s="8" t="s">
        <v>638</v>
      </c>
      <c r="B626" s="15" t="s">
        <v>599</v>
      </c>
      <c r="C626" s="10" t="s">
        <v>600</v>
      </c>
      <c r="D626" s="11" t="s">
        <v>8</v>
      </c>
    </row>
    <row r="627" spans="1:4" x14ac:dyDescent="0.25">
      <c r="A627" s="8" t="s">
        <v>639</v>
      </c>
      <c r="B627" s="15" t="s">
        <v>599</v>
      </c>
      <c r="C627" s="10" t="s">
        <v>600</v>
      </c>
      <c r="D627" s="11" t="s">
        <v>8</v>
      </c>
    </row>
    <row r="628" spans="1:4" x14ac:dyDescent="0.25">
      <c r="A628" s="8" t="s">
        <v>640</v>
      </c>
      <c r="B628" s="15" t="s">
        <v>599</v>
      </c>
      <c r="C628" s="10" t="s">
        <v>600</v>
      </c>
      <c r="D628" s="11" t="s">
        <v>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H669"/>
  <sheetViews>
    <sheetView tabSelected="1" zoomScaleNormal="100" workbookViewId="0">
      <pane ySplit="3" topLeftCell="A4" activePane="bottomLeft" state="frozen"/>
      <selection pane="bottomLeft" activeCell="J14" sqref="J14"/>
    </sheetView>
  </sheetViews>
  <sheetFormatPr defaultColWidth="8.7109375" defaultRowHeight="15" x14ac:dyDescent="0.25"/>
  <cols>
    <col min="1" max="1" width="32" customWidth="1"/>
    <col min="2" max="2" width="28" customWidth="1"/>
    <col min="3" max="3" width="26" customWidth="1"/>
    <col min="4" max="4" width="14" customWidth="1"/>
    <col min="5" max="5" width="18" customWidth="1"/>
    <col min="6" max="6" width="10" customWidth="1"/>
    <col min="7" max="7" width="28" customWidth="1"/>
  </cols>
  <sheetData>
    <row r="1" spans="1:8" ht="24" customHeight="1" x14ac:dyDescent="0.25">
      <c r="A1" s="5" t="s">
        <v>641</v>
      </c>
      <c r="B1" s="5"/>
      <c r="C1" s="5"/>
      <c r="D1" s="5"/>
      <c r="E1" s="5"/>
      <c r="F1" s="5"/>
      <c r="G1" s="5"/>
      <c r="H1" s="5"/>
    </row>
    <row r="2" spans="1:8" ht="15.75" customHeight="1" x14ac:dyDescent="0.25">
      <c r="A2" s="4" t="s">
        <v>642</v>
      </c>
      <c r="B2" s="4"/>
      <c r="C2" s="4"/>
      <c r="D2" s="4"/>
      <c r="E2" s="4"/>
      <c r="F2" s="4"/>
      <c r="G2" s="4"/>
      <c r="H2" s="4"/>
    </row>
    <row r="3" spans="1:8" ht="30" customHeight="1" x14ac:dyDescent="0.25">
      <c r="A3" s="17" t="s">
        <v>643</v>
      </c>
      <c r="B3" s="17" t="s">
        <v>644</v>
      </c>
      <c r="C3" s="17" t="s">
        <v>645</v>
      </c>
      <c r="D3" s="17" t="s">
        <v>646</v>
      </c>
      <c r="E3" s="17" t="s">
        <v>647</v>
      </c>
      <c r="F3" s="17" t="s">
        <v>648</v>
      </c>
      <c r="G3" s="17" t="s">
        <v>649</v>
      </c>
    </row>
    <row r="4" spans="1:8" x14ac:dyDescent="0.25">
      <c r="A4" s="18" t="s">
        <v>650</v>
      </c>
      <c r="B4" s="19" t="s">
        <v>651</v>
      </c>
      <c r="C4" s="20" t="s">
        <v>518</v>
      </c>
      <c r="D4" s="14" t="str">
        <f>IFERROR(VLOOKUP(C4,'📋 City-Tier Master'!$A$4:$B$628,2,0),"T4")</f>
        <v>T3</v>
      </c>
      <c r="E4" s="21" t="s">
        <v>652</v>
      </c>
      <c r="F4" s="22">
        <v>1</v>
      </c>
      <c r="G4" s="23"/>
    </row>
    <row r="5" spans="1:8" x14ac:dyDescent="0.25">
      <c r="A5" s="24" t="s">
        <v>653</v>
      </c>
      <c r="B5" s="25" t="s">
        <v>654</v>
      </c>
      <c r="C5" s="20" t="s">
        <v>149</v>
      </c>
      <c r="D5" s="13" t="str">
        <f>IFERROR(VLOOKUP(C5,'📋 City-Tier Master'!$A$4:$B$628,2,0),"T4")</f>
        <v>T2</v>
      </c>
      <c r="E5" s="26" t="s">
        <v>652</v>
      </c>
      <c r="F5" s="27">
        <v>41</v>
      </c>
      <c r="G5" s="23"/>
    </row>
    <row r="6" spans="1:8" x14ac:dyDescent="0.25">
      <c r="A6" s="18" t="s">
        <v>655</v>
      </c>
      <c r="B6" s="19" t="s">
        <v>654</v>
      </c>
      <c r="C6" s="20" t="s">
        <v>158</v>
      </c>
      <c r="D6" s="13" t="str">
        <f>IFERROR(VLOOKUP(C6,'📋 City-Tier Master'!$A$4:$B$628,2,0),"T4")</f>
        <v>T2</v>
      </c>
      <c r="E6" s="21" t="s">
        <v>652</v>
      </c>
      <c r="F6" s="22">
        <v>16</v>
      </c>
      <c r="G6" s="23"/>
    </row>
    <row r="7" spans="1:8" x14ac:dyDescent="0.25">
      <c r="A7" s="24" t="s">
        <v>656</v>
      </c>
      <c r="B7" s="25" t="s">
        <v>654</v>
      </c>
      <c r="C7" s="20" t="s">
        <v>151</v>
      </c>
      <c r="D7" s="13" t="str">
        <f>IFERROR(VLOOKUP(C7,'📋 City-Tier Master'!$A$4:$B$628,2,0),"T4")</f>
        <v>T2</v>
      </c>
      <c r="E7" s="26" t="s">
        <v>652</v>
      </c>
      <c r="F7" s="27">
        <v>14</v>
      </c>
      <c r="G7" s="23"/>
    </row>
    <row r="8" spans="1:8" x14ac:dyDescent="0.25">
      <c r="A8" s="18" t="s">
        <v>657</v>
      </c>
      <c r="B8" s="19" t="s">
        <v>654</v>
      </c>
      <c r="C8" s="20" t="s">
        <v>154</v>
      </c>
      <c r="D8" s="13" t="str">
        <f>IFERROR(VLOOKUP(C8,'📋 City-Tier Master'!$A$4:$B$628,2,0),"T4")</f>
        <v>T2</v>
      </c>
      <c r="E8" s="21" t="s">
        <v>652</v>
      </c>
      <c r="F8" s="22">
        <v>8</v>
      </c>
      <c r="G8" s="23"/>
    </row>
    <row r="9" spans="1:8" x14ac:dyDescent="0.25">
      <c r="A9" s="24" t="s">
        <v>658</v>
      </c>
      <c r="B9" s="25" t="s">
        <v>654</v>
      </c>
      <c r="C9" s="20" t="s">
        <v>441</v>
      </c>
      <c r="D9" s="14" t="str">
        <f>IFERROR(VLOOKUP(C9,'📋 City-Tier Master'!$A$4:$B$628,2,0),"T4")</f>
        <v>T3</v>
      </c>
      <c r="E9" s="26" t="s">
        <v>652</v>
      </c>
      <c r="F9" s="27">
        <v>76</v>
      </c>
      <c r="G9" s="23"/>
    </row>
    <row r="10" spans="1:8" x14ac:dyDescent="0.25">
      <c r="A10" s="18" t="s">
        <v>659</v>
      </c>
      <c r="B10" s="19" t="s">
        <v>654</v>
      </c>
      <c r="C10" s="20" t="s">
        <v>159</v>
      </c>
      <c r="D10" s="13" t="str">
        <f>IFERROR(VLOOKUP(C10,'📋 City-Tier Master'!$A$4:$B$628,2,0),"T4")</f>
        <v>T2</v>
      </c>
      <c r="E10" s="21" t="s">
        <v>652</v>
      </c>
      <c r="F10" s="22">
        <v>109</v>
      </c>
      <c r="G10" s="23"/>
    </row>
    <row r="11" spans="1:8" x14ac:dyDescent="0.25">
      <c r="A11" s="24" t="s">
        <v>660</v>
      </c>
      <c r="B11" s="25" t="s">
        <v>654</v>
      </c>
      <c r="C11" s="20" t="s">
        <v>161</v>
      </c>
      <c r="D11" s="13" t="str">
        <f>IFERROR(VLOOKUP(C11,'📋 City-Tier Master'!$A$4:$B$628,2,0),"T4")</f>
        <v>T2</v>
      </c>
      <c r="E11" s="26" t="s">
        <v>652</v>
      </c>
      <c r="F11" s="27">
        <v>23</v>
      </c>
      <c r="G11" s="23"/>
    </row>
    <row r="12" spans="1:8" x14ac:dyDescent="0.25">
      <c r="A12" s="18" t="s">
        <v>661</v>
      </c>
      <c r="B12" s="19" t="s">
        <v>654</v>
      </c>
      <c r="C12" s="20" t="s">
        <v>154</v>
      </c>
      <c r="D12" s="13" t="str">
        <f>IFERROR(VLOOKUP(C12,'📋 City-Tier Master'!$A$4:$B$628,2,0),"T4")</f>
        <v>T2</v>
      </c>
      <c r="E12" s="21" t="s">
        <v>652</v>
      </c>
      <c r="F12" s="22">
        <v>95</v>
      </c>
      <c r="G12" s="23"/>
    </row>
    <row r="13" spans="1:8" x14ac:dyDescent="0.25">
      <c r="A13" s="24" t="s">
        <v>662</v>
      </c>
      <c r="B13" s="25" t="s">
        <v>654</v>
      </c>
      <c r="C13" s="20" t="s">
        <v>153</v>
      </c>
      <c r="D13" s="13" t="str">
        <f>IFERROR(VLOOKUP(C13,'📋 City-Tier Master'!$A$4:$B$628,2,0),"T4")</f>
        <v>T2</v>
      </c>
      <c r="E13" s="26" t="s">
        <v>652</v>
      </c>
      <c r="F13" s="27">
        <v>26</v>
      </c>
      <c r="G13" s="23"/>
    </row>
    <row r="14" spans="1:8" x14ac:dyDescent="0.25">
      <c r="A14" s="18" t="s">
        <v>663</v>
      </c>
      <c r="B14" s="19" t="s">
        <v>654</v>
      </c>
      <c r="C14" s="20" t="s">
        <v>152</v>
      </c>
      <c r="D14" s="13" t="str">
        <f>IFERROR(VLOOKUP(C14,'📋 City-Tier Master'!$A$4:$B$628,2,0),"T4")</f>
        <v>T2</v>
      </c>
      <c r="E14" s="21" t="s">
        <v>652</v>
      </c>
      <c r="F14" s="22">
        <v>43</v>
      </c>
      <c r="G14" s="23"/>
    </row>
    <row r="15" spans="1:8" x14ac:dyDescent="0.25">
      <c r="A15" s="24" t="s">
        <v>159</v>
      </c>
      <c r="B15" s="25" t="s">
        <v>654</v>
      </c>
      <c r="C15" s="20" t="s">
        <v>159</v>
      </c>
      <c r="D15" s="13" t="str">
        <f>IFERROR(VLOOKUP(C15,'📋 City-Tier Master'!$A$4:$B$628,2,0),"T4")</f>
        <v>T2</v>
      </c>
      <c r="E15" s="26" t="s">
        <v>652</v>
      </c>
      <c r="F15" s="27">
        <v>17</v>
      </c>
      <c r="G15" s="23"/>
    </row>
    <row r="16" spans="1:8" x14ac:dyDescent="0.25">
      <c r="A16" s="18" t="s">
        <v>664</v>
      </c>
      <c r="B16" s="19" t="s">
        <v>654</v>
      </c>
      <c r="C16" s="20" t="s">
        <v>159</v>
      </c>
      <c r="D16" s="13" t="str">
        <f>IFERROR(VLOOKUP(C16,'📋 City-Tier Master'!$A$4:$B$628,2,0),"T4")</f>
        <v>T2</v>
      </c>
      <c r="E16" s="21" t="s">
        <v>652</v>
      </c>
      <c r="F16" s="22">
        <v>10</v>
      </c>
      <c r="G16" s="23"/>
    </row>
    <row r="17" spans="1:7" x14ac:dyDescent="0.25">
      <c r="A17" s="24" t="s">
        <v>665</v>
      </c>
      <c r="B17" s="25" t="s">
        <v>654</v>
      </c>
      <c r="C17" s="20" t="s">
        <v>153</v>
      </c>
      <c r="D17" s="13" t="str">
        <f>IFERROR(VLOOKUP(C17,'📋 City-Tier Master'!$A$4:$B$628,2,0),"T4")</f>
        <v>T2</v>
      </c>
      <c r="E17" s="26" t="s">
        <v>652</v>
      </c>
      <c r="F17" s="27">
        <v>134</v>
      </c>
      <c r="G17" s="23"/>
    </row>
    <row r="18" spans="1:7" x14ac:dyDescent="0.25">
      <c r="A18" s="18" t="s">
        <v>444</v>
      </c>
      <c r="B18" s="19" t="s">
        <v>654</v>
      </c>
      <c r="C18" s="20" t="s">
        <v>444</v>
      </c>
      <c r="D18" s="14" t="str">
        <f>IFERROR(VLOOKUP(C18,'📋 City-Tier Master'!$A$4:$B$628,2,0),"T4")</f>
        <v>T3</v>
      </c>
      <c r="E18" s="21" t="s">
        <v>652</v>
      </c>
      <c r="F18" s="22">
        <v>19</v>
      </c>
      <c r="G18" s="23"/>
    </row>
    <row r="19" spans="1:7" x14ac:dyDescent="0.25">
      <c r="A19" s="24" t="s">
        <v>666</v>
      </c>
      <c r="B19" s="25" t="s">
        <v>654</v>
      </c>
      <c r="C19" s="20" t="s">
        <v>156</v>
      </c>
      <c r="D19" s="13" t="str">
        <f>IFERROR(VLOOKUP(C19,'📋 City-Tier Master'!$A$4:$B$628,2,0),"T4")</f>
        <v>T2</v>
      </c>
      <c r="E19" s="26" t="s">
        <v>652</v>
      </c>
      <c r="F19" s="27">
        <v>41</v>
      </c>
      <c r="G19" s="23"/>
    </row>
    <row r="20" spans="1:7" x14ac:dyDescent="0.25">
      <c r="A20" s="18" t="s">
        <v>667</v>
      </c>
      <c r="B20" s="19" t="s">
        <v>654</v>
      </c>
      <c r="C20" s="20" t="s">
        <v>154</v>
      </c>
      <c r="D20" s="13" t="str">
        <f>IFERROR(VLOOKUP(C20,'📋 City-Tier Master'!$A$4:$B$628,2,0),"T4")</f>
        <v>T2</v>
      </c>
      <c r="E20" s="21" t="s">
        <v>652</v>
      </c>
      <c r="F20" s="22">
        <v>15</v>
      </c>
      <c r="G20" s="23"/>
    </row>
    <row r="21" spans="1:7" x14ac:dyDescent="0.25">
      <c r="A21" s="24" t="s">
        <v>668</v>
      </c>
      <c r="B21" s="25" t="s">
        <v>654</v>
      </c>
      <c r="C21" s="20" t="s">
        <v>162</v>
      </c>
      <c r="D21" s="13" t="str">
        <f>IFERROR(VLOOKUP(C21,'📋 City-Tier Master'!$A$4:$B$628,2,0),"T4")</f>
        <v>T2</v>
      </c>
      <c r="E21" s="26" t="s">
        <v>652</v>
      </c>
      <c r="F21" s="27">
        <v>6</v>
      </c>
      <c r="G21" s="23"/>
    </row>
    <row r="22" spans="1:7" x14ac:dyDescent="0.25">
      <c r="A22" s="18" t="s">
        <v>669</v>
      </c>
      <c r="B22" s="19" t="s">
        <v>654</v>
      </c>
      <c r="C22" s="20" t="s">
        <v>157</v>
      </c>
      <c r="D22" s="13" t="str">
        <f>IFERROR(VLOOKUP(C22,'📋 City-Tier Master'!$A$4:$B$628,2,0),"T4")</f>
        <v>T2</v>
      </c>
      <c r="E22" s="21" t="s">
        <v>652</v>
      </c>
      <c r="F22" s="22">
        <v>55</v>
      </c>
      <c r="G22" s="23"/>
    </row>
    <row r="23" spans="1:7" x14ac:dyDescent="0.25">
      <c r="A23" s="24" t="s">
        <v>670</v>
      </c>
      <c r="B23" s="25" t="s">
        <v>654</v>
      </c>
      <c r="C23" s="20" t="s">
        <v>162</v>
      </c>
      <c r="D23" s="13" t="str">
        <f>IFERROR(VLOOKUP(C23,'📋 City-Tier Master'!$A$4:$B$628,2,0),"T4")</f>
        <v>T2</v>
      </c>
      <c r="E23" s="26" t="s">
        <v>652</v>
      </c>
      <c r="F23" s="27">
        <v>30</v>
      </c>
      <c r="G23" s="23"/>
    </row>
    <row r="24" spans="1:7" x14ac:dyDescent="0.25">
      <c r="A24" s="18" t="s">
        <v>671</v>
      </c>
      <c r="B24" s="19" t="s">
        <v>654</v>
      </c>
      <c r="C24" s="20" t="s">
        <v>149</v>
      </c>
      <c r="D24" s="13" t="str">
        <f>IFERROR(VLOOKUP(C24,'📋 City-Tier Master'!$A$4:$B$628,2,0),"T4")</f>
        <v>T2</v>
      </c>
      <c r="E24" s="21" t="s">
        <v>652</v>
      </c>
      <c r="F24" s="22">
        <v>5</v>
      </c>
      <c r="G24" s="23"/>
    </row>
    <row r="25" spans="1:7" x14ac:dyDescent="0.25">
      <c r="A25" s="24" t="s">
        <v>151</v>
      </c>
      <c r="B25" s="25" t="s">
        <v>654</v>
      </c>
      <c r="C25" s="20" t="s">
        <v>151</v>
      </c>
      <c r="D25" s="13" t="str">
        <f>IFERROR(VLOOKUP(C25,'📋 City-Tier Master'!$A$4:$B$628,2,0),"T4")</f>
        <v>T2</v>
      </c>
      <c r="E25" s="26" t="s">
        <v>652</v>
      </c>
      <c r="F25" s="27">
        <v>11</v>
      </c>
      <c r="G25" s="23"/>
    </row>
    <row r="26" spans="1:7" x14ac:dyDescent="0.25">
      <c r="A26" s="18" t="s">
        <v>672</v>
      </c>
      <c r="B26" s="19" t="s">
        <v>654</v>
      </c>
      <c r="C26" s="20" t="s">
        <v>158</v>
      </c>
      <c r="D26" s="13" t="str">
        <f>IFERROR(VLOOKUP(C26,'📋 City-Tier Master'!$A$4:$B$628,2,0),"T4")</f>
        <v>T2</v>
      </c>
      <c r="E26" s="21" t="s">
        <v>652</v>
      </c>
      <c r="F26" s="22">
        <v>164</v>
      </c>
      <c r="G26" s="23"/>
    </row>
    <row r="27" spans="1:7" x14ac:dyDescent="0.25">
      <c r="A27" s="24" t="s">
        <v>673</v>
      </c>
      <c r="B27" s="25" t="s">
        <v>654</v>
      </c>
      <c r="C27" s="20" t="s">
        <v>162</v>
      </c>
      <c r="D27" s="13" t="str">
        <f>IFERROR(VLOOKUP(C27,'📋 City-Tier Master'!$A$4:$B$628,2,0),"T4")</f>
        <v>T2</v>
      </c>
      <c r="E27" s="26" t="s">
        <v>652</v>
      </c>
      <c r="F27" s="27">
        <v>38</v>
      </c>
      <c r="G27" s="23"/>
    </row>
    <row r="28" spans="1:7" x14ac:dyDescent="0.25">
      <c r="A28" s="18" t="s">
        <v>674</v>
      </c>
      <c r="B28" s="19" t="s">
        <v>654</v>
      </c>
      <c r="C28" s="20" t="s">
        <v>161</v>
      </c>
      <c r="D28" s="13" t="str">
        <f>IFERROR(VLOOKUP(C28,'📋 City-Tier Master'!$A$4:$B$628,2,0),"T4")</f>
        <v>T2</v>
      </c>
      <c r="E28" s="21" t="s">
        <v>652</v>
      </c>
      <c r="F28" s="22">
        <v>43</v>
      </c>
      <c r="G28" s="23"/>
    </row>
    <row r="29" spans="1:7" x14ac:dyDescent="0.25">
      <c r="A29" s="24" t="s">
        <v>675</v>
      </c>
      <c r="B29" s="25" t="s">
        <v>654</v>
      </c>
      <c r="C29" s="20" t="s">
        <v>150</v>
      </c>
      <c r="D29" s="13" t="str">
        <f>IFERROR(VLOOKUP(C29,'📋 City-Tier Master'!$A$4:$B$628,2,0),"T4")</f>
        <v>T2</v>
      </c>
      <c r="E29" s="26" t="s">
        <v>652</v>
      </c>
      <c r="F29" s="27">
        <v>45</v>
      </c>
      <c r="G29" s="23"/>
    </row>
    <row r="30" spans="1:7" x14ac:dyDescent="0.25">
      <c r="A30" s="18" t="s">
        <v>676</v>
      </c>
      <c r="B30" s="19" t="s">
        <v>677</v>
      </c>
      <c r="C30" s="20" t="s">
        <v>678</v>
      </c>
      <c r="D30" s="14" t="str">
        <f>IFERROR(VLOOKUP(C30,'📋 City-Tier Master'!$A$4:$B$628,2,0),"T4")</f>
        <v>T4</v>
      </c>
      <c r="E30" s="21" t="s">
        <v>652</v>
      </c>
      <c r="F30" s="22">
        <v>1</v>
      </c>
      <c r="G30" s="23"/>
    </row>
    <row r="31" spans="1:7" x14ac:dyDescent="0.25">
      <c r="A31" s="24" t="s">
        <v>679</v>
      </c>
      <c r="B31" s="25" t="s">
        <v>677</v>
      </c>
      <c r="C31" s="20" t="s">
        <v>678</v>
      </c>
      <c r="D31" s="14" t="str">
        <f>IFERROR(VLOOKUP(C31,'📋 City-Tier Master'!$A$4:$B$628,2,0),"T4")</f>
        <v>T4</v>
      </c>
      <c r="E31" s="26" t="s">
        <v>652</v>
      </c>
      <c r="F31" s="27">
        <v>8</v>
      </c>
      <c r="G31" s="23"/>
    </row>
    <row r="32" spans="1:7" x14ac:dyDescent="0.25">
      <c r="A32" s="18" t="s">
        <v>680</v>
      </c>
      <c r="B32" s="19" t="s">
        <v>677</v>
      </c>
      <c r="C32" s="20" t="s">
        <v>678</v>
      </c>
      <c r="D32" s="14" t="str">
        <f>IFERROR(VLOOKUP(C32,'📋 City-Tier Master'!$A$4:$B$628,2,0),"T4")</f>
        <v>T4</v>
      </c>
      <c r="E32" s="21" t="s">
        <v>652</v>
      </c>
      <c r="F32" s="22">
        <v>1</v>
      </c>
      <c r="G32" s="23"/>
    </row>
    <row r="33" spans="1:7" x14ac:dyDescent="0.25">
      <c r="A33" s="24" t="s">
        <v>681</v>
      </c>
      <c r="B33" s="25" t="s">
        <v>677</v>
      </c>
      <c r="C33" s="20" t="s">
        <v>1420</v>
      </c>
      <c r="D33" s="14" t="str">
        <f>IFERROR(VLOOKUP(C33,'📋 City-Tier Master'!$A$4:$B$628,2,0),"T4")</f>
        <v>T4</v>
      </c>
      <c r="E33" s="26" t="s">
        <v>652</v>
      </c>
      <c r="F33" s="27">
        <v>4</v>
      </c>
      <c r="G33" s="23"/>
    </row>
    <row r="34" spans="1:7" x14ac:dyDescent="0.25">
      <c r="A34" s="18" t="s">
        <v>682</v>
      </c>
      <c r="B34" s="19" t="s">
        <v>677</v>
      </c>
      <c r="C34" s="20" t="s">
        <v>1421</v>
      </c>
      <c r="D34" s="14" t="str">
        <f>IFERROR(VLOOKUP(C34,'📋 City-Tier Master'!$A$4:$B$628,2,0),"T4")</f>
        <v>T4</v>
      </c>
      <c r="E34" s="21" t="s">
        <v>652</v>
      </c>
      <c r="F34" s="22">
        <v>3</v>
      </c>
      <c r="G34" s="23"/>
    </row>
    <row r="35" spans="1:7" x14ac:dyDescent="0.25">
      <c r="A35" s="24" t="s">
        <v>683</v>
      </c>
      <c r="B35" s="25" t="s">
        <v>677</v>
      </c>
      <c r="C35" s="20" t="s">
        <v>678</v>
      </c>
      <c r="D35" s="14" t="str">
        <f>IFERROR(VLOOKUP(C35,'📋 City-Tier Master'!$A$4:$B$628,2,0),"T4")</f>
        <v>T4</v>
      </c>
      <c r="E35" s="26" t="s">
        <v>652</v>
      </c>
      <c r="F35" s="27">
        <v>36</v>
      </c>
      <c r="G35" s="23"/>
    </row>
    <row r="36" spans="1:7" x14ac:dyDescent="0.25">
      <c r="A36" s="18" t="s">
        <v>684</v>
      </c>
      <c r="B36" s="19" t="s">
        <v>677</v>
      </c>
      <c r="C36" s="20" t="s">
        <v>678</v>
      </c>
      <c r="D36" s="14" t="str">
        <f>IFERROR(VLOOKUP(C36,'📋 City-Tier Master'!$A$4:$B$628,2,0),"T4")</f>
        <v>T4</v>
      </c>
      <c r="E36" s="21" t="s">
        <v>652</v>
      </c>
      <c r="F36" s="22">
        <v>2</v>
      </c>
      <c r="G36" s="23"/>
    </row>
    <row r="37" spans="1:7" x14ac:dyDescent="0.25">
      <c r="A37" s="24" t="s">
        <v>685</v>
      </c>
      <c r="B37" s="25" t="s">
        <v>677</v>
      </c>
      <c r="C37" s="20" t="s">
        <v>678</v>
      </c>
      <c r="D37" s="14" t="str">
        <f>IFERROR(VLOOKUP(C37,'📋 City-Tier Master'!$A$4:$B$628,2,0),"T4")</f>
        <v>T4</v>
      </c>
      <c r="E37" s="26" t="s">
        <v>652</v>
      </c>
      <c r="F37" s="27">
        <v>2</v>
      </c>
      <c r="G37" s="23"/>
    </row>
    <row r="38" spans="1:7" x14ac:dyDescent="0.25">
      <c r="A38" s="18" t="s">
        <v>686</v>
      </c>
      <c r="B38" s="19" t="s">
        <v>687</v>
      </c>
      <c r="C38" s="20" t="s">
        <v>530</v>
      </c>
      <c r="D38" s="12" t="str">
        <f>IFERROR(VLOOKUP(C38,'📋 City-Tier Master'!$A$4:$B$628,2,0),"T4")</f>
        <v>T3</v>
      </c>
      <c r="E38" s="21" t="s">
        <v>652</v>
      </c>
      <c r="F38" s="22">
        <v>2</v>
      </c>
      <c r="G38" s="23"/>
    </row>
    <row r="39" spans="1:7" x14ac:dyDescent="0.25">
      <c r="A39" s="24" t="s">
        <v>688</v>
      </c>
      <c r="B39" s="25" t="s">
        <v>687</v>
      </c>
      <c r="C39" s="20" t="s">
        <v>530</v>
      </c>
      <c r="D39" s="14" t="str">
        <f>IFERROR(VLOOKUP(C39,'📋 City-Tier Master'!$A$4:$B$628,2,0),"T4")</f>
        <v>T3</v>
      </c>
      <c r="E39" s="26" t="s">
        <v>652</v>
      </c>
      <c r="F39" s="27">
        <v>18</v>
      </c>
      <c r="G39" s="23"/>
    </row>
    <row r="40" spans="1:7" x14ac:dyDescent="0.25">
      <c r="A40" s="18" t="s">
        <v>689</v>
      </c>
      <c r="B40" s="19" t="s">
        <v>687</v>
      </c>
      <c r="C40" s="20" t="s">
        <v>535</v>
      </c>
      <c r="D40" s="14" t="str">
        <f>IFERROR(VLOOKUP(C40,'📋 City-Tier Master'!$A$4:$B$628,2,0),"T4")</f>
        <v>T3</v>
      </c>
      <c r="E40" s="21" t="s">
        <v>652</v>
      </c>
      <c r="F40" s="22">
        <v>19</v>
      </c>
      <c r="G40" s="23"/>
    </row>
    <row r="41" spans="1:7" x14ac:dyDescent="0.25">
      <c r="A41" s="24" t="s">
        <v>690</v>
      </c>
      <c r="B41" s="25" t="s">
        <v>687</v>
      </c>
      <c r="C41" s="20" t="s">
        <v>530</v>
      </c>
      <c r="D41" s="14" t="str">
        <f>IFERROR(VLOOKUP(C41,'📋 City-Tier Master'!$A$4:$B$628,2,0),"T4")</f>
        <v>T3</v>
      </c>
      <c r="E41" s="26" t="s">
        <v>652</v>
      </c>
      <c r="F41" s="27">
        <v>4</v>
      </c>
      <c r="G41" s="23"/>
    </row>
    <row r="42" spans="1:7" x14ac:dyDescent="0.25">
      <c r="A42" s="18" t="s">
        <v>691</v>
      </c>
      <c r="B42" s="19" t="s">
        <v>687</v>
      </c>
      <c r="C42" s="20" t="s">
        <v>537</v>
      </c>
      <c r="D42" s="14" t="str">
        <f>IFERROR(VLOOKUP(C42,'📋 City-Tier Master'!$A$4:$B$628,2,0),"T4")</f>
        <v>T3</v>
      </c>
      <c r="E42" s="21" t="s">
        <v>652</v>
      </c>
      <c r="F42" s="22">
        <v>7</v>
      </c>
      <c r="G42" s="23"/>
    </row>
    <row r="43" spans="1:7" x14ac:dyDescent="0.25">
      <c r="A43" s="24" t="s">
        <v>692</v>
      </c>
      <c r="B43" s="25" t="s">
        <v>687</v>
      </c>
      <c r="C43" s="20" t="s">
        <v>546</v>
      </c>
      <c r="D43" s="14" t="str">
        <f>IFERROR(VLOOKUP(C43,'📋 City-Tier Master'!$A$4:$B$628,2,0),"T4")</f>
        <v>T3</v>
      </c>
      <c r="E43" s="26" t="s">
        <v>652</v>
      </c>
      <c r="F43" s="27">
        <v>31</v>
      </c>
      <c r="G43" s="23"/>
    </row>
    <row r="44" spans="1:7" x14ac:dyDescent="0.25">
      <c r="A44" s="18" t="s">
        <v>693</v>
      </c>
      <c r="B44" s="19" t="s">
        <v>687</v>
      </c>
      <c r="C44" s="20" t="s">
        <v>541</v>
      </c>
      <c r="D44" s="14" t="str">
        <f>IFERROR(VLOOKUP(C44,'📋 City-Tier Master'!$A$4:$B$628,2,0),"T4")</f>
        <v>T3</v>
      </c>
      <c r="E44" s="21" t="s">
        <v>652</v>
      </c>
      <c r="F44" s="22">
        <v>3</v>
      </c>
      <c r="G44" s="23"/>
    </row>
    <row r="45" spans="1:7" x14ac:dyDescent="0.25">
      <c r="A45" s="24" t="s">
        <v>694</v>
      </c>
      <c r="B45" s="25" t="s">
        <v>687</v>
      </c>
      <c r="C45" s="20" t="s">
        <v>535</v>
      </c>
      <c r="D45" s="14" t="str">
        <f>IFERROR(VLOOKUP(C45,'📋 City-Tier Master'!$A$4:$B$628,2,0),"T4")</f>
        <v>T3</v>
      </c>
      <c r="E45" s="26" t="s">
        <v>652</v>
      </c>
      <c r="F45" s="27">
        <v>2</v>
      </c>
      <c r="G45" s="23"/>
    </row>
    <row r="46" spans="1:7" x14ac:dyDescent="0.25">
      <c r="A46" s="18" t="s">
        <v>695</v>
      </c>
      <c r="B46" s="19" t="s">
        <v>687</v>
      </c>
      <c r="C46" s="20" t="s">
        <v>537</v>
      </c>
      <c r="D46" s="14" t="str">
        <f>IFERROR(VLOOKUP(C46,'📋 City-Tier Master'!$A$4:$B$628,2,0),"T4")</f>
        <v>T3</v>
      </c>
      <c r="E46" s="21" t="s">
        <v>652</v>
      </c>
      <c r="F46" s="22">
        <v>10</v>
      </c>
      <c r="G46" s="23"/>
    </row>
    <row r="47" spans="1:7" x14ac:dyDescent="0.25">
      <c r="A47" s="24" t="s">
        <v>696</v>
      </c>
      <c r="B47" s="25" t="s">
        <v>687</v>
      </c>
      <c r="C47" s="20" t="s">
        <v>545</v>
      </c>
      <c r="D47" s="14" t="str">
        <f>IFERROR(VLOOKUP(C47,'📋 City-Tier Master'!$A$4:$B$628,2,0),"T4")</f>
        <v>T3</v>
      </c>
      <c r="E47" s="26" t="s">
        <v>652</v>
      </c>
      <c r="F47" s="27">
        <v>6</v>
      </c>
      <c r="G47" s="23"/>
    </row>
    <row r="48" spans="1:7" x14ac:dyDescent="0.25">
      <c r="A48" s="18" t="s">
        <v>697</v>
      </c>
      <c r="B48" s="19" t="s">
        <v>687</v>
      </c>
      <c r="C48" s="20" t="s">
        <v>532</v>
      </c>
      <c r="D48" s="14" t="str">
        <f>IFERROR(VLOOKUP(C48,'📋 City-Tier Master'!$A$4:$B$628,2,0),"T4")</f>
        <v>T3</v>
      </c>
      <c r="E48" s="21" t="s">
        <v>652</v>
      </c>
      <c r="F48" s="22">
        <v>17</v>
      </c>
      <c r="G48" s="23"/>
    </row>
    <row r="49" spans="1:7" x14ac:dyDescent="0.25">
      <c r="A49" s="24" t="s">
        <v>698</v>
      </c>
      <c r="B49" s="25" t="s">
        <v>687</v>
      </c>
      <c r="C49" s="20" t="s">
        <v>542</v>
      </c>
      <c r="D49" s="14" t="str">
        <f>IFERROR(VLOOKUP(C49,'📋 City-Tier Master'!$A$4:$B$628,2,0),"T4")</f>
        <v>T3</v>
      </c>
      <c r="E49" s="26" t="s">
        <v>652</v>
      </c>
      <c r="F49" s="27">
        <v>35</v>
      </c>
      <c r="G49" s="23"/>
    </row>
    <row r="50" spans="1:7" x14ac:dyDescent="0.25">
      <c r="A50" s="18" t="s">
        <v>699</v>
      </c>
      <c r="B50" s="19" t="s">
        <v>687</v>
      </c>
      <c r="C50" s="20" t="s">
        <v>546</v>
      </c>
      <c r="D50" s="14" t="str">
        <f>IFERROR(VLOOKUP(C50,'📋 City-Tier Master'!$A$4:$B$628,2,0),"T4")</f>
        <v>T3</v>
      </c>
      <c r="E50" s="21" t="s">
        <v>652</v>
      </c>
      <c r="F50" s="22">
        <v>2</v>
      </c>
      <c r="G50" s="23"/>
    </row>
    <row r="51" spans="1:7" x14ac:dyDescent="0.25">
      <c r="A51" s="24" t="s">
        <v>700</v>
      </c>
      <c r="B51" s="25" t="s">
        <v>687</v>
      </c>
      <c r="C51" s="20" t="s">
        <v>531</v>
      </c>
      <c r="D51" s="14" t="str">
        <f>IFERROR(VLOOKUP(C51,'📋 City-Tier Master'!$A$4:$B$628,2,0),"T4")</f>
        <v>T3</v>
      </c>
      <c r="E51" s="26" t="s">
        <v>652</v>
      </c>
      <c r="F51" s="27">
        <v>7</v>
      </c>
      <c r="G51" s="23"/>
    </row>
    <row r="52" spans="1:7" x14ac:dyDescent="0.25">
      <c r="A52" s="18" t="s">
        <v>701</v>
      </c>
      <c r="B52" s="19" t="s">
        <v>687</v>
      </c>
      <c r="C52" s="20" t="s">
        <v>540</v>
      </c>
      <c r="D52" s="14" t="str">
        <f>IFERROR(VLOOKUP(C52,'📋 City-Tier Master'!$A$4:$B$628,2,0),"T4")</f>
        <v>T3</v>
      </c>
      <c r="E52" s="21" t="s">
        <v>652</v>
      </c>
      <c r="F52" s="22">
        <v>10</v>
      </c>
      <c r="G52" s="23"/>
    </row>
    <row r="53" spans="1:7" x14ac:dyDescent="0.25">
      <c r="A53" s="24" t="s">
        <v>702</v>
      </c>
      <c r="B53" s="25" t="s">
        <v>687</v>
      </c>
      <c r="C53" s="20" t="s">
        <v>546</v>
      </c>
      <c r="D53" s="14" t="str">
        <f>IFERROR(VLOOKUP(C53,'📋 City-Tier Master'!$A$4:$B$628,2,0),"T4")</f>
        <v>T3</v>
      </c>
      <c r="E53" s="26" t="s">
        <v>652</v>
      </c>
      <c r="F53" s="27">
        <v>5</v>
      </c>
      <c r="G53" s="23"/>
    </row>
    <row r="54" spans="1:7" x14ac:dyDescent="0.25">
      <c r="A54" s="18" t="s">
        <v>703</v>
      </c>
      <c r="B54" s="19" t="s">
        <v>687</v>
      </c>
      <c r="C54" s="20" t="s">
        <v>704</v>
      </c>
      <c r="D54" s="14" t="str">
        <f>IFERROR(VLOOKUP(C54,'📋 City-Tier Master'!$A$4:$B$628,2,0),"T4")</f>
        <v>T4</v>
      </c>
      <c r="E54" s="21" t="s">
        <v>652</v>
      </c>
      <c r="F54" s="22">
        <v>6</v>
      </c>
      <c r="G54" s="23"/>
    </row>
    <row r="55" spans="1:7" x14ac:dyDescent="0.25">
      <c r="A55" s="24" t="s">
        <v>705</v>
      </c>
      <c r="B55" s="25" t="s">
        <v>687</v>
      </c>
      <c r="C55" s="20" t="s">
        <v>539</v>
      </c>
      <c r="D55" s="14" t="str">
        <f>IFERROR(VLOOKUP(C55,'📋 City-Tier Master'!$A$4:$B$628,2,0),"T4")</f>
        <v>T3</v>
      </c>
      <c r="E55" s="26" t="s">
        <v>652</v>
      </c>
      <c r="F55" s="27">
        <v>30</v>
      </c>
      <c r="G55" s="23"/>
    </row>
    <row r="56" spans="1:7" x14ac:dyDescent="0.25">
      <c r="A56" s="18" t="s">
        <v>706</v>
      </c>
      <c r="B56" s="19" t="s">
        <v>687</v>
      </c>
      <c r="C56" s="20" t="s">
        <v>59</v>
      </c>
      <c r="D56" s="12" t="str">
        <f>IFERROR(VLOOKUP(C56,'📋 City-Tier Master'!$A$4:$B$628,2,0),"T4")</f>
        <v>T1</v>
      </c>
      <c r="E56" s="21" t="s">
        <v>652</v>
      </c>
      <c r="F56" s="22">
        <v>20</v>
      </c>
      <c r="G56" s="23"/>
    </row>
    <row r="57" spans="1:7" x14ac:dyDescent="0.25">
      <c r="A57" s="24" t="s">
        <v>707</v>
      </c>
      <c r="B57" s="25" t="s">
        <v>687</v>
      </c>
      <c r="C57" s="20" t="s">
        <v>59</v>
      </c>
      <c r="D57" s="12" t="str">
        <f>IFERROR(VLOOKUP(C57,'📋 City-Tier Master'!$A$4:$B$628,2,0),"T4")</f>
        <v>T1</v>
      </c>
      <c r="E57" s="26" t="s">
        <v>652</v>
      </c>
      <c r="F57" s="27">
        <v>216</v>
      </c>
      <c r="G57" s="23"/>
    </row>
    <row r="58" spans="1:7" x14ac:dyDescent="0.25">
      <c r="A58" s="18" t="s">
        <v>708</v>
      </c>
      <c r="B58" s="19" t="s">
        <v>687</v>
      </c>
      <c r="C58" s="20" t="s">
        <v>537</v>
      </c>
      <c r="D58" s="14" t="str">
        <f>IFERROR(VLOOKUP(C58,'📋 City-Tier Master'!$A$4:$B$628,2,0),"T4")</f>
        <v>T3</v>
      </c>
      <c r="E58" s="21" t="s">
        <v>652</v>
      </c>
      <c r="F58" s="22">
        <v>10</v>
      </c>
      <c r="G58" s="23"/>
    </row>
    <row r="59" spans="1:7" x14ac:dyDescent="0.25">
      <c r="A59" s="24" t="s">
        <v>709</v>
      </c>
      <c r="B59" s="25" t="s">
        <v>687</v>
      </c>
      <c r="C59" s="20" t="s">
        <v>546</v>
      </c>
      <c r="D59" s="14" t="str">
        <f>IFERROR(VLOOKUP(C59,'📋 City-Tier Master'!$A$4:$B$628,2,0),"T4")</f>
        <v>T3</v>
      </c>
      <c r="E59" s="26" t="s">
        <v>652</v>
      </c>
      <c r="F59" s="27">
        <v>8</v>
      </c>
      <c r="G59" s="23"/>
    </row>
    <row r="60" spans="1:7" x14ac:dyDescent="0.25">
      <c r="A60" s="18" t="s">
        <v>710</v>
      </c>
      <c r="B60" s="19" t="s">
        <v>687</v>
      </c>
      <c r="C60" s="20" t="s">
        <v>535</v>
      </c>
      <c r="D60" s="14" t="str">
        <f>IFERROR(VLOOKUP(C60,'📋 City-Tier Master'!$A$4:$B$628,2,0),"T4")</f>
        <v>T3</v>
      </c>
      <c r="E60" s="21" t="s">
        <v>652</v>
      </c>
      <c r="F60" s="22">
        <v>10</v>
      </c>
      <c r="G60" s="23"/>
    </row>
    <row r="61" spans="1:7" x14ac:dyDescent="0.25">
      <c r="A61" s="24" t="s">
        <v>711</v>
      </c>
      <c r="B61" s="25" t="s">
        <v>687</v>
      </c>
      <c r="C61" s="20" t="s">
        <v>544</v>
      </c>
      <c r="D61" s="14" t="str">
        <f>IFERROR(VLOOKUP(C61,'📋 City-Tier Master'!$A$4:$B$628,2,0),"T4")</f>
        <v>T3</v>
      </c>
      <c r="E61" s="26" t="s">
        <v>652</v>
      </c>
      <c r="F61" s="27">
        <v>9</v>
      </c>
      <c r="G61" s="23"/>
    </row>
    <row r="62" spans="1:7" x14ac:dyDescent="0.25">
      <c r="A62" s="18" t="s">
        <v>712</v>
      </c>
      <c r="B62" s="19" t="s">
        <v>687</v>
      </c>
      <c r="C62" s="20" t="s">
        <v>539</v>
      </c>
      <c r="D62" s="14" t="str">
        <f>IFERROR(VLOOKUP(C62,'📋 City-Tier Master'!$A$4:$B$628,2,0),"T4")</f>
        <v>T3</v>
      </c>
      <c r="E62" s="21" t="s">
        <v>652</v>
      </c>
      <c r="F62" s="22">
        <v>1</v>
      </c>
      <c r="G62" s="23"/>
    </row>
    <row r="63" spans="1:7" x14ac:dyDescent="0.25">
      <c r="A63" s="24" t="s">
        <v>713</v>
      </c>
      <c r="B63" s="25" t="s">
        <v>687</v>
      </c>
      <c r="C63" s="20" t="s">
        <v>59</v>
      </c>
      <c r="D63" s="12" t="str">
        <f>IFERROR(VLOOKUP(C63,'📋 City-Tier Master'!$A$4:$B$628,2,0),"T4")</f>
        <v>T1</v>
      </c>
      <c r="E63" s="26" t="s">
        <v>652</v>
      </c>
      <c r="F63" s="27">
        <v>8</v>
      </c>
      <c r="G63" s="23"/>
    </row>
    <row r="64" spans="1:7" x14ac:dyDescent="0.25">
      <c r="A64" s="18" t="s">
        <v>714</v>
      </c>
      <c r="B64" s="19" t="s">
        <v>687</v>
      </c>
      <c r="C64" s="20" t="s">
        <v>537</v>
      </c>
      <c r="D64" s="14" t="str">
        <f>IFERROR(VLOOKUP(C64,'📋 City-Tier Master'!$A$4:$B$628,2,0),"T4")</f>
        <v>T3</v>
      </c>
      <c r="E64" s="21" t="s">
        <v>652</v>
      </c>
      <c r="F64" s="22">
        <v>19</v>
      </c>
      <c r="G64" s="23"/>
    </row>
    <row r="65" spans="1:7" x14ac:dyDescent="0.25">
      <c r="A65" s="24" t="s">
        <v>715</v>
      </c>
      <c r="B65" s="25" t="s">
        <v>687</v>
      </c>
      <c r="C65" s="20" t="s">
        <v>1422</v>
      </c>
      <c r="D65" s="12" t="str">
        <f>IFERROR(VLOOKUP(C65,'📋 City-Tier Master'!$A$4:$B$628,2,0),"T4")</f>
        <v>T4</v>
      </c>
      <c r="E65" s="26" t="s">
        <v>652</v>
      </c>
      <c r="F65" s="27">
        <v>14</v>
      </c>
      <c r="G65" s="23"/>
    </row>
    <row r="66" spans="1:7" x14ac:dyDescent="0.25">
      <c r="A66" s="18" t="s">
        <v>716</v>
      </c>
      <c r="B66" s="19" t="s">
        <v>687</v>
      </c>
      <c r="C66" s="20" t="s">
        <v>541</v>
      </c>
      <c r="D66" s="14" t="str">
        <f>IFERROR(VLOOKUP(C66,'📋 City-Tier Master'!$A$4:$B$628,2,0),"T4")</f>
        <v>T3</v>
      </c>
      <c r="E66" s="21" t="s">
        <v>652</v>
      </c>
      <c r="F66" s="22">
        <v>17</v>
      </c>
      <c r="G66" s="23"/>
    </row>
    <row r="67" spans="1:7" x14ac:dyDescent="0.25">
      <c r="A67" s="24" t="s">
        <v>717</v>
      </c>
      <c r="B67" s="25" t="s">
        <v>687</v>
      </c>
      <c r="C67" s="20" t="s">
        <v>537</v>
      </c>
      <c r="D67" s="14" t="str">
        <f>IFERROR(VLOOKUP(C67,'📋 City-Tier Master'!$A$4:$B$628,2,0),"T4")</f>
        <v>T3</v>
      </c>
      <c r="E67" s="26" t="s">
        <v>652</v>
      </c>
      <c r="F67" s="27">
        <v>26</v>
      </c>
      <c r="G67" s="23"/>
    </row>
    <row r="68" spans="1:7" x14ac:dyDescent="0.25">
      <c r="A68" s="18" t="s">
        <v>718</v>
      </c>
      <c r="B68" s="19" t="s">
        <v>687</v>
      </c>
      <c r="C68" s="20" t="s">
        <v>532</v>
      </c>
      <c r="D68" s="14" t="str">
        <f>IFERROR(VLOOKUP(C68,'📋 City-Tier Master'!$A$4:$B$628,2,0),"T4")</f>
        <v>T3</v>
      </c>
      <c r="E68" s="21" t="s">
        <v>652</v>
      </c>
      <c r="F68" s="22">
        <v>2</v>
      </c>
      <c r="G68" s="23"/>
    </row>
    <row r="69" spans="1:7" x14ac:dyDescent="0.25">
      <c r="A69" s="24" t="s">
        <v>719</v>
      </c>
      <c r="B69" s="25" t="s">
        <v>687</v>
      </c>
      <c r="C69" s="20" t="s">
        <v>543</v>
      </c>
      <c r="D69" s="14" t="str">
        <f>IFERROR(VLOOKUP(C69,'📋 City-Tier Master'!$A$4:$B$628,2,0),"T4")</f>
        <v>T3</v>
      </c>
      <c r="E69" s="26" t="s">
        <v>652</v>
      </c>
      <c r="F69" s="27">
        <v>21</v>
      </c>
      <c r="G69" s="23"/>
    </row>
    <row r="70" spans="1:7" x14ac:dyDescent="0.25">
      <c r="A70" s="18" t="s">
        <v>720</v>
      </c>
      <c r="B70" s="19" t="s">
        <v>687</v>
      </c>
      <c r="C70" s="20" t="s">
        <v>59</v>
      </c>
      <c r="D70" s="12" t="str">
        <f>IFERROR(VLOOKUP(C70,'📋 City-Tier Master'!$A$4:$B$628,2,0),"T4")</f>
        <v>T1</v>
      </c>
      <c r="E70" s="21" t="s">
        <v>652</v>
      </c>
      <c r="F70" s="22">
        <v>7</v>
      </c>
      <c r="G70" s="23"/>
    </row>
    <row r="71" spans="1:7" x14ac:dyDescent="0.25">
      <c r="A71" s="24" t="s">
        <v>721</v>
      </c>
      <c r="B71" s="25" t="s">
        <v>722</v>
      </c>
      <c r="C71" s="20" t="s">
        <v>209</v>
      </c>
      <c r="D71" s="13" t="str">
        <f>IFERROR(VLOOKUP(C71,'📋 City-Tier Master'!$A$4:$B$628,2,0),"T4")</f>
        <v>T2</v>
      </c>
      <c r="E71" s="26" t="s">
        <v>652</v>
      </c>
      <c r="F71" s="27">
        <v>21</v>
      </c>
      <c r="G71" s="23"/>
    </row>
    <row r="72" spans="1:7" x14ac:dyDescent="0.25">
      <c r="A72" s="18" t="s">
        <v>723</v>
      </c>
      <c r="B72" s="19" t="s">
        <v>722</v>
      </c>
      <c r="C72" s="20" t="s">
        <v>31</v>
      </c>
      <c r="D72" s="12" t="str">
        <f>IFERROR(VLOOKUP(C72,'📋 City-Tier Master'!$A$4:$B$628,2,0),"T4")</f>
        <v>T1</v>
      </c>
      <c r="E72" s="21" t="s">
        <v>652</v>
      </c>
      <c r="F72" s="22">
        <v>25</v>
      </c>
      <c r="G72" s="23"/>
    </row>
    <row r="73" spans="1:7" x14ac:dyDescent="0.25">
      <c r="A73" s="24" t="s">
        <v>724</v>
      </c>
      <c r="B73" s="25" t="s">
        <v>722</v>
      </c>
      <c r="C73" s="20" t="s">
        <v>560</v>
      </c>
      <c r="D73" s="14" t="str">
        <f>IFERROR(VLOOKUP(C73,'📋 City-Tier Master'!$A$4:$B$628,2,0),"T4")</f>
        <v>T3</v>
      </c>
      <c r="E73" s="26" t="s">
        <v>652</v>
      </c>
      <c r="F73" s="27">
        <v>6</v>
      </c>
      <c r="G73" s="23"/>
    </row>
    <row r="74" spans="1:7" x14ac:dyDescent="0.25">
      <c r="A74" s="18" t="s">
        <v>725</v>
      </c>
      <c r="B74" s="19" t="s">
        <v>722</v>
      </c>
      <c r="C74" s="20" t="s">
        <v>726</v>
      </c>
      <c r="D74" s="14" t="str">
        <f>IFERROR(VLOOKUP(C74,'📋 City-Tier Master'!$A$4:$B$628,2,0),"T4")</f>
        <v>T4</v>
      </c>
      <c r="E74" s="21" t="s">
        <v>652</v>
      </c>
      <c r="F74" s="22">
        <v>39</v>
      </c>
      <c r="G74" s="23"/>
    </row>
    <row r="75" spans="1:7" x14ac:dyDescent="0.25">
      <c r="A75" s="24" t="s">
        <v>727</v>
      </c>
      <c r="B75" s="25" t="s">
        <v>722</v>
      </c>
      <c r="C75" s="20" t="s">
        <v>560</v>
      </c>
      <c r="D75" s="14" t="str">
        <f>IFERROR(VLOOKUP(C75,'📋 City-Tier Master'!$A$4:$B$628,2,0),"T4")</f>
        <v>T3</v>
      </c>
      <c r="E75" s="26" t="s">
        <v>652</v>
      </c>
      <c r="F75" s="27">
        <v>57</v>
      </c>
      <c r="G75" s="23"/>
    </row>
    <row r="76" spans="1:7" x14ac:dyDescent="0.25">
      <c r="A76" s="18" t="s">
        <v>728</v>
      </c>
      <c r="B76" s="19" t="s">
        <v>722</v>
      </c>
      <c r="C76" s="20" t="s">
        <v>553</v>
      </c>
      <c r="D76" s="14" t="str">
        <f>IFERROR(VLOOKUP(C76,'📋 City-Tier Master'!$A$4:$B$628,2,0),"T4")</f>
        <v>T3</v>
      </c>
      <c r="E76" s="21" t="s">
        <v>652</v>
      </c>
      <c r="F76" s="22">
        <v>48</v>
      </c>
      <c r="G76" s="23"/>
    </row>
    <row r="77" spans="1:7" x14ac:dyDescent="0.25">
      <c r="A77" s="24" t="s">
        <v>729</v>
      </c>
      <c r="B77" s="25" t="s">
        <v>722</v>
      </c>
      <c r="C77" s="20" t="s">
        <v>730</v>
      </c>
      <c r="D77" s="14" t="str">
        <f>IFERROR(VLOOKUP(C77,'📋 City-Tier Master'!$A$4:$B$628,2,0),"T4")</f>
        <v>T4</v>
      </c>
      <c r="E77" s="26" t="s">
        <v>652</v>
      </c>
      <c r="F77" s="27">
        <v>30</v>
      </c>
      <c r="G77" s="23"/>
    </row>
    <row r="78" spans="1:7" x14ac:dyDescent="0.25">
      <c r="A78" s="18" t="s">
        <v>731</v>
      </c>
      <c r="B78" s="19" t="s">
        <v>722</v>
      </c>
      <c r="C78" s="20" t="s">
        <v>207</v>
      </c>
      <c r="D78" s="13" t="str">
        <f>IFERROR(VLOOKUP(C78,'📋 City-Tier Master'!$A$4:$B$628,2,0),"T4")</f>
        <v>T2</v>
      </c>
      <c r="E78" s="21" t="s">
        <v>652</v>
      </c>
      <c r="F78" s="22">
        <v>47</v>
      </c>
      <c r="G78" s="23"/>
    </row>
    <row r="79" spans="1:7" x14ac:dyDescent="0.25">
      <c r="A79" s="24" t="s">
        <v>732</v>
      </c>
      <c r="B79" s="25" t="s">
        <v>722</v>
      </c>
      <c r="C79" s="20" t="s">
        <v>556</v>
      </c>
      <c r="D79" s="14" t="str">
        <f>IFERROR(VLOOKUP(C79,'📋 City-Tier Master'!$A$4:$B$628,2,0),"T4")</f>
        <v>T3</v>
      </c>
      <c r="E79" s="26" t="s">
        <v>652</v>
      </c>
      <c r="F79" s="27">
        <v>57</v>
      </c>
      <c r="G79" s="23"/>
    </row>
    <row r="80" spans="1:7" x14ac:dyDescent="0.25">
      <c r="A80" s="18" t="s">
        <v>733</v>
      </c>
      <c r="B80" s="19" t="s">
        <v>722</v>
      </c>
      <c r="C80" s="20" t="s">
        <v>514</v>
      </c>
      <c r="D80" s="14" t="str">
        <f>IFERROR(VLOOKUP(C80,'📋 City-Tier Master'!$A$4:$B$628,2,0),"T4")</f>
        <v>T3</v>
      </c>
      <c r="E80" s="21" t="s">
        <v>652</v>
      </c>
      <c r="F80" s="22">
        <v>18</v>
      </c>
      <c r="G80" s="23"/>
    </row>
    <row r="81" spans="1:7" x14ac:dyDescent="0.25">
      <c r="A81" s="24" t="s">
        <v>734</v>
      </c>
      <c r="B81" s="25" t="s">
        <v>722</v>
      </c>
      <c r="C81" s="20" t="s">
        <v>558</v>
      </c>
      <c r="D81" s="14" t="str">
        <f>IFERROR(VLOOKUP(C81,'📋 City-Tier Master'!$A$4:$B$628,2,0),"T4")</f>
        <v>T3</v>
      </c>
      <c r="E81" s="28" t="s">
        <v>735</v>
      </c>
      <c r="F81" s="27">
        <v>12</v>
      </c>
      <c r="G81" s="23"/>
    </row>
    <row r="82" spans="1:7" x14ac:dyDescent="0.25">
      <c r="A82" s="18" t="s">
        <v>736</v>
      </c>
      <c r="B82" s="19" t="s">
        <v>722</v>
      </c>
      <c r="C82" s="20" t="s">
        <v>556</v>
      </c>
      <c r="D82" s="14" t="str">
        <f>IFERROR(VLOOKUP(C82,'📋 City-Tier Master'!$A$4:$B$628,2,0),"T4")</f>
        <v>T3</v>
      </c>
      <c r="E82" s="21" t="s">
        <v>652</v>
      </c>
      <c r="F82" s="22">
        <v>13</v>
      </c>
      <c r="G82" s="23"/>
    </row>
    <row r="83" spans="1:7" x14ac:dyDescent="0.25">
      <c r="A83" s="24" t="s">
        <v>737</v>
      </c>
      <c r="B83" s="25" t="s">
        <v>722</v>
      </c>
      <c r="C83" s="20" t="s">
        <v>738</v>
      </c>
      <c r="D83" s="14" t="str">
        <f>IFERROR(VLOOKUP(C83,'📋 City-Tier Master'!$A$4:$B$628,2,0),"T4")</f>
        <v>T4</v>
      </c>
      <c r="E83" s="26" t="s">
        <v>652</v>
      </c>
      <c r="F83" s="27">
        <v>8</v>
      </c>
      <c r="G83" s="23"/>
    </row>
    <row r="84" spans="1:7" x14ac:dyDescent="0.25">
      <c r="A84" s="18" t="s">
        <v>739</v>
      </c>
      <c r="B84" s="19" t="s">
        <v>722</v>
      </c>
      <c r="C84" s="20" t="s">
        <v>594</v>
      </c>
      <c r="D84" s="14" t="str">
        <f>IFERROR(VLOOKUP(C84,'📋 City-Tier Master'!$A$4:$B$628,2,0),"T4")</f>
        <v>T3</v>
      </c>
      <c r="E84" s="21" t="s">
        <v>652</v>
      </c>
      <c r="F84" s="22">
        <v>24</v>
      </c>
      <c r="G84" s="23"/>
    </row>
    <row r="85" spans="1:7" x14ac:dyDescent="0.25">
      <c r="A85" s="24" t="s">
        <v>740</v>
      </c>
      <c r="B85" s="25" t="s">
        <v>722</v>
      </c>
      <c r="C85" s="20" t="s">
        <v>560</v>
      </c>
      <c r="D85" s="14" t="str">
        <f>IFERROR(VLOOKUP(C85,'📋 City-Tier Master'!$A$4:$B$628,2,0),"T4")</f>
        <v>T3</v>
      </c>
      <c r="E85" s="26" t="s">
        <v>652</v>
      </c>
      <c r="F85" s="27">
        <v>15</v>
      </c>
      <c r="G85" s="23"/>
    </row>
    <row r="86" spans="1:7" x14ac:dyDescent="0.25">
      <c r="A86" s="18" t="s">
        <v>741</v>
      </c>
      <c r="B86" s="19" t="s">
        <v>722</v>
      </c>
      <c r="C86" s="20" t="s">
        <v>742</v>
      </c>
      <c r="D86" s="14" t="str">
        <f>IFERROR(VLOOKUP(C86,'📋 City-Tier Master'!$A$4:$B$628,2,0),"T4")</f>
        <v>T4</v>
      </c>
      <c r="E86" s="21" t="s">
        <v>652</v>
      </c>
      <c r="F86" s="22">
        <v>16</v>
      </c>
      <c r="G86" s="23"/>
    </row>
    <row r="87" spans="1:7" x14ac:dyDescent="0.25">
      <c r="A87" s="24" t="s">
        <v>743</v>
      </c>
      <c r="B87" s="25" t="s">
        <v>722</v>
      </c>
      <c r="C87" s="20" t="s">
        <v>557</v>
      </c>
      <c r="D87" s="14" t="str">
        <f>IFERROR(VLOOKUP(C87,'📋 City-Tier Master'!$A$4:$B$628,2,0),"T4")</f>
        <v>T3</v>
      </c>
      <c r="E87" s="26" t="s">
        <v>652</v>
      </c>
      <c r="F87" s="27">
        <v>9</v>
      </c>
      <c r="G87" s="23"/>
    </row>
    <row r="88" spans="1:7" x14ac:dyDescent="0.25">
      <c r="A88" s="18" t="s">
        <v>744</v>
      </c>
      <c r="B88" s="19" t="s">
        <v>722</v>
      </c>
      <c r="C88" s="20" t="s">
        <v>592</v>
      </c>
      <c r="D88" s="14" t="str">
        <f>IFERROR(VLOOKUP(C88,'📋 City-Tier Master'!$A$4:$B$628,2,0),"T4")</f>
        <v>T3</v>
      </c>
      <c r="E88" s="21" t="s">
        <v>652</v>
      </c>
      <c r="F88" s="22">
        <v>20</v>
      </c>
      <c r="G88" s="23"/>
    </row>
    <row r="89" spans="1:7" x14ac:dyDescent="0.25">
      <c r="A89" s="24" t="s">
        <v>745</v>
      </c>
      <c r="B89" s="25" t="s">
        <v>722</v>
      </c>
      <c r="C89" s="20" t="s">
        <v>207</v>
      </c>
      <c r="D89" s="13" t="str">
        <f>IFERROR(VLOOKUP(C89,'📋 City-Tier Master'!$A$4:$B$628,2,0),"T4")</f>
        <v>T2</v>
      </c>
      <c r="E89" s="26" t="s">
        <v>652</v>
      </c>
      <c r="F89" s="27">
        <v>33</v>
      </c>
      <c r="G89" s="23"/>
    </row>
    <row r="90" spans="1:7" x14ac:dyDescent="0.25">
      <c r="A90" s="18" t="s">
        <v>746</v>
      </c>
      <c r="B90" s="19" t="s">
        <v>722</v>
      </c>
      <c r="C90" s="20" t="s">
        <v>557</v>
      </c>
      <c r="D90" s="14" t="str">
        <f>IFERROR(VLOOKUP(C90,'📋 City-Tier Master'!$A$4:$B$628,2,0),"T4")</f>
        <v>T3</v>
      </c>
      <c r="E90" s="21" t="s">
        <v>652</v>
      </c>
      <c r="F90" s="22">
        <v>28</v>
      </c>
      <c r="G90" s="23"/>
    </row>
    <row r="91" spans="1:7" x14ac:dyDescent="0.25">
      <c r="A91" s="24" t="s">
        <v>747</v>
      </c>
      <c r="B91" s="25" t="s">
        <v>722</v>
      </c>
      <c r="C91" s="20" t="s">
        <v>205</v>
      </c>
      <c r="D91" s="13" t="str">
        <f>IFERROR(VLOOKUP(C91,'📋 City-Tier Master'!$A$4:$B$628,2,0),"T4")</f>
        <v>T2</v>
      </c>
      <c r="E91" s="26" t="s">
        <v>652</v>
      </c>
      <c r="F91" s="27">
        <v>122</v>
      </c>
      <c r="G91" s="23"/>
    </row>
    <row r="92" spans="1:7" x14ac:dyDescent="0.25">
      <c r="A92" s="18" t="s">
        <v>748</v>
      </c>
      <c r="B92" s="19" t="s">
        <v>722</v>
      </c>
      <c r="C92" s="20" t="s">
        <v>60</v>
      </c>
      <c r="D92" s="12" t="str">
        <f>IFERROR(VLOOKUP(C92,'📋 City-Tier Master'!$A$4:$B$628,2,0),"T4")</f>
        <v>T1</v>
      </c>
      <c r="E92" s="21" t="s">
        <v>652</v>
      </c>
      <c r="F92" s="22">
        <v>30</v>
      </c>
      <c r="G92" s="23"/>
    </row>
    <row r="93" spans="1:7" x14ac:dyDescent="0.25">
      <c r="A93" s="24" t="s">
        <v>749</v>
      </c>
      <c r="B93" s="25" t="s">
        <v>722</v>
      </c>
      <c r="C93" s="20" t="s">
        <v>556</v>
      </c>
      <c r="D93" s="14" t="str">
        <f>IFERROR(VLOOKUP(C93,'📋 City-Tier Master'!$A$4:$B$628,2,0),"T4")</f>
        <v>T3</v>
      </c>
      <c r="E93" s="26" t="s">
        <v>652</v>
      </c>
      <c r="F93" s="27">
        <v>23</v>
      </c>
      <c r="G93" s="23"/>
    </row>
    <row r="94" spans="1:7" x14ac:dyDescent="0.25">
      <c r="A94" s="18" t="s">
        <v>750</v>
      </c>
      <c r="B94" s="19" t="s">
        <v>722</v>
      </c>
      <c r="C94" s="20" t="s">
        <v>751</v>
      </c>
      <c r="D94" s="14" t="str">
        <f>IFERROR(VLOOKUP(C94,'📋 City-Tier Master'!$A$4:$B$628,2,0),"T4")</f>
        <v>T4</v>
      </c>
      <c r="E94" s="21" t="s">
        <v>652</v>
      </c>
      <c r="F94" s="22">
        <v>51</v>
      </c>
      <c r="G94" s="23"/>
    </row>
    <row r="95" spans="1:7" x14ac:dyDescent="0.25">
      <c r="A95" s="24" t="s">
        <v>752</v>
      </c>
      <c r="B95" s="25" t="s">
        <v>722</v>
      </c>
      <c r="C95" s="20" t="s">
        <v>60</v>
      </c>
      <c r="D95" s="12" t="str">
        <f>IFERROR(VLOOKUP(C95,'📋 City-Tier Master'!$A$4:$B$628,2,0),"T4")</f>
        <v>T1</v>
      </c>
      <c r="E95" s="26" t="s">
        <v>652</v>
      </c>
      <c r="F95" s="27">
        <v>441</v>
      </c>
      <c r="G95" s="23"/>
    </row>
    <row r="96" spans="1:7" x14ac:dyDescent="0.25">
      <c r="A96" s="18" t="s">
        <v>753</v>
      </c>
      <c r="B96" s="19" t="s">
        <v>722</v>
      </c>
      <c r="C96" s="20" t="s">
        <v>754</v>
      </c>
      <c r="D96" s="14" t="str">
        <f>IFERROR(VLOOKUP(C96,'📋 City-Tier Master'!$A$4:$B$628,2,0),"T4")</f>
        <v>T4</v>
      </c>
      <c r="E96" s="21" t="s">
        <v>652</v>
      </c>
      <c r="F96" s="22">
        <v>58</v>
      </c>
      <c r="G96" s="23"/>
    </row>
    <row r="97" spans="1:7" x14ac:dyDescent="0.25">
      <c r="A97" s="24" t="s">
        <v>755</v>
      </c>
      <c r="B97" s="25" t="s">
        <v>722</v>
      </c>
      <c r="C97" s="20" t="s">
        <v>208</v>
      </c>
      <c r="D97" s="13" t="str">
        <f>IFERROR(VLOOKUP(C97,'📋 City-Tier Master'!$A$4:$B$628,2,0),"T4")</f>
        <v>T2</v>
      </c>
      <c r="E97" s="26" t="s">
        <v>652</v>
      </c>
      <c r="F97" s="27">
        <v>47</v>
      </c>
      <c r="G97" s="23"/>
    </row>
    <row r="98" spans="1:7" x14ac:dyDescent="0.25">
      <c r="A98" s="18" t="s">
        <v>756</v>
      </c>
      <c r="B98" s="19" t="s">
        <v>722</v>
      </c>
      <c r="C98" s="20" t="s">
        <v>568</v>
      </c>
      <c r="D98" s="14" t="str">
        <f>IFERROR(VLOOKUP(C98,'📋 City-Tier Master'!$A$4:$B$628,2,0),"T4")</f>
        <v>T3</v>
      </c>
      <c r="E98" s="21" t="s">
        <v>652</v>
      </c>
      <c r="F98" s="22">
        <v>25</v>
      </c>
      <c r="G98" s="23"/>
    </row>
    <row r="99" spans="1:7" x14ac:dyDescent="0.25">
      <c r="A99" s="24" t="s">
        <v>757</v>
      </c>
      <c r="B99" s="25" t="s">
        <v>722</v>
      </c>
      <c r="C99" s="20" t="s">
        <v>592</v>
      </c>
      <c r="D99" s="14" t="str">
        <f>IFERROR(VLOOKUP(C99,'📋 City-Tier Master'!$A$4:$B$628,2,0),"T4")</f>
        <v>T3</v>
      </c>
      <c r="E99" s="26" t="s">
        <v>652</v>
      </c>
      <c r="F99" s="27">
        <v>23</v>
      </c>
      <c r="G99" s="23"/>
    </row>
    <row r="100" spans="1:7" x14ac:dyDescent="0.25">
      <c r="A100" s="18" t="s">
        <v>758</v>
      </c>
      <c r="B100" s="19" t="s">
        <v>722</v>
      </c>
      <c r="C100" s="20" t="s">
        <v>588</v>
      </c>
      <c r="D100" s="14" t="str">
        <f>IFERROR(VLOOKUP(C100,'📋 City-Tier Master'!$A$4:$B$628,2,0),"T4")</f>
        <v>T3</v>
      </c>
      <c r="E100" s="21" t="s">
        <v>652</v>
      </c>
      <c r="F100" s="22">
        <v>35</v>
      </c>
      <c r="G100" s="23"/>
    </row>
    <row r="101" spans="1:7" x14ac:dyDescent="0.25">
      <c r="A101" s="24" t="s">
        <v>759</v>
      </c>
      <c r="B101" s="25" t="s">
        <v>722</v>
      </c>
      <c r="C101" s="20" t="s">
        <v>514</v>
      </c>
      <c r="D101" s="14" t="str">
        <f>IFERROR(VLOOKUP(C101,'📋 City-Tier Master'!$A$4:$B$628,2,0),"T4")</f>
        <v>T3</v>
      </c>
      <c r="E101" s="26" t="s">
        <v>652</v>
      </c>
      <c r="F101" s="27">
        <v>30</v>
      </c>
      <c r="G101" s="23"/>
    </row>
    <row r="102" spans="1:7" x14ac:dyDescent="0.25">
      <c r="A102" s="18" t="s">
        <v>760</v>
      </c>
      <c r="B102" s="19" t="s">
        <v>722</v>
      </c>
      <c r="C102" s="20" t="s">
        <v>557</v>
      </c>
      <c r="D102" s="14" t="str">
        <f>IFERROR(VLOOKUP(C102,'📋 City-Tier Master'!$A$4:$B$628,2,0),"T4")</f>
        <v>T3</v>
      </c>
      <c r="E102" s="21" t="s">
        <v>652</v>
      </c>
      <c r="F102" s="22">
        <v>7</v>
      </c>
      <c r="G102" s="23"/>
    </row>
    <row r="103" spans="1:7" x14ac:dyDescent="0.25">
      <c r="A103" s="24" t="s">
        <v>761</v>
      </c>
      <c r="B103" s="25" t="s">
        <v>722</v>
      </c>
      <c r="C103" s="20" t="s">
        <v>205</v>
      </c>
      <c r="D103" s="13" t="str">
        <f>IFERROR(VLOOKUP(C103,'📋 City-Tier Master'!$A$4:$B$628,2,0),"T4")</f>
        <v>T2</v>
      </c>
      <c r="E103" s="26" t="s">
        <v>652</v>
      </c>
      <c r="F103" s="27">
        <v>7</v>
      </c>
      <c r="G103" s="23"/>
    </row>
    <row r="104" spans="1:7" x14ac:dyDescent="0.25">
      <c r="A104" s="18" t="s">
        <v>762</v>
      </c>
      <c r="B104" s="19" t="s">
        <v>722</v>
      </c>
      <c r="C104" s="20" t="s">
        <v>205</v>
      </c>
      <c r="D104" s="13" t="str">
        <f>IFERROR(VLOOKUP(C104,'📋 City-Tier Master'!$A$4:$B$628,2,0),"T4")</f>
        <v>T2</v>
      </c>
      <c r="E104" s="21" t="s">
        <v>652</v>
      </c>
      <c r="F104" s="22">
        <v>33</v>
      </c>
      <c r="G104" s="23"/>
    </row>
    <row r="105" spans="1:7" x14ac:dyDescent="0.25">
      <c r="A105" s="24" t="s">
        <v>763</v>
      </c>
      <c r="B105" s="25" t="s">
        <v>722</v>
      </c>
      <c r="C105" s="20" t="s">
        <v>764</v>
      </c>
      <c r="D105" s="14" t="str">
        <f>IFERROR(VLOOKUP(C105,'📋 City-Tier Master'!$A$4:$B$628,2,0),"T4")</f>
        <v>T4</v>
      </c>
      <c r="E105" s="26" t="s">
        <v>652</v>
      </c>
      <c r="F105" s="27">
        <v>37</v>
      </c>
      <c r="G105" s="23"/>
    </row>
    <row r="106" spans="1:7" x14ac:dyDescent="0.25">
      <c r="A106" s="18" t="s">
        <v>765</v>
      </c>
      <c r="B106" s="19" t="s">
        <v>722</v>
      </c>
      <c r="C106" s="20" t="s">
        <v>592</v>
      </c>
      <c r="D106" s="14" t="str">
        <f>IFERROR(VLOOKUP(C106,'📋 City-Tier Master'!$A$4:$B$628,2,0),"T4")</f>
        <v>T3</v>
      </c>
      <c r="E106" s="21" t="s">
        <v>652</v>
      </c>
      <c r="F106" s="22">
        <v>17</v>
      </c>
      <c r="G106" s="23"/>
    </row>
    <row r="107" spans="1:7" x14ac:dyDescent="0.25">
      <c r="A107" s="24" t="s">
        <v>766</v>
      </c>
      <c r="B107" s="25" t="s">
        <v>722</v>
      </c>
      <c r="C107" s="20" t="s">
        <v>205</v>
      </c>
      <c r="D107" s="13" t="str">
        <f>IFERROR(VLOOKUP(C107,'📋 City-Tier Master'!$A$4:$B$628,2,0),"T4")</f>
        <v>T2</v>
      </c>
      <c r="E107" s="26" t="s">
        <v>652</v>
      </c>
      <c r="F107" s="27">
        <v>41</v>
      </c>
      <c r="G107" s="23"/>
    </row>
    <row r="108" spans="1:7" x14ac:dyDescent="0.25">
      <c r="A108" s="18" t="s">
        <v>767</v>
      </c>
      <c r="B108" s="19" t="s">
        <v>767</v>
      </c>
      <c r="C108" s="20" t="s">
        <v>32</v>
      </c>
      <c r="D108" s="12" t="str">
        <f>IFERROR(VLOOKUP(C108,'📋 City-Tier Master'!$A$4:$B$628,2,0),"T4")</f>
        <v>T1</v>
      </c>
      <c r="E108" s="21" t="s">
        <v>652</v>
      </c>
      <c r="F108" s="22">
        <v>171</v>
      </c>
      <c r="G108" s="23"/>
    </row>
    <row r="109" spans="1:7" x14ac:dyDescent="0.25">
      <c r="A109" s="24" t="s">
        <v>768</v>
      </c>
      <c r="B109" s="25" t="s">
        <v>769</v>
      </c>
      <c r="C109" s="20" t="s">
        <v>112</v>
      </c>
      <c r="D109" s="13" t="str">
        <f>IFERROR(VLOOKUP(C109,'📋 City-Tier Master'!$A$4:$B$628,2,0),"T4")</f>
        <v>T2</v>
      </c>
      <c r="E109" s="26" t="s">
        <v>652</v>
      </c>
      <c r="F109" s="27">
        <v>4</v>
      </c>
      <c r="G109" s="23"/>
    </row>
    <row r="110" spans="1:7" x14ac:dyDescent="0.25">
      <c r="A110" s="18" t="s">
        <v>770</v>
      </c>
      <c r="B110" s="19" t="s">
        <v>769</v>
      </c>
      <c r="C110" s="20" t="s">
        <v>140</v>
      </c>
      <c r="D110" s="13" t="str">
        <f>IFERROR(VLOOKUP(C110,'📋 City-Tier Master'!$A$4:$B$628,2,0),"T4")</f>
        <v>T2</v>
      </c>
      <c r="E110" s="21" t="s">
        <v>652</v>
      </c>
      <c r="F110" s="22">
        <v>1</v>
      </c>
      <c r="G110" s="23"/>
    </row>
    <row r="111" spans="1:7" x14ac:dyDescent="0.25">
      <c r="A111" s="24" t="s">
        <v>771</v>
      </c>
      <c r="B111" s="25" t="s">
        <v>769</v>
      </c>
      <c r="C111" s="20" t="s">
        <v>82</v>
      </c>
      <c r="D111" s="13" t="str">
        <f>IFERROR(VLOOKUP(C111,'📋 City-Tier Master'!$A$4:$B$628,2,0),"T4")</f>
        <v>T2</v>
      </c>
      <c r="E111" s="26" t="s">
        <v>652</v>
      </c>
      <c r="F111" s="27">
        <v>78</v>
      </c>
      <c r="G111" s="23"/>
    </row>
    <row r="112" spans="1:7" x14ac:dyDescent="0.25">
      <c r="A112" s="18" t="s">
        <v>772</v>
      </c>
      <c r="B112" s="19" t="s">
        <v>769</v>
      </c>
      <c r="C112" s="20" t="s">
        <v>112</v>
      </c>
      <c r="D112" s="13" t="str">
        <f>IFERROR(VLOOKUP(C112,'📋 City-Tier Master'!$A$4:$B$628,2,0),"T4")</f>
        <v>T2</v>
      </c>
      <c r="E112" s="21" t="s">
        <v>652</v>
      </c>
      <c r="F112" s="22">
        <v>5</v>
      </c>
      <c r="G112" s="23"/>
    </row>
    <row r="113" spans="1:7" x14ac:dyDescent="0.25">
      <c r="A113" s="24" t="s">
        <v>773</v>
      </c>
      <c r="B113" s="25" t="s">
        <v>769</v>
      </c>
      <c r="C113" s="20" t="s">
        <v>140</v>
      </c>
      <c r="D113" s="13" t="str">
        <f>IFERROR(VLOOKUP(C113,'📋 City-Tier Master'!$A$4:$B$628,2,0),"T4")</f>
        <v>T2</v>
      </c>
      <c r="E113" s="26" t="s">
        <v>652</v>
      </c>
      <c r="F113" s="27">
        <v>55</v>
      </c>
      <c r="G113" s="23"/>
    </row>
    <row r="114" spans="1:7" x14ac:dyDescent="0.25">
      <c r="A114" s="18" t="s">
        <v>774</v>
      </c>
      <c r="B114" s="19" t="s">
        <v>769</v>
      </c>
      <c r="C114" s="20" t="s">
        <v>143</v>
      </c>
      <c r="D114" s="13" t="str">
        <f>IFERROR(VLOOKUP(C114,'📋 City-Tier Master'!$A$4:$B$628,2,0),"T4")</f>
        <v>T2</v>
      </c>
      <c r="E114" s="21" t="s">
        <v>652</v>
      </c>
      <c r="F114" s="22">
        <v>1</v>
      </c>
      <c r="G114" s="23"/>
    </row>
    <row r="115" spans="1:7" x14ac:dyDescent="0.25">
      <c r="A115" s="24" t="s">
        <v>775</v>
      </c>
      <c r="B115" s="25" t="s">
        <v>769</v>
      </c>
      <c r="C115" s="20" t="s">
        <v>112</v>
      </c>
      <c r="D115" s="13" t="str">
        <f>IFERROR(VLOOKUP(C115,'📋 City-Tier Master'!$A$4:$B$628,2,0),"T4")</f>
        <v>T2</v>
      </c>
      <c r="E115" s="26" t="s">
        <v>652</v>
      </c>
      <c r="F115" s="27">
        <v>1</v>
      </c>
      <c r="G115" s="23"/>
    </row>
    <row r="116" spans="1:7" x14ac:dyDescent="0.25">
      <c r="A116" s="18" t="s">
        <v>776</v>
      </c>
      <c r="B116" s="19" t="s">
        <v>769</v>
      </c>
      <c r="C116" s="20" t="s">
        <v>142</v>
      </c>
      <c r="D116" s="13" t="str">
        <f>IFERROR(VLOOKUP(C116,'📋 City-Tier Master'!$A$4:$B$628,2,0),"T4")</f>
        <v>T2</v>
      </c>
      <c r="E116" s="21" t="s">
        <v>652</v>
      </c>
      <c r="F116" s="22">
        <v>14</v>
      </c>
      <c r="G116" s="23"/>
    </row>
    <row r="117" spans="1:7" x14ac:dyDescent="0.25">
      <c r="A117" s="24" t="s">
        <v>777</v>
      </c>
      <c r="B117" s="25" t="s">
        <v>769</v>
      </c>
      <c r="C117" s="20" t="s">
        <v>82</v>
      </c>
      <c r="D117" s="13" t="str">
        <f>IFERROR(VLOOKUP(C117,'📋 City-Tier Master'!$A$4:$B$628,2,0),"T4")</f>
        <v>T2</v>
      </c>
      <c r="E117" s="26" t="s">
        <v>652</v>
      </c>
      <c r="F117" s="27">
        <v>1</v>
      </c>
      <c r="G117" s="23"/>
    </row>
    <row r="118" spans="1:7" x14ac:dyDescent="0.25">
      <c r="A118" s="18" t="s">
        <v>778</v>
      </c>
      <c r="B118" s="19" t="s">
        <v>769</v>
      </c>
      <c r="C118" s="20" t="s">
        <v>112</v>
      </c>
      <c r="D118" s="13" t="str">
        <f>IFERROR(VLOOKUP(C118,'📋 City-Tier Master'!$A$4:$B$628,2,0),"T4")</f>
        <v>T2</v>
      </c>
      <c r="E118" s="21" t="s">
        <v>652</v>
      </c>
      <c r="F118" s="22">
        <v>3</v>
      </c>
      <c r="G118" s="23"/>
    </row>
    <row r="119" spans="1:7" x14ac:dyDescent="0.25">
      <c r="A119" s="24" t="s">
        <v>779</v>
      </c>
      <c r="B119" s="25" t="s">
        <v>769</v>
      </c>
      <c r="C119" s="20" t="s">
        <v>82</v>
      </c>
      <c r="D119" s="13" t="str">
        <f>IFERROR(VLOOKUP(C119,'📋 City-Tier Master'!$A$4:$B$628,2,0),"T4")</f>
        <v>T2</v>
      </c>
      <c r="E119" s="26" t="s">
        <v>652</v>
      </c>
      <c r="F119" s="27">
        <v>1</v>
      </c>
      <c r="G119" s="23"/>
    </row>
    <row r="120" spans="1:7" x14ac:dyDescent="0.25">
      <c r="A120" s="18" t="s">
        <v>780</v>
      </c>
      <c r="B120" s="19" t="s">
        <v>769</v>
      </c>
      <c r="C120" s="20" t="s">
        <v>143</v>
      </c>
      <c r="D120" s="13" t="str">
        <f>IFERROR(VLOOKUP(C120,'📋 City-Tier Master'!$A$4:$B$628,2,0),"T4")</f>
        <v>T2</v>
      </c>
      <c r="E120" s="21" t="s">
        <v>652</v>
      </c>
      <c r="F120" s="22">
        <v>16</v>
      </c>
      <c r="G120" s="23"/>
    </row>
    <row r="121" spans="1:7" x14ac:dyDescent="0.25">
      <c r="A121" s="24" t="s">
        <v>781</v>
      </c>
      <c r="B121" s="25" t="s">
        <v>769</v>
      </c>
      <c r="C121" s="20" t="s">
        <v>112</v>
      </c>
      <c r="D121" s="13" t="str">
        <f>IFERROR(VLOOKUP(C121,'📋 City-Tier Master'!$A$4:$B$628,2,0),"T4")</f>
        <v>T2</v>
      </c>
      <c r="E121" s="26" t="s">
        <v>652</v>
      </c>
      <c r="F121" s="27">
        <v>211</v>
      </c>
      <c r="G121" s="23"/>
    </row>
    <row r="122" spans="1:7" x14ac:dyDescent="0.25">
      <c r="A122" s="18" t="s">
        <v>782</v>
      </c>
      <c r="B122" s="19" t="s">
        <v>769</v>
      </c>
      <c r="C122" s="20" t="s">
        <v>141</v>
      </c>
      <c r="D122" s="13" t="str">
        <f>IFERROR(VLOOKUP(C122,'📋 City-Tier Master'!$A$4:$B$628,2,0),"T4")</f>
        <v>T2</v>
      </c>
      <c r="E122" s="21" t="s">
        <v>652</v>
      </c>
      <c r="F122" s="22">
        <v>11</v>
      </c>
      <c r="G122" s="23"/>
    </row>
    <row r="123" spans="1:7" x14ac:dyDescent="0.25">
      <c r="A123" s="24" t="s">
        <v>783</v>
      </c>
      <c r="B123" s="25" t="s">
        <v>769</v>
      </c>
      <c r="C123" s="20" t="s">
        <v>82</v>
      </c>
      <c r="D123" s="13" t="str">
        <f>IFERROR(VLOOKUP(C123,'📋 City-Tier Master'!$A$4:$B$628,2,0),"T4")</f>
        <v>T2</v>
      </c>
      <c r="E123" s="26" t="s">
        <v>652</v>
      </c>
      <c r="F123" s="27">
        <v>1</v>
      </c>
      <c r="G123" s="23"/>
    </row>
    <row r="124" spans="1:7" x14ac:dyDescent="0.25">
      <c r="A124" s="18" t="s">
        <v>784</v>
      </c>
      <c r="B124" s="19" t="s">
        <v>769</v>
      </c>
      <c r="C124" s="20" t="s">
        <v>82</v>
      </c>
      <c r="D124" s="13" t="str">
        <f>IFERROR(VLOOKUP(C124,'📋 City-Tier Master'!$A$4:$B$628,2,0),"T4")</f>
        <v>T2</v>
      </c>
      <c r="E124" s="21" t="s">
        <v>652</v>
      </c>
      <c r="F124" s="22">
        <v>19</v>
      </c>
      <c r="G124" s="23"/>
    </row>
    <row r="125" spans="1:7" x14ac:dyDescent="0.25">
      <c r="A125" s="24" t="s">
        <v>785</v>
      </c>
      <c r="B125" s="25" t="s">
        <v>786</v>
      </c>
      <c r="C125" s="20" t="s">
        <v>5</v>
      </c>
      <c r="D125" s="9" t="str">
        <f>IFERROR(VLOOKUP(C125,'📋 City-Tier Master'!$A$4:$B$628,2,0),"T4")</f>
        <v>Metro</v>
      </c>
      <c r="E125" s="26" t="s">
        <v>652</v>
      </c>
      <c r="F125" s="27">
        <v>67</v>
      </c>
      <c r="G125" s="23"/>
    </row>
    <row r="126" spans="1:7" x14ac:dyDescent="0.25">
      <c r="A126" s="18" t="s">
        <v>787</v>
      </c>
      <c r="B126" s="19" t="s">
        <v>786</v>
      </c>
      <c r="C126" s="20" t="s">
        <v>5</v>
      </c>
      <c r="D126" s="9" t="str">
        <f>IFERROR(VLOOKUP(C126,'📋 City-Tier Master'!$A$4:$B$628,2,0),"T4")</f>
        <v>Metro</v>
      </c>
      <c r="E126" s="21" t="s">
        <v>652</v>
      </c>
      <c r="F126" s="22">
        <v>99</v>
      </c>
      <c r="G126" s="23"/>
    </row>
    <row r="127" spans="1:7" x14ac:dyDescent="0.25">
      <c r="A127" s="24" t="s">
        <v>788</v>
      </c>
      <c r="B127" s="25" t="s">
        <v>786</v>
      </c>
      <c r="C127" s="20" t="s">
        <v>5</v>
      </c>
      <c r="D127" s="9" t="str">
        <f>IFERROR(VLOOKUP(C127,'📋 City-Tier Master'!$A$4:$B$628,2,0),"T4")</f>
        <v>Metro</v>
      </c>
      <c r="E127" s="26" t="s">
        <v>652</v>
      </c>
      <c r="F127" s="27">
        <v>176</v>
      </c>
      <c r="G127" s="23"/>
    </row>
    <row r="128" spans="1:7" x14ac:dyDescent="0.25">
      <c r="A128" s="18" t="s">
        <v>789</v>
      </c>
      <c r="B128" s="19" t="s">
        <v>786</v>
      </c>
      <c r="C128" s="20" t="s">
        <v>5</v>
      </c>
      <c r="D128" s="9" t="str">
        <f>IFERROR(VLOOKUP(C128,'📋 City-Tier Master'!$A$4:$B$628,2,0),"T4")</f>
        <v>Metro</v>
      </c>
      <c r="E128" s="21" t="s">
        <v>652</v>
      </c>
      <c r="F128" s="22">
        <v>127</v>
      </c>
      <c r="G128" s="23"/>
    </row>
    <row r="129" spans="1:7" x14ac:dyDescent="0.25">
      <c r="A129" s="24" t="s">
        <v>790</v>
      </c>
      <c r="B129" s="25" t="s">
        <v>786</v>
      </c>
      <c r="C129" s="20" t="s">
        <v>5</v>
      </c>
      <c r="D129" s="9" t="str">
        <f>IFERROR(VLOOKUP(C129,'📋 City-Tier Master'!$A$4:$B$628,2,0),"T4")</f>
        <v>Metro</v>
      </c>
      <c r="E129" s="26" t="s">
        <v>652</v>
      </c>
      <c r="F129" s="27">
        <v>29</v>
      </c>
      <c r="G129" s="23"/>
    </row>
    <row r="130" spans="1:7" x14ac:dyDescent="0.25">
      <c r="A130" s="18" t="s">
        <v>791</v>
      </c>
      <c r="B130" s="19" t="s">
        <v>786</v>
      </c>
      <c r="C130" s="20" t="s">
        <v>5</v>
      </c>
      <c r="D130" s="9" t="str">
        <f>IFERROR(VLOOKUP(C130,'📋 City-Tier Master'!$A$4:$B$628,2,0),"T4")</f>
        <v>Metro</v>
      </c>
      <c r="E130" s="21" t="s">
        <v>652</v>
      </c>
      <c r="F130" s="22">
        <v>194</v>
      </c>
      <c r="G130" s="23"/>
    </row>
    <row r="131" spans="1:7" x14ac:dyDescent="0.25">
      <c r="A131" s="24" t="s">
        <v>792</v>
      </c>
      <c r="B131" s="25" t="s">
        <v>786</v>
      </c>
      <c r="C131" s="20" t="s">
        <v>5</v>
      </c>
      <c r="D131" s="9" t="str">
        <f>IFERROR(VLOOKUP(C131,'📋 City-Tier Master'!$A$4:$B$628,2,0),"T4")</f>
        <v>Metro</v>
      </c>
      <c r="E131" s="26" t="s">
        <v>652</v>
      </c>
      <c r="F131" s="27">
        <v>34</v>
      </c>
      <c r="G131" s="23"/>
    </row>
    <row r="132" spans="1:7" x14ac:dyDescent="0.25">
      <c r="A132" s="18" t="s">
        <v>793</v>
      </c>
      <c r="B132" s="19" t="s">
        <v>786</v>
      </c>
      <c r="C132" s="20" t="s">
        <v>5</v>
      </c>
      <c r="D132" s="9" t="str">
        <f>IFERROR(VLOOKUP(C132,'📋 City-Tier Master'!$A$4:$B$628,2,0),"T4")</f>
        <v>Metro</v>
      </c>
      <c r="E132" s="21" t="s">
        <v>652</v>
      </c>
      <c r="F132" s="22">
        <v>138</v>
      </c>
      <c r="G132" s="23"/>
    </row>
    <row r="133" spans="1:7" x14ac:dyDescent="0.25">
      <c r="A133" s="24" t="s">
        <v>794</v>
      </c>
      <c r="B133" s="25" t="s">
        <v>786</v>
      </c>
      <c r="C133" s="20" t="s">
        <v>5</v>
      </c>
      <c r="D133" s="9" t="str">
        <f>IFERROR(VLOOKUP(C133,'📋 City-Tier Master'!$A$4:$B$628,2,0),"T4")</f>
        <v>Metro</v>
      </c>
      <c r="E133" s="26" t="s">
        <v>652</v>
      </c>
      <c r="F133" s="27">
        <v>129</v>
      </c>
      <c r="G133" s="23"/>
    </row>
    <row r="134" spans="1:7" x14ac:dyDescent="0.25">
      <c r="A134" s="18" t="s">
        <v>795</v>
      </c>
      <c r="B134" s="19" t="s">
        <v>786</v>
      </c>
      <c r="C134" s="20" t="s">
        <v>5</v>
      </c>
      <c r="D134" s="9" t="str">
        <f>IFERROR(VLOOKUP(C134,'📋 City-Tier Master'!$A$4:$B$628,2,0),"T4")</f>
        <v>Metro</v>
      </c>
      <c r="E134" s="21" t="s">
        <v>652</v>
      </c>
      <c r="F134" s="22">
        <v>117</v>
      </c>
      <c r="G134" s="23"/>
    </row>
    <row r="135" spans="1:7" x14ac:dyDescent="0.25">
      <c r="A135" s="24" t="s">
        <v>796</v>
      </c>
      <c r="B135" s="25" t="s">
        <v>786</v>
      </c>
      <c r="C135" s="20" t="s">
        <v>5</v>
      </c>
      <c r="D135" s="9" t="str">
        <f>IFERROR(VLOOKUP(C135,'📋 City-Tier Master'!$A$4:$B$628,2,0),"T4")</f>
        <v>Metro</v>
      </c>
      <c r="E135" s="26" t="s">
        <v>652</v>
      </c>
      <c r="F135" s="27">
        <v>262</v>
      </c>
      <c r="G135" s="23"/>
    </row>
    <row r="136" spans="1:7" x14ac:dyDescent="0.25">
      <c r="A136" s="18" t="s">
        <v>797</v>
      </c>
      <c r="B136" s="19" t="s">
        <v>798</v>
      </c>
      <c r="C136" s="20" t="s">
        <v>799</v>
      </c>
      <c r="D136" s="14" t="str">
        <f>IFERROR(VLOOKUP(C136,'📋 City-Tier Master'!$A$4:$B$628,2,0),"T4")</f>
        <v>T4</v>
      </c>
      <c r="E136" s="21" t="s">
        <v>652</v>
      </c>
      <c r="F136" s="22">
        <v>115</v>
      </c>
      <c r="G136" s="23"/>
    </row>
    <row r="137" spans="1:7" x14ac:dyDescent="0.25">
      <c r="A137" s="24" t="s">
        <v>800</v>
      </c>
      <c r="B137" s="25" t="s">
        <v>798</v>
      </c>
      <c r="C137" s="20" t="s">
        <v>801</v>
      </c>
      <c r="D137" s="14" t="str">
        <f>IFERROR(VLOOKUP(C137,'📋 City-Tier Master'!$A$4:$B$628,2,0),"T4")</f>
        <v>T4</v>
      </c>
      <c r="E137" s="26" t="s">
        <v>652</v>
      </c>
      <c r="F137" s="27">
        <v>51</v>
      </c>
      <c r="G137" s="23"/>
    </row>
    <row r="138" spans="1:7" x14ac:dyDescent="0.25">
      <c r="A138" s="18" t="s">
        <v>802</v>
      </c>
      <c r="B138" s="19" t="s">
        <v>803</v>
      </c>
      <c r="C138" s="20" t="s">
        <v>15</v>
      </c>
      <c r="D138" s="9" t="str">
        <f>IFERROR(VLOOKUP(C138,'📋 City-Tier Master'!$A$4:$B$628,2,0),"T4")</f>
        <v>Metro</v>
      </c>
      <c r="E138" s="21" t="s">
        <v>652</v>
      </c>
      <c r="F138" s="22">
        <v>2</v>
      </c>
      <c r="G138" s="23"/>
    </row>
    <row r="139" spans="1:7" x14ac:dyDescent="0.25">
      <c r="A139" s="24" t="s">
        <v>804</v>
      </c>
      <c r="B139" s="25" t="s">
        <v>803</v>
      </c>
      <c r="C139" s="20" t="s">
        <v>805</v>
      </c>
      <c r="D139" s="14" t="str">
        <f>IFERROR(VLOOKUP(C139,'📋 City-Tier Master'!$A$4:$B$628,2,0),"T4")</f>
        <v>T4</v>
      </c>
      <c r="E139" s="26" t="s">
        <v>652</v>
      </c>
      <c r="F139" s="27">
        <v>5</v>
      </c>
      <c r="G139" s="23"/>
    </row>
    <row r="140" spans="1:7" x14ac:dyDescent="0.25">
      <c r="A140" s="18" t="s">
        <v>806</v>
      </c>
      <c r="B140" s="19" t="s">
        <v>803</v>
      </c>
      <c r="C140" s="20" t="s">
        <v>344</v>
      </c>
      <c r="D140" s="14" t="str">
        <f>IFERROR(VLOOKUP(C140,'📋 City-Tier Master'!$A$4:$B$628,2,0),"T4")</f>
        <v>T3</v>
      </c>
      <c r="E140" s="21" t="s">
        <v>652</v>
      </c>
      <c r="F140" s="22">
        <v>64</v>
      </c>
      <c r="G140" s="23"/>
    </row>
    <row r="141" spans="1:7" x14ac:dyDescent="0.25">
      <c r="A141" s="24" t="s">
        <v>807</v>
      </c>
      <c r="B141" s="25" t="s">
        <v>803</v>
      </c>
      <c r="C141" s="20" t="s">
        <v>339</v>
      </c>
      <c r="D141" s="14" t="str">
        <f>IFERROR(VLOOKUP(C141,'📋 City-Tier Master'!$A$4:$B$628,2,0),"T4")</f>
        <v>T3</v>
      </c>
      <c r="E141" s="26" t="s">
        <v>652</v>
      </c>
      <c r="F141" s="27">
        <v>4</v>
      </c>
      <c r="G141" s="23"/>
    </row>
    <row r="142" spans="1:7" x14ac:dyDescent="0.25">
      <c r="A142" s="18" t="s">
        <v>15</v>
      </c>
      <c r="B142" s="19" t="s">
        <v>803</v>
      </c>
      <c r="C142" s="20" t="s">
        <v>15</v>
      </c>
      <c r="D142" s="9" t="str">
        <f>IFERROR(VLOOKUP(C142,'📋 City-Tier Master'!$A$4:$B$628,2,0),"T4")</f>
        <v>Metro</v>
      </c>
      <c r="E142" s="21" t="s">
        <v>652</v>
      </c>
      <c r="F142" s="22">
        <v>576</v>
      </c>
      <c r="G142" s="23"/>
    </row>
    <row r="143" spans="1:7" x14ac:dyDescent="0.25">
      <c r="A143" s="24" t="s">
        <v>808</v>
      </c>
      <c r="B143" s="25" t="s">
        <v>803</v>
      </c>
      <c r="C143" s="20" t="s">
        <v>342</v>
      </c>
      <c r="D143" s="14" t="str">
        <f>IFERROR(VLOOKUP(C143,'📋 City-Tier Master'!$A$4:$B$628,2,0),"T4")</f>
        <v>T3</v>
      </c>
      <c r="E143" s="26" t="s">
        <v>652</v>
      </c>
      <c r="F143" s="27">
        <v>19</v>
      </c>
      <c r="G143" s="23"/>
    </row>
    <row r="144" spans="1:7" x14ac:dyDescent="0.25">
      <c r="A144" s="18" t="s">
        <v>809</v>
      </c>
      <c r="B144" s="19" t="s">
        <v>803</v>
      </c>
      <c r="C144" s="20" t="s">
        <v>348</v>
      </c>
      <c r="D144" s="14" t="str">
        <f>IFERROR(VLOOKUP(C144,'📋 City-Tier Master'!$A$4:$B$628,2,0),"T4")</f>
        <v>T3</v>
      </c>
      <c r="E144" s="21" t="s">
        <v>652</v>
      </c>
      <c r="F144" s="22">
        <v>30</v>
      </c>
      <c r="G144" s="23"/>
    </row>
    <row r="145" spans="1:7" x14ac:dyDescent="0.25">
      <c r="A145" s="24" t="s">
        <v>810</v>
      </c>
      <c r="B145" s="25" t="s">
        <v>803</v>
      </c>
      <c r="C145" s="20" t="s">
        <v>120</v>
      </c>
      <c r="D145" s="13" t="str">
        <f>IFERROR(VLOOKUP(C145,'📋 City-Tier Master'!$A$4:$B$628,2,0),"T4")</f>
        <v>T2</v>
      </c>
      <c r="E145" s="26" t="s">
        <v>652</v>
      </c>
      <c r="F145" s="27">
        <v>39</v>
      </c>
      <c r="G145" s="23"/>
    </row>
    <row r="146" spans="1:7" x14ac:dyDescent="0.25">
      <c r="A146" s="18" t="s">
        <v>811</v>
      </c>
      <c r="B146" s="19" t="s">
        <v>803</v>
      </c>
      <c r="C146" s="20" t="s">
        <v>120</v>
      </c>
      <c r="D146" s="13" t="str">
        <f>IFERROR(VLOOKUP(C146,'📋 City-Tier Master'!$A$4:$B$628,2,0),"T4")</f>
        <v>T2</v>
      </c>
      <c r="E146" s="21" t="s">
        <v>652</v>
      </c>
      <c r="F146" s="22">
        <v>1</v>
      </c>
      <c r="G146" s="23"/>
    </row>
    <row r="147" spans="1:7" x14ac:dyDescent="0.25">
      <c r="A147" s="24" t="s">
        <v>812</v>
      </c>
      <c r="B147" s="25" t="s">
        <v>803</v>
      </c>
      <c r="C147" s="20" t="s">
        <v>40</v>
      </c>
      <c r="D147" s="12" t="str">
        <f>IFERROR(VLOOKUP(C147,'📋 City-Tier Master'!$A$4:$B$628,2,0),"T4")</f>
        <v>T1</v>
      </c>
      <c r="E147" s="26" t="s">
        <v>652</v>
      </c>
      <c r="F147" s="27">
        <v>3</v>
      </c>
      <c r="G147" s="23"/>
    </row>
    <row r="148" spans="1:7" x14ac:dyDescent="0.25">
      <c r="A148" s="18" t="s">
        <v>813</v>
      </c>
      <c r="B148" s="19" t="s">
        <v>803</v>
      </c>
      <c r="C148" s="20" t="s">
        <v>346</v>
      </c>
      <c r="D148" s="14" t="str">
        <f>IFERROR(VLOOKUP(C148,'📋 City-Tier Master'!$A$4:$B$628,2,0),"T4")</f>
        <v>T3</v>
      </c>
      <c r="E148" s="21" t="s">
        <v>652</v>
      </c>
      <c r="F148" s="22">
        <v>3</v>
      </c>
      <c r="G148" s="23"/>
    </row>
    <row r="149" spans="1:7" x14ac:dyDescent="0.25">
      <c r="A149" s="24" t="s">
        <v>814</v>
      </c>
      <c r="B149" s="25" t="s">
        <v>803</v>
      </c>
      <c r="C149" s="20" t="s">
        <v>121</v>
      </c>
      <c r="D149" s="13" t="str">
        <f>IFERROR(VLOOKUP(C149,'📋 City-Tier Master'!$A$4:$B$628,2,0),"T4")</f>
        <v>T2</v>
      </c>
      <c r="E149" s="26" t="s">
        <v>652</v>
      </c>
      <c r="F149" s="27">
        <v>27</v>
      </c>
      <c r="G149" s="23"/>
    </row>
    <row r="150" spans="1:7" x14ac:dyDescent="0.25">
      <c r="A150" s="18" t="s">
        <v>815</v>
      </c>
      <c r="B150" s="19" t="s">
        <v>803</v>
      </c>
      <c r="C150" s="20" t="s">
        <v>334</v>
      </c>
      <c r="D150" s="14" t="str">
        <f>IFERROR(VLOOKUP(C150,'📋 City-Tier Master'!$A$4:$B$628,2,0),"T4")</f>
        <v>T3</v>
      </c>
      <c r="E150" s="21" t="s">
        <v>652</v>
      </c>
      <c r="F150" s="22">
        <v>10</v>
      </c>
      <c r="G150" s="23"/>
    </row>
    <row r="151" spans="1:7" x14ac:dyDescent="0.25">
      <c r="A151" s="24" t="s">
        <v>816</v>
      </c>
      <c r="B151" s="25" t="s">
        <v>803</v>
      </c>
      <c r="C151" s="20" t="s">
        <v>119</v>
      </c>
      <c r="D151" s="13" t="str">
        <f>IFERROR(VLOOKUP(C151,'📋 City-Tier Master'!$A$4:$B$628,2,0),"T4")</f>
        <v>T2</v>
      </c>
      <c r="E151" s="26" t="s">
        <v>652</v>
      </c>
      <c r="F151" s="27">
        <v>39</v>
      </c>
      <c r="G151" s="23"/>
    </row>
    <row r="152" spans="1:7" x14ac:dyDescent="0.25">
      <c r="A152" s="18" t="s">
        <v>817</v>
      </c>
      <c r="B152" s="19" t="s">
        <v>803</v>
      </c>
      <c r="C152" s="20" t="s">
        <v>332</v>
      </c>
      <c r="D152" s="14" t="str">
        <f>IFERROR(VLOOKUP(C152,'📋 City-Tier Master'!$A$4:$B$628,2,0),"T4")</f>
        <v>T3</v>
      </c>
      <c r="E152" s="21" t="s">
        <v>652</v>
      </c>
      <c r="F152" s="22">
        <v>22</v>
      </c>
      <c r="G152" s="23"/>
    </row>
    <row r="153" spans="1:7" x14ac:dyDescent="0.25">
      <c r="A153" s="24" t="s">
        <v>818</v>
      </c>
      <c r="B153" s="25" t="s">
        <v>803</v>
      </c>
      <c r="C153" s="20" t="s">
        <v>338</v>
      </c>
      <c r="D153" s="14" t="str">
        <f>IFERROR(VLOOKUP(C153,'📋 City-Tier Master'!$A$4:$B$628,2,0),"T4")</f>
        <v>T3</v>
      </c>
      <c r="E153" s="26" t="s">
        <v>652</v>
      </c>
      <c r="F153" s="27">
        <v>75</v>
      </c>
      <c r="G153" s="23"/>
    </row>
    <row r="154" spans="1:7" x14ac:dyDescent="0.25">
      <c r="A154" s="18" t="s">
        <v>819</v>
      </c>
      <c r="B154" s="19" t="s">
        <v>803</v>
      </c>
      <c r="C154" s="20" t="s">
        <v>340</v>
      </c>
      <c r="D154" s="14" t="str">
        <f>IFERROR(VLOOKUP(C154,'📋 City-Tier Master'!$A$4:$B$628,2,0),"T4")</f>
        <v>T3</v>
      </c>
      <c r="E154" s="21" t="s">
        <v>652</v>
      </c>
      <c r="F154" s="22">
        <v>1</v>
      </c>
      <c r="G154" s="23"/>
    </row>
    <row r="155" spans="1:7" x14ac:dyDescent="0.25">
      <c r="A155" s="24" t="s">
        <v>820</v>
      </c>
      <c r="B155" s="25" t="s">
        <v>803</v>
      </c>
      <c r="C155" s="20" t="s">
        <v>344</v>
      </c>
      <c r="D155" s="14" t="str">
        <f>IFERROR(VLOOKUP(C155,'📋 City-Tier Master'!$A$4:$B$628,2,0),"T4")</f>
        <v>T3</v>
      </c>
      <c r="E155" s="26" t="s">
        <v>652</v>
      </c>
      <c r="F155" s="27">
        <v>15</v>
      </c>
      <c r="G155" s="23"/>
    </row>
    <row r="156" spans="1:7" x14ac:dyDescent="0.25">
      <c r="A156" s="18" t="s">
        <v>821</v>
      </c>
      <c r="B156" s="19" t="s">
        <v>803</v>
      </c>
      <c r="C156" s="20" t="s">
        <v>340</v>
      </c>
      <c r="D156" s="14" t="str">
        <f>IFERROR(VLOOKUP(C156,'📋 City-Tier Master'!$A$4:$B$628,2,0),"T4")</f>
        <v>T3</v>
      </c>
      <c r="E156" s="21" t="s">
        <v>652</v>
      </c>
      <c r="F156" s="22">
        <v>32</v>
      </c>
      <c r="G156" s="23"/>
    </row>
    <row r="157" spans="1:7" x14ac:dyDescent="0.25">
      <c r="A157" s="24" t="s">
        <v>822</v>
      </c>
      <c r="B157" s="25" t="s">
        <v>803</v>
      </c>
      <c r="C157" s="20" t="s">
        <v>336</v>
      </c>
      <c r="D157" s="14" t="str">
        <f>IFERROR(VLOOKUP(C157,'📋 City-Tier Master'!$A$4:$B$628,2,0),"T4")</f>
        <v>T3</v>
      </c>
      <c r="E157" s="26" t="s">
        <v>652</v>
      </c>
      <c r="F157" s="27">
        <v>12</v>
      </c>
      <c r="G157" s="23"/>
    </row>
    <row r="158" spans="1:7" x14ac:dyDescent="0.25">
      <c r="A158" s="18" t="s">
        <v>823</v>
      </c>
      <c r="B158" s="19" t="s">
        <v>803</v>
      </c>
      <c r="C158" s="20" t="s">
        <v>344</v>
      </c>
      <c r="D158" s="14" t="str">
        <f>IFERROR(VLOOKUP(C158,'📋 City-Tier Master'!$A$4:$B$628,2,0),"T4")</f>
        <v>T3</v>
      </c>
      <c r="E158" s="21" t="s">
        <v>652</v>
      </c>
      <c r="F158" s="22">
        <v>1</v>
      </c>
      <c r="G158" s="23"/>
    </row>
    <row r="159" spans="1:7" x14ac:dyDescent="0.25">
      <c r="A159" s="24" t="s">
        <v>824</v>
      </c>
      <c r="B159" s="25" t="s">
        <v>803</v>
      </c>
      <c r="C159" s="20" t="s">
        <v>351</v>
      </c>
      <c r="D159" s="14" t="str">
        <f>IFERROR(VLOOKUP(C159,'📋 City-Tier Master'!$A$4:$B$628,2,0),"T4")</f>
        <v>T3</v>
      </c>
      <c r="E159" s="26" t="s">
        <v>652</v>
      </c>
      <c r="F159" s="27">
        <v>25</v>
      </c>
      <c r="G159" s="23"/>
    </row>
    <row r="160" spans="1:7" x14ac:dyDescent="0.25">
      <c r="A160" s="18" t="s">
        <v>825</v>
      </c>
      <c r="B160" s="19" t="s">
        <v>803</v>
      </c>
      <c r="C160" s="20" t="s">
        <v>345</v>
      </c>
      <c r="D160" s="14" t="str">
        <f>IFERROR(VLOOKUP(C160,'📋 City-Tier Master'!$A$4:$B$628,2,0),"T4")</f>
        <v>T3</v>
      </c>
      <c r="E160" s="21" t="s">
        <v>652</v>
      </c>
      <c r="F160" s="22">
        <v>7</v>
      </c>
      <c r="G160" s="23"/>
    </row>
    <row r="161" spans="1:7" x14ac:dyDescent="0.25">
      <c r="A161" s="24" t="s">
        <v>826</v>
      </c>
      <c r="B161" s="25" t="s">
        <v>803</v>
      </c>
      <c r="C161" s="20" t="s">
        <v>341</v>
      </c>
      <c r="D161" s="14" t="str">
        <f>IFERROR(VLOOKUP(C161,'📋 City-Tier Master'!$A$4:$B$628,2,0),"T4")</f>
        <v>T3</v>
      </c>
      <c r="E161" s="26" t="s">
        <v>652</v>
      </c>
      <c r="F161" s="27">
        <v>5</v>
      </c>
      <c r="G161" s="23"/>
    </row>
    <row r="162" spans="1:7" x14ac:dyDescent="0.25">
      <c r="A162" s="18" t="s">
        <v>827</v>
      </c>
      <c r="B162" s="19" t="s">
        <v>803</v>
      </c>
      <c r="C162" s="20" t="s">
        <v>828</v>
      </c>
      <c r="D162" s="14" t="str">
        <f>IFERROR(VLOOKUP(C162,'📋 City-Tier Master'!$A$4:$B$628,2,0),"T4")</f>
        <v>T4</v>
      </c>
      <c r="E162" s="21" t="s">
        <v>652</v>
      </c>
      <c r="F162" s="22">
        <v>8</v>
      </c>
      <c r="G162" s="23"/>
    </row>
    <row r="163" spans="1:7" x14ac:dyDescent="0.25">
      <c r="A163" s="24" t="s">
        <v>829</v>
      </c>
      <c r="B163" s="25" t="s">
        <v>803</v>
      </c>
      <c r="C163" s="20" t="s">
        <v>118</v>
      </c>
      <c r="D163" s="13" t="str">
        <f>IFERROR(VLOOKUP(C163,'📋 City-Tier Master'!$A$4:$B$628,2,0),"T4")</f>
        <v>T2</v>
      </c>
      <c r="E163" s="26" t="s">
        <v>652</v>
      </c>
      <c r="F163" s="27">
        <v>131</v>
      </c>
      <c r="G163" s="23"/>
    </row>
    <row r="164" spans="1:7" x14ac:dyDescent="0.25">
      <c r="A164" s="18" t="s">
        <v>830</v>
      </c>
      <c r="B164" s="19" t="s">
        <v>803</v>
      </c>
      <c r="C164" s="20" t="s">
        <v>339</v>
      </c>
      <c r="D164" s="14" t="str">
        <f>IFERROR(VLOOKUP(C164,'📋 City-Tier Master'!$A$4:$B$628,2,0),"T4")</f>
        <v>T3</v>
      </c>
      <c r="E164" s="21" t="s">
        <v>652</v>
      </c>
      <c r="F164" s="22">
        <v>19</v>
      </c>
      <c r="G164" s="23"/>
    </row>
    <row r="165" spans="1:7" x14ac:dyDescent="0.25">
      <c r="A165" s="24" t="s">
        <v>831</v>
      </c>
      <c r="B165" s="25" t="s">
        <v>803</v>
      </c>
      <c r="C165" s="20" t="s">
        <v>41</v>
      </c>
      <c r="D165" s="12" t="str">
        <f>IFERROR(VLOOKUP(C165,'📋 City-Tier Master'!$A$4:$B$628,2,0),"T4")</f>
        <v>T1</v>
      </c>
      <c r="E165" s="26" t="s">
        <v>652</v>
      </c>
      <c r="F165" s="27">
        <v>278</v>
      </c>
      <c r="G165" s="23"/>
    </row>
    <row r="166" spans="1:7" x14ac:dyDescent="0.25">
      <c r="A166" s="18" t="s">
        <v>832</v>
      </c>
      <c r="B166" s="19" t="s">
        <v>803</v>
      </c>
      <c r="C166" s="20" t="s">
        <v>335</v>
      </c>
      <c r="D166" s="14" t="str">
        <f>IFERROR(VLOOKUP(C166,'📋 City-Tier Master'!$A$4:$B$628,2,0),"T4")</f>
        <v>T3</v>
      </c>
      <c r="E166" s="21" t="s">
        <v>652</v>
      </c>
      <c r="F166" s="22">
        <v>6</v>
      </c>
      <c r="G166" s="23"/>
    </row>
    <row r="167" spans="1:7" x14ac:dyDescent="0.25">
      <c r="A167" s="24" t="s">
        <v>833</v>
      </c>
      <c r="B167" s="25" t="s">
        <v>803</v>
      </c>
      <c r="C167" s="20" t="s">
        <v>350</v>
      </c>
      <c r="D167" s="14" t="str">
        <f>IFERROR(VLOOKUP(C167,'📋 City-Tier Master'!$A$4:$B$628,2,0),"T4")</f>
        <v>T3</v>
      </c>
      <c r="E167" s="26" t="s">
        <v>652</v>
      </c>
      <c r="F167" s="27">
        <v>2</v>
      </c>
      <c r="G167" s="23"/>
    </row>
    <row r="168" spans="1:7" x14ac:dyDescent="0.25">
      <c r="A168" s="18" t="s">
        <v>834</v>
      </c>
      <c r="B168" s="19" t="s">
        <v>803</v>
      </c>
      <c r="C168" s="20" t="s">
        <v>40</v>
      </c>
      <c r="D168" s="12" t="str">
        <f>IFERROR(VLOOKUP(C168,'📋 City-Tier Master'!$A$4:$B$628,2,0),"T4")</f>
        <v>T1</v>
      </c>
      <c r="E168" s="21" t="s">
        <v>652</v>
      </c>
      <c r="F168" s="22">
        <v>232</v>
      </c>
      <c r="G168" s="23"/>
    </row>
    <row r="169" spans="1:7" x14ac:dyDescent="0.25">
      <c r="A169" s="24" t="s">
        <v>835</v>
      </c>
      <c r="B169" s="25" t="s">
        <v>803</v>
      </c>
      <c r="C169" s="20" t="s">
        <v>351</v>
      </c>
      <c r="D169" s="14" t="str">
        <f>IFERROR(VLOOKUP(C169,'📋 City-Tier Master'!$A$4:$B$628,2,0),"T4")</f>
        <v>T3</v>
      </c>
      <c r="E169" s="26" t="s">
        <v>652</v>
      </c>
      <c r="F169" s="27">
        <v>53</v>
      </c>
      <c r="G169" s="23"/>
    </row>
    <row r="170" spans="1:7" x14ac:dyDescent="0.25">
      <c r="A170" s="18" t="s">
        <v>836</v>
      </c>
      <c r="B170" s="19" t="s">
        <v>803</v>
      </c>
      <c r="C170" s="20" t="s">
        <v>15</v>
      </c>
      <c r="D170" s="9" t="str">
        <f>IFERROR(VLOOKUP(C170,'📋 City-Tier Master'!$A$4:$B$628,2,0),"T4")</f>
        <v>Metro</v>
      </c>
      <c r="E170" s="21" t="s">
        <v>652</v>
      </c>
      <c r="F170" s="22">
        <v>2</v>
      </c>
      <c r="G170" s="23"/>
    </row>
    <row r="171" spans="1:7" x14ac:dyDescent="0.25">
      <c r="A171" s="24" t="s">
        <v>837</v>
      </c>
      <c r="B171" s="25" t="s">
        <v>838</v>
      </c>
      <c r="C171" s="20" t="s">
        <v>72</v>
      </c>
      <c r="D171" s="13" t="str">
        <f>IFERROR(VLOOKUP(C171,'📋 City-Tier Master'!$A$4:$B$628,2,0),"T4")</f>
        <v>T2</v>
      </c>
      <c r="E171" s="26" t="s">
        <v>652</v>
      </c>
      <c r="F171" s="27">
        <v>104</v>
      </c>
      <c r="G171" s="23"/>
    </row>
    <row r="172" spans="1:7" x14ac:dyDescent="0.25">
      <c r="A172" s="18" t="s">
        <v>839</v>
      </c>
      <c r="B172" s="19" t="s">
        <v>838</v>
      </c>
      <c r="C172" s="20" t="s">
        <v>223</v>
      </c>
      <c r="D172" s="14" t="str">
        <f>IFERROR(VLOOKUP(C172,'📋 City-Tier Master'!$A$4:$B$628,2,0),"T4")</f>
        <v>T3</v>
      </c>
      <c r="E172" s="21" t="s">
        <v>652</v>
      </c>
      <c r="F172" s="22">
        <v>24</v>
      </c>
      <c r="G172" s="23"/>
    </row>
    <row r="173" spans="1:7" x14ac:dyDescent="0.25">
      <c r="A173" s="24" t="s">
        <v>840</v>
      </c>
      <c r="B173" s="25" t="s">
        <v>838</v>
      </c>
      <c r="C173" s="20" t="s">
        <v>223</v>
      </c>
      <c r="D173" s="14" t="str">
        <f>IFERROR(VLOOKUP(C173,'📋 City-Tier Master'!$A$4:$B$628,2,0),"T4")</f>
        <v>T3</v>
      </c>
      <c r="E173" s="26" t="s">
        <v>652</v>
      </c>
      <c r="F173" s="27">
        <v>10</v>
      </c>
      <c r="G173" s="23"/>
    </row>
    <row r="174" spans="1:7" x14ac:dyDescent="0.25">
      <c r="A174" s="18" t="s">
        <v>841</v>
      </c>
      <c r="B174" s="19" t="s">
        <v>838</v>
      </c>
      <c r="C174" s="20" t="s">
        <v>10</v>
      </c>
      <c r="D174" s="9" t="str">
        <f>IFERROR(VLOOKUP(C174,'📋 City-Tier Master'!$A$4:$B$628,2,0),"T4")</f>
        <v>Metro</v>
      </c>
      <c r="E174" s="21" t="s">
        <v>652</v>
      </c>
      <c r="F174" s="22">
        <v>133</v>
      </c>
      <c r="G174" s="23"/>
    </row>
    <row r="175" spans="1:7" x14ac:dyDescent="0.25">
      <c r="A175" s="24" t="s">
        <v>842</v>
      </c>
      <c r="B175" s="25" t="s">
        <v>838</v>
      </c>
      <c r="C175" s="20" t="s">
        <v>221</v>
      </c>
      <c r="D175" s="14" t="str">
        <f>IFERROR(VLOOKUP(C175,'📋 City-Tier Master'!$A$4:$B$628,2,0),"T4")</f>
        <v>T3</v>
      </c>
      <c r="E175" s="26" t="s">
        <v>652</v>
      </c>
      <c r="F175" s="27">
        <v>19</v>
      </c>
      <c r="G175" s="23"/>
    </row>
    <row r="176" spans="1:7" x14ac:dyDescent="0.25">
      <c r="A176" s="18" t="s">
        <v>843</v>
      </c>
      <c r="B176" s="19" t="s">
        <v>838</v>
      </c>
      <c r="C176" s="20" t="s">
        <v>11</v>
      </c>
      <c r="D176" s="9" t="str">
        <f>IFERROR(VLOOKUP(C176,'📋 City-Tier Master'!$A$4:$B$628,2,0),"T4")</f>
        <v>Metro</v>
      </c>
      <c r="E176" s="21" t="s">
        <v>652</v>
      </c>
      <c r="F176" s="22">
        <v>427</v>
      </c>
      <c r="G176" s="23"/>
    </row>
    <row r="177" spans="1:7" x14ac:dyDescent="0.25">
      <c r="A177" s="24" t="s">
        <v>844</v>
      </c>
      <c r="B177" s="25" t="s">
        <v>838</v>
      </c>
      <c r="C177" s="20" t="s">
        <v>67</v>
      </c>
      <c r="D177" s="13" t="str">
        <f>IFERROR(VLOOKUP(C177,'📋 City-Tier Master'!$A$4:$B$628,2,0),"T4")</f>
        <v>T2</v>
      </c>
      <c r="E177" s="26" t="s">
        <v>652</v>
      </c>
      <c r="F177" s="27">
        <v>73</v>
      </c>
      <c r="G177" s="23"/>
    </row>
    <row r="178" spans="1:7" x14ac:dyDescent="0.25">
      <c r="A178" s="18" t="s">
        <v>845</v>
      </c>
      <c r="B178" s="19" t="s">
        <v>838</v>
      </c>
      <c r="C178" s="20" t="s">
        <v>219</v>
      </c>
      <c r="D178" s="14" t="str">
        <f>IFERROR(VLOOKUP(C178,'📋 City-Tier Master'!$A$4:$B$628,2,0),"T4")</f>
        <v>T3</v>
      </c>
      <c r="E178" s="21" t="s">
        <v>652</v>
      </c>
      <c r="F178" s="22">
        <v>38</v>
      </c>
      <c r="G178" s="23"/>
    </row>
    <row r="179" spans="1:7" x14ac:dyDescent="0.25">
      <c r="A179" s="24" t="s">
        <v>846</v>
      </c>
      <c r="B179" s="25" t="s">
        <v>838</v>
      </c>
      <c r="C179" s="20" t="s">
        <v>222</v>
      </c>
      <c r="D179" s="14" t="str">
        <f>IFERROR(VLOOKUP(C179,'📋 City-Tier Master'!$A$4:$B$628,2,0),"T4")</f>
        <v>T3</v>
      </c>
      <c r="E179" s="26" t="s">
        <v>652</v>
      </c>
      <c r="F179" s="27">
        <v>18</v>
      </c>
      <c r="G179" s="23"/>
    </row>
    <row r="180" spans="1:7" x14ac:dyDescent="0.25">
      <c r="A180" s="18" t="s">
        <v>847</v>
      </c>
      <c r="B180" s="19" t="s">
        <v>838</v>
      </c>
      <c r="C180" s="20" t="s">
        <v>75</v>
      </c>
      <c r="D180" s="13" t="str">
        <f>IFERROR(VLOOKUP(C180,'📋 City-Tier Master'!$A$4:$B$628,2,0),"T4")</f>
        <v>T2</v>
      </c>
      <c r="E180" s="21" t="s">
        <v>652</v>
      </c>
      <c r="F180" s="22">
        <v>18</v>
      </c>
      <c r="G180" s="23"/>
    </row>
    <row r="181" spans="1:7" x14ac:dyDescent="0.25">
      <c r="A181" s="24" t="s">
        <v>848</v>
      </c>
      <c r="B181" s="25" t="s">
        <v>838</v>
      </c>
      <c r="C181" s="20" t="s">
        <v>70</v>
      </c>
      <c r="D181" s="13" t="str">
        <f>IFERROR(VLOOKUP(C181,'📋 City-Tier Master'!$A$4:$B$628,2,0),"T4")</f>
        <v>T2</v>
      </c>
      <c r="E181" s="26" t="s">
        <v>652</v>
      </c>
      <c r="F181" s="27">
        <v>58</v>
      </c>
      <c r="G181" s="23"/>
    </row>
    <row r="182" spans="1:7" x14ac:dyDescent="0.25">
      <c r="A182" s="18" t="s">
        <v>849</v>
      </c>
      <c r="B182" s="19" t="s">
        <v>838</v>
      </c>
      <c r="C182" s="20" t="s">
        <v>224</v>
      </c>
      <c r="D182" s="14" t="str">
        <f>IFERROR(VLOOKUP(C182,'📋 City-Tier Master'!$A$4:$B$628,2,0),"T4")</f>
        <v>T3</v>
      </c>
      <c r="E182" s="21" t="s">
        <v>652</v>
      </c>
      <c r="F182" s="22">
        <v>32</v>
      </c>
      <c r="G182" s="23"/>
    </row>
    <row r="183" spans="1:7" x14ac:dyDescent="0.25">
      <c r="A183" s="24" t="s">
        <v>850</v>
      </c>
      <c r="B183" s="25" t="s">
        <v>838</v>
      </c>
      <c r="C183" s="20" t="s">
        <v>216</v>
      </c>
      <c r="D183" s="14" t="str">
        <f>IFERROR(VLOOKUP(C183,'📋 City-Tier Master'!$A$4:$B$628,2,0),"T4")</f>
        <v>T3</v>
      </c>
      <c r="E183" s="26" t="s">
        <v>652</v>
      </c>
      <c r="F183" s="27">
        <v>21</v>
      </c>
      <c r="G183" s="23"/>
    </row>
    <row r="184" spans="1:7" x14ac:dyDescent="0.25">
      <c r="A184" s="18" t="s">
        <v>851</v>
      </c>
      <c r="B184" s="19" t="s">
        <v>838</v>
      </c>
      <c r="C184" s="20" t="s">
        <v>11</v>
      </c>
      <c r="D184" s="9" t="str">
        <f>IFERROR(VLOOKUP(C184,'📋 City-Tier Master'!$A$4:$B$628,2,0),"T4")</f>
        <v>Metro</v>
      </c>
      <c r="E184" s="21" t="s">
        <v>652</v>
      </c>
      <c r="F184" s="22">
        <v>11</v>
      </c>
      <c r="G184" s="23"/>
    </row>
    <row r="185" spans="1:7" x14ac:dyDescent="0.25">
      <c r="A185" s="24" t="s">
        <v>852</v>
      </c>
      <c r="B185" s="25" t="s">
        <v>838</v>
      </c>
      <c r="C185" s="20" t="s">
        <v>214</v>
      </c>
      <c r="D185" s="14" t="str">
        <f>IFERROR(VLOOKUP(C185,'📋 City-Tier Master'!$A$4:$B$628,2,0),"T4")</f>
        <v>T3</v>
      </c>
      <c r="E185" s="26" t="s">
        <v>652</v>
      </c>
      <c r="F185" s="27">
        <v>19</v>
      </c>
      <c r="G185" s="23"/>
    </row>
    <row r="186" spans="1:7" x14ac:dyDescent="0.25">
      <c r="A186" s="18" t="s">
        <v>853</v>
      </c>
      <c r="B186" s="19" t="s">
        <v>838</v>
      </c>
      <c r="C186" s="20" t="s">
        <v>32</v>
      </c>
      <c r="D186" s="12" t="str">
        <f>IFERROR(VLOOKUP(C186,'📋 City-Tier Master'!$A$4:$B$628,2,0),"T4")</f>
        <v>T1</v>
      </c>
      <c r="E186" s="21" t="s">
        <v>652</v>
      </c>
      <c r="F186" s="22">
        <v>65</v>
      </c>
      <c r="G186" s="23"/>
    </row>
    <row r="187" spans="1:7" x14ac:dyDescent="0.25">
      <c r="A187" s="24" t="s">
        <v>854</v>
      </c>
      <c r="B187" s="25" t="s">
        <v>838</v>
      </c>
      <c r="C187" s="20" t="s">
        <v>71</v>
      </c>
      <c r="D187" s="13" t="str">
        <f>IFERROR(VLOOKUP(C187,'📋 City-Tier Master'!$A$4:$B$628,2,0),"T4")</f>
        <v>T2</v>
      </c>
      <c r="E187" s="26" t="s">
        <v>652</v>
      </c>
      <c r="F187" s="27">
        <v>53</v>
      </c>
      <c r="G187" s="23"/>
    </row>
    <row r="188" spans="1:7" x14ac:dyDescent="0.25">
      <c r="A188" s="18" t="s">
        <v>855</v>
      </c>
      <c r="B188" s="19" t="s">
        <v>838</v>
      </c>
      <c r="C188" s="20" t="s">
        <v>605</v>
      </c>
      <c r="D188" s="15" t="str">
        <f>IFERROR(VLOOKUP(C188,'📋 City-Tier Master'!$A$4:$B$628,2,0),"T4")</f>
        <v>T4</v>
      </c>
      <c r="E188" s="21" t="s">
        <v>652</v>
      </c>
      <c r="F188" s="22">
        <v>31</v>
      </c>
      <c r="G188" s="23"/>
    </row>
    <row r="189" spans="1:7" x14ac:dyDescent="0.25">
      <c r="A189" s="24" t="s">
        <v>856</v>
      </c>
      <c r="B189" s="25" t="s">
        <v>838</v>
      </c>
      <c r="C189" s="20" t="s">
        <v>218</v>
      </c>
      <c r="D189" s="14" t="str">
        <f>IFERROR(VLOOKUP(C189,'📋 City-Tier Master'!$A$4:$B$628,2,0),"T4")</f>
        <v>T3</v>
      </c>
      <c r="E189" s="26" t="s">
        <v>652</v>
      </c>
      <c r="F189" s="27">
        <v>72</v>
      </c>
      <c r="G189" s="23"/>
    </row>
    <row r="190" spans="1:7" x14ac:dyDescent="0.25">
      <c r="A190" s="18" t="s">
        <v>857</v>
      </c>
      <c r="B190" s="19" t="s">
        <v>838</v>
      </c>
      <c r="C190" s="20" t="s">
        <v>221</v>
      </c>
      <c r="D190" s="14" t="str">
        <f>IFERROR(VLOOKUP(C190,'📋 City-Tier Master'!$A$4:$B$628,2,0),"T4")</f>
        <v>T3</v>
      </c>
      <c r="E190" s="21" t="s">
        <v>652</v>
      </c>
      <c r="F190" s="22">
        <v>54</v>
      </c>
      <c r="G190" s="23"/>
    </row>
    <row r="191" spans="1:7" x14ac:dyDescent="0.25">
      <c r="A191" s="24" t="s">
        <v>858</v>
      </c>
      <c r="B191" s="25" t="s">
        <v>838</v>
      </c>
      <c r="C191" s="20" t="s">
        <v>69</v>
      </c>
      <c r="D191" s="13" t="str">
        <f>IFERROR(VLOOKUP(C191,'📋 City-Tier Master'!$A$4:$B$628,2,0),"T4")</f>
        <v>T2</v>
      </c>
      <c r="E191" s="26" t="s">
        <v>652</v>
      </c>
      <c r="F191" s="27">
        <v>75</v>
      </c>
      <c r="G191" s="23"/>
    </row>
    <row r="192" spans="1:7" x14ac:dyDescent="0.25">
      <c r="A192" s="18" t="s">
        <v>859</v>
      </c>
      <c r="B192" s="19" t="s">
        <v>838</v>
      </c>
      <c r="C192" s="20" t="s">
        <v>73</v>
      </c>
      <c r="D192" s="13" t="str">
        <f>IFERROR(VLOOKUP(C192,'📋 City-Tier Master'!$A$4:$B$628,2,0),"T4")</f>
        <v>T2</v>
      </c>
      <c r="E192" s="21" t="s">
        <v>652</v>
      </c>
      <c r="F192" s="22">
        <v>39</v>
      </c>
      <c r="G192" s="23"/>
    </row>
    <row r="193" spans="1:7" x14ac:dyDescent="0.25">
      <c r="A193" s="24" t="s">
        <v>771</v>
      </c>
      <c r="B193" s="25" t="s">
        <v>860</v>
      </c>
      <c r="C193" s="20" t="s">
        <v>82</v>
      </c>
      <c r="D193" s="13" t="str">
        <f>IFERROR(VLOOKUP(C193,'📋 City-Tier Master'!$A$4:$B$628,2,0),"T4")</f>
        <v>T2</v>
      </c>
      <c r="E193" s="26" t="s">
        <v>652</v>
      </c>
      <c r="F193" s="27">
        <v>8</v>
      </c>
      <c r="G193" s="23"/>
    </row>
    <row r="194" spans="1:7" x14ac:dyDescent="0.25">
      <c r="A194" s="18" t="s">
        <v>861</v>
      </c>
      <c r="B194" s="19" t="s">
        <v>860</v>
      </c>
      <c r="C194" s="20" t="s">
        <v>251</v>
      </c>
      <c r="D194" s="14" t="str">
        <f>IFERROR(VLOOKUP(C194,'📋 City-Tier Master'!$A$4:$B$628,2,0),"T4")</f>
        <v>T3</v>
      </c>
      <c r="E194" s="21" t="s">
        <v>652</v>
      </c>
      <c r="F194" s="22">
        <v>9</v>
      </c>
      <c r="G194" s="23"/>
    </row>
    <row r="195" spans="1:7" x14ac:dyDescent="0.25">
      <c r="A195" s="24" t="s">
        <v>862</v>
      </c>
      <c r="B195" s="25" t="s">
        <v>860</v>
      </c>
      <c r="C195" s="20" t="s">
        <v>89</v>
      </c>
      <c r="D195" s="13" t="str">
        <f>IFERROR(VLOOKUP(C195,'📋 City-Tier Master'!$A$4:$B$628,2,0),"T4")</f>
        <v>T2</v>
      </c>
      <c r="E195" s="26" t="s">
        <v>652</v>
      </c>
      <c r="F195" s="27">
        <v>9</v>
      </c>
      <c r="G195" s="23"/>
    </row>
    <row r="196" spans="1:7" x14ac:dyDescent="0.25">
      <c r="A196" s="18" t="s">
        <v>863</v>
      </c>
      <c r="B196" s="19" t="s">
        <v>860</v>
      </c>
      <c r="C196" s="20" t="s">
        <v>251</v>
      </c>
      <c r="D196" s="14" t="str">
        <f>IFERROR(VLOOKUP(C196,'📋 City-Tier Master'!$A$4:$B$628,2,0),"T4")</f>
        <v>T3</v>
      </c>
      <c r="E196" s="21" t="s">
        <v>652</v>
      </c>
      <c r="F196" s="22">
        <v>55</v>
      </c>
      <c r="G196" s="23"/>
    </row>
    <row r="197" spans="1:7" x14ac:dyDescent="0.25">
      <c r="A197" s="24" t="s">
        <v>864</v>
      </c>
      <c r="B197" s="25" t="s">
        <v>860</v>
      </c>
      <c r="C197" s="20" t="s">
        <v>251</v>
      </c>
      <c r="D197" s="14" t="str">
        <f>IFERROR(VLOOKUP(C197,'📋 City-Tier Master'!$A$4:$B$628,2,0),"T4")</f>
        <v>T3</v>
      </c>
      <c r="E197" s="26" t="s">
        <v>652</v>
      </c>
      <c r="F197" s="27">
        <v>16</v>
      </c>
      <c r="G197" s="23"/>
    </row>
    <row r="198" spans="1:7" x14ac:dyDescent="0.25">
      <c r="A198" s="18" t="s">
        <v>865</v>
      </c>
      <c r="B198" s="19" t="s">
        <v>860</v>
      </c>
      <c r="C198" s="20" t="s">
        <v>250</v>
      </c>
      <c r="D198" s="14" t="str">
        <f>IFERROR(VLOOKUP(C198,'📋 City-Tier Master'!$A$4:$B$628,2,0),"T4")</f>
        <v>T3</v>
      </c>
      <c r="E198" s="21" t="s">
        <v>652</v>
      </c>
      <c r="F198" s="22">
        <v>20</v>
      </c>
      <c r="G198" s="23"/>
    </row>
    <row r="199" spans="1:7" x14ac:dyDescent="0.25">
      <c r="A199" s="24" t="s">
        <v>866</v>
      </c>
      <c r="B199" s="25" t="s">
        <v>860</v>
      </c>
      <c r="C199" s="20" t="s">
        <v>245</v>
      </c>
      <c r="D199" s="14" t="str">
        <f>IFERROR(VLOOKUP(C199,'📋 City-Tier Master'!$A$4:$B$628,2,0),"T4")</f>
        <v>T3</v>
      </c>
      <c r="E199" s="26" t="s">
        <v>652</v>
      </c>
      <c r="F199" s="27">
        <v>39</v>
      </c>
      <c r="G199" s="23"/>
    </row>
    <row r="200" spans="1:7" x14ac:dyDescent="0.25">
      <c r="A200" s="18" t="s">
        <v>867</v>
      </c>
      <c r="B200" s="19" t="s">
        <v>860</v>
      </c>
      <c r="C200" s="20" t="s">
        <v>251</v>
      </c>
      <c r="D200" s="14" t="str">
        <f>IFERROR(VLOOKUP(C200,'📋 City-Tier Master'!$A$4:$B$628,2,0),"T4")</f>
        <v>T3</v>
      </c>
      <c r="E200" s="21" t="s">
        <v>652</v>
      </c>
      <c r="F200" s="22">
        <v>17</v>
      </c>
      <c r="G200" s="23"/>
    </row>
    <row r="201" spans="1:7" x14ac:dyDescent="0.25">
      <c r="A201" s="24" t="s">
        <v>868</v>
      </c>
      <c r="B201" s="25" t="s">
        <v>860</v>
      </c>
      <c r="C201" s="20" t="s">
        <v>247</v>
      </c>
      <c r="D201" s="14" t="str">
        <f>IFERROR(VLOOKUP(C201,'📋 City-Tier Master'!$A$4:$B$628,2,0),"T4")</f>
        <v>T3</v>
      </c>
      <c r="E201" s="26" t="s">
        <v>652</v>
      </c>
      <c r="F201" s="27">
        <v>36</v>
      </c>
      <c r="G201" s="23"/>
    </row>
    <row r="202" spans="1:7" x14ac:dyDescent="0.25">
      <c r="A202" s="18" t="s">
        <v>869</v>
      </c>
      <c r="B202" s="19" t="s">
        <v>860</v>
      </c>
      <c r="C202" s="20" t="s">
        <v>248</v>
      </c>
      <c r="D202" s="14" t="str">
        <f>IFERROR(VLOOKUP(C202,'📋 City-Tier Master'!$A$4:$B$628,2,0),"T4")</f>
        <v>T3</v>
      </c>
      <c r="E202" s="21" t="s">
        <v>652</v>
      </c>
      <c r="F202" s="22">
        <v>14</v>
      </c>
      <c r="G202" s="23"/>
    </row>
    <row r="203" spans="1:7" x14ac:dyDescent="0.25">
      <c r="A203" s="24" t="s">
        <v>870</v>
      </c>
      <c r="B203" s="25" t="s">
        <v>871</v>
      </c>
      <c r="C203" s="20" t="s">
        <v>257</v>
      </c>
      <c r="D203" s="14" t="str">
        <f>IFERROR(VLOOKUP(C203,'📋 City-Tier Master'!$A$4:$B$628,2,0),"T4")</f>
        <v>T3</v>
      </c>
      <c r="E203" s="26" t="s">
        <v>652</v>
      </c>
      <c r="F203" s="27">
        <v>10</v>
      </c>
      <c r="G203" s="23"/>
    </row>
    <row r="204" spans="1:7" x14ac:dyDescent="0.25">
      <c r="A204" s="18" t="s">
        <v>872</v>
      </c>
      <c r="B204" s="19" t="s">
        <v>871</v>
      </c>
      <c r="C204" s="20" t="s">
        <v>84</v>
      </c>
      <c r="D204" s="13" t="str">
        <f>IFERROR(VLOOKUP(C204,'📋 City-Tier Master'!$A$4:$B$628,2,0),"T4")</f>
        <v>T2</v>
      </c>
      <c r="E204" s="21" t="s">
        <v>652</v>
      </c>
      <c r="F204" s="22">
        <v>2</v>
      </c>
      <c r="G204" s="23"/>
    </row>
    <row r="205" spans="1:7" x14ac:dyDescent="0.25">
      <c r="A205" s="24" t="s">
        <v>873</v>
      </c>
      <c r="B205" s="25" t="s">
        <v>871</v>
      </c>
      <c r="C205" s="20" t="s">
        <v>84</v>
      </c>
      <c r="D205" s="13" t="str">
        <f>IFERROR(VLOOKUP(C205,'📋 City-Tier Master'!$A$4:$B$628,2,0),"T4")</f>
        <v>T2</v>
      </c>
      <c r="E205" s="26" t="s">
        <v>652</v>
      </c>
      <c r="F205" s="27">
        <v>5</v>
      </c>
      <c r="G205" s="23"/>
    </row>
    <row r="206" spans="1:7" x14ac:dyDescent="0.25">
      <c r="A206" s="18" t="s">
        <v>874</v>
      </c>
      <c r="B206" s="19" t="s">
        <v>871</v>
      </c>
      <c r="C206" s="20" t="s">
        <v>84</v>
      </c>
      <c r="D206" s="13" t="str">
        <f>IFERROR(VLOOKUP(C206,'📋 City-Tier Master'!$A$4:$B$628,2,0),"T4")</f>
        <v>T2</v>
      </c>
      <c r="E206" s="21" t="s">
        <v>652</v>
      </c>
      <c r="F206" s="22">
        <v>7</v>
      </c>
      <c r="G206" s="23"/>
    </row>
    <row r="207" spans="1:7" x14ac:dyDescent="0.25">
      <c r="A207" s="24" t="s">
        <v>875</v>
      </c>
      <c r="B207" s="25" t="s">
        <v>871</v>
      </c>
      <c r="C207" s="20" t="s">
        <v>40</v>
      </c>
      <c r="D207" s="12" t="str">
        <f>IFERROR(VLOOKUP(C207,'📋 City-Tier Master'!$A$4:$B$628,2,0),"T4")</f>
        <v>T1</v>
      </c>
      <c r="E207" s="26" t="s">
        <v>876</v>
      </c>
      <c r="F207" s="27">
        <v>3</v>
      </c>
      <c r="G207" s="23"/>
    </row>
    <row r="208" spans="1:7" x14ac:dyDescent="0.25">
      <c r="A208" s="18" t="s">
        <v>877</v>
      </c>
      <c r="B208" s="19" t="s">
        <v>871</v>
      </c>
      <c r="C208" s="20" t="s">
        <v>84</v>
      </c>
      <c r="D208" s="13" t="str">
        <f>IFERROR(VLOOKUP(C208,'📋 City-Tier Master'!$A$4:$B$628,2,0),"T4")</f>
        <v>T2</v>
      </c>
      <c r="E208" s="21" t="s">
        <v>652</v>
      </c>
      <c r="F208" s="22">
        <v>2</v>
      </c>
      <c r="G208" s="23"/>
    </row>
    <row r="209" spans="1:7" x14ac:dyDescent="0.25">
      <c r="A209" s="24" t="s">
        <v>878</v>
      </c>
      <c r="B209" s="25" t="s">
        <v>871</v>
      </c>
      <c r="C209" s="20" t="s">
        <v>83</v>
      </c>
      <c r="D209" s="13" t="str">
        <f>IFERROR(VLOOKUP(C209,'📋 City-Tier Master'!$A$4:$B$628,2,0),"T4")</f>
        <v>T2</v>
      </c>
      <c r="E209" s="26" t="s">
        <v>652</v>
      </c>
      <c r="F209" s="27">
        <v>148</v>
      </c>
      <c r="G209" s="23"/>
    </row>
    <row r="210" spans="1:7" x14ac:dyDescent="0.25">
      <c r="A210" s="18" t="s">
        <v>879</v>
      </c>
      <c r="B210" s="19" t="s">
        <v>871</v>
      </c>
      <c r="C210" s="20" t="s">
        <v>83</v>
      </c>
      <c r="D210" s="13" t="str">
        <f>IFERROR(VLOOKUP(C210,'📋 City-Tier Master'!$A$4:$B$628,2,0),"T4")</f>
        <v>T2</v>
      </c>
      <c r="E210" s="21" t="s">
        <v>652</v>
      </c>
      <c r="F210" s="22">
        <v>8</v>
      </c>
      <c r="G210" s="23"/>
    </row>
    <row r="211" spans="1:7" x14ac:dyDescent="0.25">
      <c r="A211" s="24" t="s">
        <v>880</v>
      </c>
      <c r="B211" s="25" t="s">
        <v>871</v>
      </c>
      <c r="C211" s="20" t="s">
        <v>83</v>
      </c>
      <c r="D211" s="13" t="str">
        <f>IFERROR(VLOOKUP(C211,'📋 City-Tier Master'!$A$4:$B$628,2,0),"T4")</f>
        <v>T2</v>
      </c>
      <c r="E211" s="26" t="s">
        <v>652</v>
      </c>
      <c r="F211" s="27">
        <v>2</v>
      </c>
      <c r="G211" s="23"/>
    </row>
    <row r="212" spans="1:7" x14ac:dyDescent="0.25">
      <c r="A212" s="18" t="s">
        <v>881</v>
      </c>
      <c r="B212" s="19" t="s">
        <v>871</v>
      </c>
      <c r="C212" s="20" t="s">
        <v>84</v>
      </c>
      <c r="D212" s="13" t="str">
        <f>IFERROR(VLOOKUP(C212,'📋 City-Tier Master'!$A$4:$B$628,2,0),"T4")</f>
        <v>T2</v>
      </c>
      <c r="E212" s="21" t="s">
        <v>652</v>
      </c>
      <c r="F212" s="22">
        <v>2</v>
      </c>
      <c r="G212" s="23"/>
    </row>
    <row r="213" spans="1:7" x14ac:dyDescent="0.25">
      <c r="A213" s="24" t="s">
        <v>882</v>
      </c>
      <c r="B213" s="25" t="s">
        <v>871</v>
      </c>
      <c r="C213" s="20" t="s">
        <v>84</v>
      </c>
      <c r="D213" s="13" t="str">
        <f>IFERROR(VLOOKUP(C213,'📋 City-Tier Master'!$A$4:$B$628,2,0),"T4")</f>
        <v>T2</v>
      </c>
      <c r="E213" s="26" t="s">
        <v>652</v>
      </c>
      <c r="F213" s="27">
        <v>2</v>
      </c>
      <c r="G213" s="23"/>
    </row>
    <row r="214" spans="1:7" x14ac:dyDescent="0.25">
      <c r="A214" s="18" t="s">
        <v>883</v>
      </c>
      <c r="B214" s="19" t="s">
        <v>871</v>
      </c>
      <c r="C214" s="20" t="s">
        <v>83</v>
      </c>
      <c r="D214" s="13" t="str">
        <f>IFERROR(VLOOKUP(C214,'📋 City-Tier Master'!$A$4:$B$628,2,0),"T4")</f>
        <v>T2</v>
      </c>
      <c r="E214" s="21" t="s">
        <v>652</v>
      </c>
      <c r="F214" s="22">
        <v>3</v>
      </c>
      <c r="G214" s="23"/>
    </row>
    <row r="215" spans="1:7" x14ac:dyDescent="0.25">
      <c r="A215" s="24" t="s">
        <v>884</v>
      </c>
      <c r="B215" s="25" t="s">
        <v>871</v>
      </c>
      <c r="C215" s="20" t="s">
        <v>84</v>
      </c>
      <c r="D215" s="13" t="str">
        <f>IFERROR(VLOOKUP(C215,'📋 City-Tier Master'!$A$4:$B$628,2,0),"T4")</f>
        <v>T2</v>
      </c>
      <c r="E215" s="26" t="s">
        <v>652</v>
      </c>
      <c r="F215" s="27">
        <v>1</v>
      </c>
      <c r="G215" s="23"/>
    </row>
    <row r="216" spans="1:7" x14ac:dyDescent="0.25">
      <c r="A216" s="18" t="s">
        <v>885</v>
      </c>
      <c r="B216" s="19" t="s">
        <v>871</v>
      </c>
      <c r="C216" s="20" t="s">
        <v>83</v>
      </c>
      <c r="D216" s="13" t="str">
        <f>IFERROR(VLOOKUP(C216,'📋 City-Tier Master'!$A$4:$B$628,2,0),"T4")</f>
        <v>T2</v>
      </c>
      <c r="E216" s="21" t="s">
        <v>652</v>
      </c>
      <c r="F216" s="22">
        <v>5</v>
      </c>
      <c r="G216" s="23"/>
    </row>
    <row r="217" spans="1:7" x14ac:dyDescent="0.25">
      <c r="A217" s="24" t="s">
        <v>886</v>
      </c>
      <c r="B217" s="25" t="s">
        <v>871</v>
      </c>
      <c r="C217" s="20" t="s">
        <v>83</v>
      </c>
      <c r="D217" s="13" t="str">
        <f>IFERROR(VLOOKUP(C217,'📋 City-Tier Master'!$A$4:$B$628,2,0),"T4")</f>
        <v>T2</v>
      </c>
      <c r="E217" s="26" t="s">
        <v>652</v>
      </c>
      <c r="F217" s="27">
        <v>3</v>
      </c>
      <c r="G217" s="23"/>
    </row>
    <row r="218" spans="1:7" x14ac:dyDescent="0.25">
      <c r="A218" s="18" t="s">
        <v>887</v>
      </c>
      <c r="B218" s="19" t="s">
        <v>871</v>
      </c>
      <c r="C218" s="20" t="s">
        <v>83</v>
      </c>
      <c r="D218" s="13" t="str">
        <f>IFERROR(VLOOKUP(C218,'📋 City-Tier Master'!$A$4:$B$628,2,0),"T4")</f>
        <v>T2</v>
      </c>
      <c r="E218" s="21" t="s">
        <v>652</v>
      </c>
      <c r="F218" s="22">
        <v>9</v>
      </c>
      <c r="G218" s="23"/>
    </row>
    <row r="219" spans="1:7" x14ac:dyDescent="0.25">
      <c r="A219" s="24" t="s">
        <v>888</v>
      </c>
      <c r="B219" s="25" t="s">
        <v>871</v>
      </c>
      <c r="C219" s="20" t="s">
        <v>84</v>
      </c>
      <c r="D219" s="13" t="str">
        <f>IFERROR(VLOOKUP(C219,'📋 City-Tier Master'!$A$4:$B$628,2,0),"T4")</f>
        <v>T2</v>
      </c>
      <c r="E219" s="26" t="s">
        <v>652</v>
      </c>
      <c r="F219" s="27">
        <v>2</v>
      </c>
      <c r="G219" s="23"/>
    </row>
    <row r="220" spans="1:7" x14ac:dyDescent="0.25">
      <c r="A220" s="18" t="s">
        <v>889</v>
      </c>
      <c r="B220" s="19" t="s">
        <v>871</v>
      </c>
      <c r="C220" s="20" t="s">
        <v>84</v>
      </c>
      <c r="D220" s="13" t="str">
        <f>IFERROR(VLOOKUP(C220,'📋 City-Tier Master'!$A$4:$B$628,2,0),"T4")</f>
        <v>T2</v>
      </c>
      <c r="E220" s="21" t="s">
        <v>652</v>
      </c>
      <c r="F220" s="22">
        <v>52</v>
      </c>
      <c r="G220" s="23"/>
    </row>
    <row r="221" spans="1:7" x14ac:dyDescent="0.25">
      <c r="A221" s="24" t="s">
        <v>890</v>
      </c>
      <c r="B221" s="25" t="s">
        <v>871</v>
      </c>
      <c r="C221" s="20" t="s">
        <v>254</v>
      </c>
      <c r="D221" s="14" t="str">
        <f>IFERROR(VLOOKUP(C221,'📋 City-Tier Master'!$A$4:$B$628,2,0),"T4")</f>
        <v>T3</v>
      </c>
      <c r="E221" s="26" t="s">
        <v>652</v>
      </c>
      <c r="F221" s="27">
        <v>17</v>
      </c>
      <c r="G221" s="23"/>
    </row>
    <row r="222" spans="1:7" x14ac:dyDescent="0.25">
      <c r="A222" s="18" t="s">
        <v>891</v>
      </c>
      <c r="B222" s="19" t="s">
        <v>892</v>
      </c>
      <c r="C222" s="20" t="s">
        <v>570</v>
      </c>
      <c r="D222" s="14" t="str">
        <f>IFERROR(VLOOKUP(C222,'📋 City-Tier Master'!$A$4:$B$628,2,0),"T4")</f>
        <v>T3</v>
      </c>
      <c r="E222" s="21" t="s">
        <v>652</v>
      </c>
      <c r="F222" s="22">
        <v>53</v>
      </c>
      <c r="G222" s="23"/>
    </row>
    <row r="223" spans="1:7" x14ac:dyDescent="0.25">
      <c r="A223" s="24" t="s">
        <v>893</v>
      </c>
      <c r="B223" s="25" t="s">
        <v>892</v>
      </c>
      <c r="C223" s="20" t="s">
        <v>201</v>
      </c>
      <c r="D223" s="13" t="str">
        <f>IFERROR(VLOOKUP(C223,'📋 City-Tier Master'!$A$4:$B$628,2,0),"T4")</f>
        <v>T2</v>
      </c>
      <c r="E223" s="26" t="s">
        <v>652</v>
      </c>
      <c r="F223" s="27">
        <v>2</v>
      </c>
      <c r="G223" s="23"/>
    </row>
    <row r="224" spans="1:7" x14ac:dyDescent="0.25">
      <c r="A224" s="18" t="s">
        <v>894</v>
      </c>
      <c r="B224" s="19" t="s">
        <v>892</v>
      </c>
      <c r="C224" s="20" t="s">
        <v>561</v>
      </c>
      <c r="D224" s="14" t="str">
        <f>IFERROR(VLOOKUP(C224,'📋 City-Tier Master'!$A$4:$B$628,2,0),"T4")</f>
        <v>T3</v>
      </c>
      <c r="E224" s="21" t="s">
        <v>652</v>
      </c>
      <c r="F224" s="22">
        <v>33</v>
      </c>
      <c r="G224" s="23"/>
    </row>
    <row r="225" spans="1:7" x14ac:dyDescent="0.25">
      <c r="A225" s="24" t="s">
        <v>895</v>
      </c>
      <c r="B225" s="25" t="s">
        <v>892</v>
      </c>
      <c r="C225" s="20" t="s">
        <v>574</v>
      </c>
      <c r="D225" s="14" t="str">
        <f>IFERROR(VLOOKUP(C225,'📋 City-Tier Master'!$A$4:$B$628,2,0),"T4")</f>
        <v>T3</v>
      </c>
      <c r="E225" s="26" t="s">
        <v>652</v>
      </c>
      <c r="F225" s="27">
        <v>84</v>
      </c>
      <c r="G225" s="23"/>
    </row>
    <row r="226" spans="1:7" x14ac:dyDescent="0.25">
      <c r="A226" s="18" t="s">
        <v>896</v>
      </c>
      <c r="B226" s="19" t="s">
        <v>892</v>
      </c>
      <c r="C226" s="20" t="s">
        <v>200</v>
      </c>
      <c r="D226" s="13" t="str">
        <f>IFERROR(VLOOKUP(C226,'📋 City-Tier Master'!$A$4:$B$628,2,0),"T4")</f>
        <v>T2</v>
      </c>
      <c r="E226" s="21" t="s">
        <v>652</v>
      </c>
      <c r="F226" s="22">
        <v>14</v>
      </c>
      <c r="G226" s="23"/>
    </row>
    <row r="227" spans="1:7" x14ac:dyDescent="0.25">
      <c r="A227" s="24" t="s">
        <v>897</v>
      </c>
      <c r="B227" s="25" t="s">
        <v>892</v>
      </c>
      <c r="C227" s="20" t="s">
        <v>202</v>
      </c>
      <c r="D227" s="13" t="str">
        <f>IFERROR(VLOOKUP(C227,'📋 City-Tier Master'!$A$4:$B$628,2,0),"T4")</f>
        <v>T2</v>
      </c>
      <c r="E227" s="26" t="s">
        <v>652</v>
      </c>
      <c r="F227" s="27">
        <v>119</v>
      </c>
      <c r="G227" s="23"/>
    </row>
    <row r="228" spans="1:7" x14ac:dyDescent="0.25">
      <c r="A228" s="18" t="s">
        <v>898</v>
      </c>
      <c r="B228" s="19" t="s">
        <v>892</v>
      </c>
      <c r="C228" s="20" t="s">
        <v>201</v>
      </c>
      <c r="D228" s="13" t="str">
        <f>IFERROR(VLOOKUP(C228,'📋 City-Tier Master'!$A$4:$B$628,2,0),"T4")</f>
        <v>T2</v>
      </c>
      <c r="E228" s="21" t="s">
        <v>652</v>
      </c>
      <c r="F228" s="22">
        <v>10</v>
      </c>
      <c r="G228" s="23"/>
    </row>
    <row r="229" spans="1:7" x14ac:dyDescent="0.25">
      <c r="A229" s="24" t="s">
        <v>899</v>
      </c>
      <c r="B229" s="25" t="s">
        <v>892</v>
      </c>
      <c r="C229" s="20" t="s">
        <v>573</v>
      </c>
      <c r="D229" s="14" t="str">
        <f>IFERROR(VLOOKUP(C229,'📋 City-Tier Master'!$A$4:$B$628,2,0),"T4")</f>
        <v>T3</v>
      </c>
      <c r="E229" s="26" t="s">
        <v>652</v>
      </c>
      <c r="F229" s="27">
        <v>16</v>
      </c>
      <c r="G229" s="23"/>
    </row>
    <row r="230" spans="1:7" x14ac:dyDescent="0.25">
      <c r="A230" s="18" t="s">
        <v>900</v>
      </c>
      <c r="B230" s="19" t="s">
        <v>892</v>
      </c>
      <c r="C230" s="20" t="s">
        <v>562</v>
      </c>
      <c r="D230" s="14" t="str">
        <f>IFERROR(VLOOKUP(C230,'📋 City-Tier Master'!$A$4:$B$628,2,0),"T4")</f>
        <v>T3</v>
      </c>
      <c r="E230" s="29" t="s">
        <v>735</v>
      </c>
      <c r="F230" s="22">
        <v>14</v>
      </c>
      <c r="G230" s="23"/>
    </row>
    <row r="231" spans="1:7" x14ac:dyDescent="0.25">
      <c r="A231" s="24" t="s">
        <v>901</v>
      </c>
      <c r="B231" s="25" t="s">
        <v>892</v>
      </c>
      <c r="C231" s="20" t="s">
        <v>201</v>
      </c>
      <c r="D231" s="13" t="str">
        <f>IFERROR(VLOOKUP(C231,'📋 City-Tier Master'!$A$4:$B$628,2,0),"T4")</f>
        <v>T2</v>
      </c>
      <c r="E231" s="26" t="s">
        <v>652</v>
      </c>
      <c r="F231" s="27">
        <v>3</v>
      </c>
      <c r="G231" s="23"/>
    </row>
    <row r="232" spans="1:7" x14ac:dyDescent="0.25">
      <c r="A232" s="18" t="s">
        <v>902</v>
      </c>
      <c r="B232" s="19" t="s">
        <v>892</v>
      </c>
      <c r="C232" s="20" t="s">
        <v>573</v>
      </c>
      <c r="D232" s="14" t="str">
        <f>IFERROR(VLOOKUP(C232,'📋 City-Tier Master'!$A$4:$B$628,2,0),"T4")</f>
        <v>T3</v>
      </c>
      <c r="E232" s="21" t="s">
        <v>652</v>
      </c>
      <c r="F232" s="22">
        <v>16</v>
      </c>
      <c r="G232" s="23"/>
    </row>
    <row r="233" spans="1:7" x14ac:dyDescent="0.25">
      <c r="A233" s="24" t="s">
        <v>903</v>
      </c>
      <c r="B233" s="25" t="s">
        <v>892</v>
      </c>
      <c r="C233" s="20" t="s">
        <v>566</v>
      </c>
      <c r="D233" s="14" t="str">
        <f>IFERROR(VLOOKUP(C233,'📋 City-Tier Master'!$A$4:$B$628,2,0),"T4")</f>
        <v>T3</v>
      </c>
      <c r="E233" s="26" t="s">
        <v>652</v>
      </c>
      <c r="F233" s="27">
        <v>2</v>
      </c>
      <c r="G233" s="23"/>
    </row>
    <row r="234" spans="1:7" x14ac:dyDescent="0.25">
      <c r="A234" s="18" t="s">
        <v>904</v>
      </c>
      <c r="B234" s="19" t="s">
        <v>892</v>
      </c>
      <c r="C234" s="20" t="s">
        <v>201</v>
      </c>
      <c r="D234" s="13" t="str">
        <f>IFERROR(VLOOKUP(C234,'📋 City-Tier Master'!$A$4:$B$628,2,0),"T4")</f>
        <v>T2</v>
      </c>
      <c r="E234" s="21" t="s">
        <v>652</v>
      </c>
      <c r="F234" s="22">
        <v>6</v>
      </c>
      <c r="G234" s="23"/>
    </row>
    <row r="235" spans="1:7" x14ac:dyDescent="0.25">
      <c r="A235" s="24" t="s">
        <v>905</v>
      </c>
      <c r="B235" s="25" t="s">
        <v>892</v>
      </c>
      <c r="C235" s="20" t="s">
        <v>573</v>
      </c>
      <c r="D235" s="14" t="str">
        <f>IFERROR(VLOOKUP(C235,'📋 City-Tier Master'!$A$4:$B$628,2,0),"T4")</f>
        <v>T3</v>
      </c>
      <c r="E235" s="26" t="s">
        <v>652</v>
      </c>
      <c r="F235" s="27">
        <v>6</v>
      </c>
      <c r="G235" s="23"/>
    </row>
    <row r="236" spans="1:7" x14ac:dyDescent="0.25">
      <c r="A236" s="18" t="s">
        <v>906</v>
      </c>
      <c r="B236" s="19" t="s">
        <v>892</v>
      </c>
      <c r="C236" s="20" t="s">
        <v>201</v>
      </c>
      <c r="D236" s="13" t="str">
        <f>IFERROR(VLOOKUP(C236,'📋 City-Tier Master'!$A$4:$B$628,2,0),"T4")</f>
        <v>T2</v>
      </c>
      <c r="E236" s="21" t="s">
        <v>652</v>
      </c>
      <c r="F236" s="22">
        <v>1</v>
      </c>
      <c r="G236" s="23"/>
    </row>
    <row r="237" spans="1:7" x14ac:dyDescent="0.25">
      <c r="A237" s="24" t="s">
        <v>907</v>
      </c>
      <c r="B237" s="25" t="s">
        <v>892</v>
      </c>
      <c r="C237" s="20" t="s">
        <v>201</v>
      </c>
      <c r="D237" s="13" t="str">
        <f>IFERROR(VLOOKUP(C237,'📋 City-Tier Master'!$A$4:$B$628,2,0),"T4")</f>
        <v>T2</v>
      </c>
      <c r="E237" s="26" t="s">
        <v>652</v>
      </c>
      <c r="F237" s="27">
        <v>6</v>
      </c>
      <c r="G237" s="23"/>
    </row>
    <row r="238" spans="1:7" x14ac:dyDescent="0.25">
      <c r="A238" s="18" t="s">
        <v>908</v>
      </c>
      <c r="B238" s="19" t="s">
        <v>892</v>
      </c>
      <c r="C238" s="20" t="s">
        <v>567</v>
      </c>
      <c r="D238" s="14" t="str">
        <f>IFERROR(VLOOKUP(C238,'📋 City-Tier Master'!$A$4:$B$628,2,0),"T4")</f>
        <v>T3</v>
      </c>
      <c r="E238" s="21" t="s">
        <v>652</v>
      </c>
      <c r="F238" s="22">
        <v>7</v>
      </c>
      <c r="G238" s="23"/>
    </row>
    <row r="239" spans="1:7" x14ac:dyDescent="0.25">
      <c r="A239" s="24" t="s">
        <v>909</v>
      </c>
      <c r="B239" s="25" t="s">
        <v>892</v>
      </c>
      <c r="C239" s="20" t="s">
        <v>201</v>
      </c>
      <c r="D239" s="13" t="str">
        <f>IFERROR(VLOOKUP(C239,'📋 City-Tier Master'!$A$4:$B$628,2,0),"T4")</f>
        <v>T2</v>
      </c>
      <c r="E239" s="26" t="s">
        <v>652</v>
      </c>
      <c r="F239" s="27">
        <v>15</v>
      </c>
      <c r="G239" s="23"/>
    </row>
    <row r="240" spans="1:7" x14ac:dyDescent="0.25">
      <c r="A240" s="18" t="s">
        <v>910</v>
      </c>
      <c r="B240" s="19" t="s">
        <v>892</v>
      </c>
      <c r="C240" s="20" t="s">
        <v>201</v>
      </c>
      <c r="D240" s="13" t="str">
        <f>IFERROR(VLOOKUP(C240,'📋 City-Tier Master'!$A$4:$B$628,2,0),"T4")</f>
        <v>T2</v>
      </c>
      <c r="E240" s="21" t="s">
        <v>652</v>
      </c>
      <c r="F240" s="22">
        <v>19</v>
      </c>
      <c r="G240" s="23"/>
    </row>
    <row r="241" spans="1:7" x14ac:dyDescent="0.25">
      <c r="A241" s="24" t="s">
        <v>911</v>
      </c>
      <c r="B241" s="25" t="s">
        <v>892</v>
      </c>
      <c r="C241" s="20" t="s">
        <v>201</v>
      </c>
      <c r="D241" s="13" t="str">
        <f>IFERROR(VLOOKUP(C241,'📋 City-Tier Master'!$A$4:$B$628,2,0),"T4")</f>
        <v>T2</v>
      </c>
      <c r="E241" s="26" t="s">
        <v>652</v>
      </c>
      <c r="F241" s="27">
        <v>200</v>
      </c>
      <c r="G241" s="23"/>
    </row>
    <row r="242" spans="1:7" x14ac:dyDescent="0.25">
      <c r="A242" s="18" t="s">
        <v>912</v>
      </c>
      <c r="B242" s="19" t="s">
        <v>892</v>
      </c>
      <c r="C242" s="20" t="s">
        <v>562</v>
      </c>
      <c r="D242" s="14" t="str">
        <f>IFERROR(VLOOKUP(C242,'📋 City-Tier Master'!$A$4:$B$628,2,0),"T4")</f>
        <v>T3</v>
      </c>
      <c r="E242" s="21" t="s">
        <v>652</v>
      </c>
      <c r="F242" s="22">
        <v>4</v>
      </c>
      <c r="G242" s="23"/>
    </row>
    <row r="243" spans="1:7" x14ac:dyDescent="0.25">
      <c r="A243" s="24" t="s">
        <v>913</v>
      </c>
      <c r="B243" s="25" t="s">
        <v>892</v>
      </c>
      <c r="C243" s="20" t="s">
        <v>202</v>
      </c>
      <c r="D243" s="13" t="str">
        <f>IFERROR(VLOOKUP(C243,'📋 City-Tier Master'!$A$4:$B$628,2,0),"T4")</f>
        <v>T2</v>
      </c>
      <c r="E243" s="26" t="s">
        <v>652</v>
      </c>
      <c r="F243" s="27">
        <v>7</v>
      </c>
      <c r="G243" s="23"/>
    </row>
    <row r="244" spans="1:7" x14ac:dyDescent="0.25">
      <c r="A244" s="18" t="s">
        <v>914</v>
      </c>
      <c r="B244" s="19" t="s">
        <v>892</v>
      </c>
      <c r="C244" s="20" t="s">
        <v>201</v>
      </c>
      <c r="D244" s="13" t="str">
        <f>IFERROR(VLOOKUP(C244,'📋 City-Tier Master'!$A$4:$B$628,2,0),"T4")</f>
        <v>T2</v>
      </c>
      <c r="E244" s="21" t="s">
        <v>652</v>
      </c>
      <c r="F244" s="22">
        <v>1</v>
      </c>
      <c r="G244" s="23"/>
    </row>
    <row r="245" spans="1:7" x14ac:dyDescent="0.25">
      <c r="A245" s="24" t="s">
        <v>915</v>
      </c>
      <c r="B245" s="25" t="s">
        <v>892</v>
      </c>
      <c r="C245" s="20" t="s">
        <v>575</v>
      </c>
      <c r="D245" s="14" t="str">
        <f>IFERROR(VLOOKUP(C245,'📋 City-Tier Master'!$A$4:$B$628,2,0),"T4")</f>
        <v>T3</v>
      </c>
      <c r="E245" s="26" t="s">
        <v>652</v>
      </c>
      <c r="F245" s="27">
        <v>6</v>
      </c>
      <c r="G245" s="23"/>
    </row>
    <row r="246" spans="1:7" x14ac:dyDescent="0.25">
      <c r="A246" s="18" t="s">
        <v>916</v>
      </c>
      <c r="B246" s="19" t="s">
        <v>917</v>
      </c>
      <c r="C246" s="20" t="s">
        <v>456</v>
      </c>
      <c r="D246" s="14" t="str">
        <f>IFERROR(VLOOKUP(C246,'📋 City-Tier Master'!$A$4:$B$628,2,0),"T4")</f>
        <v>T3</v>
      </c>
      <c r="E246" s="21" t="s">
        <v>652</v>
      </c>
      <c r="F246" s="22">
        <v>26</v>
      </c>
      <c r="G246" s="23"/>
    </row>
    <row r="247" spans="1:7" x14ac:dyDescent="0.25">
      <c r="A247" s="24" t="s">
        <v>918</v>
      </c>
      <c r="B247" s="25" t="s">
        <v>917</v>
      </c>
      <c r="C247" s="20" t="s">
        <v>167</v>
      </c>
      <c r="D247" s="13" t="str">
        <f>IFERROR(VLOOKUP(C247,'📋 City-Tier Master'!$A$4:$B$628,2,0),"T4")</f>
        <v>T2</v>
      </c>
      <c r="E247" s="26" t="s">
        <v>652</v>
      </c>
      <c r="F247" s="27">
        <v>59</v>
      </c>
      <c r="G247" s="23"/>
    </row>
    <row r="248" spans="1:7" x14ac:dyDescent="0.25">
      <c r="A248" s="18" t="s">
        <v>919</v>
      </c>
      <c r="B248" s="19" t="s">
        <v>917</v>
      </c>
      <c r="C248" s="20" t="s">
        <v>171</v>
      </c>
      <c r="D248" s="13" t="str">
        <f>IFERROR(VLOOKUP(C248,'📋 City-Tier Master'!$A$4:$B$628,2,0),"T4")</f>
        <v>T2</v>
      </c>
      <c r="E248" s="21" t="s">
        <v>652</v>
      </c>
      <c r="F248" s="22">
        <v>97</v>
      </c>
      <c r="G248" s="23"/>
    </row>
    <row r="249" spans="1:7" x14ac:dyDescent="0.25">
      <c r="A249" s="24" t="s">
        <v>920</v>
      </c>
      <c r="B249" s="25" t="s">
        <v>917</v>
      </c>
      <c r="C249" s="20" t="s">
        <v>167</v>
      </c>
      <c r="D249" s="13" t="str">
        <f>IFERROR(VLOOKUP(C249,'📋 City-Tier Master'!$A$4:$B$628,2,0),"T4")</f>
        <v>T2</v>
      </c>
      <c r="E249" s="26" t="s">
        <v>652</v>
      </c>
      <c r="F249" s="27">
        <v>1</v>
      </c>
      <c r="G249" s="23"/>
    </row>
    <row r="250" spans="1:7" x14ac:dyDescent="0.25">
      <c r="A250" s="18" t="s">
        <v>921</v>
      </c>
      <c r="B250" s="19" t="s">
        <v>917</v>
      </c>
      <c r="C250" s="20" t="s">
        <v>23</v>
      </c>
      <c r="D250" s="9" t="str">
        <f>IFERROR(VLOOKUP(C250,'📋 City-Tier Master'!$A$4:$B$628,2,0),"T4")</f>
        <v>Metro</v>
      </c>
      <c r="E250" s="21" t="s">
        <v>652</v>
      </c>
      <c r="F250" s="22">
        <v>49</v>
      </c>
      <c r="G250" s="23"/>
    </row>
    <row r="251" spans="1:7" x14ac:dyDescent="0.25">
      <c r="A251" s="24" t="s">
        <v>922</v>
      </c>
      <c r="B251" s="25" t="s">
        <v>917</v>
      </c>
      <c r="C251" s="20" t="s">
        <v>23</v>
      </c>
      <c r="D251" s="9" t="str">
        <f>IFERROR(VLOOKUP(C251,'📋 City-Tier Master'!$A$4:$B$628,2,0),"T4")</f>
        <v>Metro</v>
      </c>
      <c r="E251" s="26" t="s">
        <v>652</v>
      </c>
      <c r="F251" s="27">
        <v>1672</v>
      </c>
      <c r="G251" s="23"/>
    </row>
    <row r="252" spans="1:7" x14ac:dyDescent="0.25">
      <c r="A252" s="18" t="s">
        <v>923</v>
      </c>
      <c r="B252" s="19" t="s">
        <v>917</v>
      </c>
      <c r="C252" s="20" t="s">
        <v>455</v>
      </c>
      <c r="D252" s="14" t="str">
        <f>IFERROR(VLOOKUP(C252,'📋 City-Tier Master'!$A$4:$B$628,2,0),"T4")</f>
        <v>T3</v>
      </c>
      <c r="E252" s="29" t="s">
        <v>735</v>
      </c>
      <c r="F252" s="22">
        <v>24</v>
      </c>
      <c r="G252" s="23"/>
    </row>
    <row r="253" spans="1:7" x14ac:dyDescent="0.25">
      <c r="A253" s="24" t="s">
        <v>924</v>
      </c>
      <c r="B253" s="25" t="s">
        <v>917</v>
      </c>
      <c r="C253" s="20" t="s">
        <v>51</v>
      </c>
      <c r="D253" s="12" t="str">
        <f>IFERROR(VLOOKUP(C253,'📋 City-Tier Master'!$A$4:$B$628,2,0),"T4")</f>
        <v>T1</v>
      </c>
      <c r="E253" s="26" t="s">
        <v>652</v>
      </c>
      <c r="F253" s="27">
        <v>5</v>
      </c>
      <c r="G253" s="23"/>
    </row>
    <row r="254" spans="1:7" x14ac:dyDescent="0.25">
      <c r="A254" s="18" t="s">
        <v>925</v>
      </c>
      <c r="B254" s="19" t="s">
        <v>917</v>
      </c>
      <c r="C254" s="20" t="s">
        <v>23</v>
      </c>
      <c r="D254" s="9" t="str">
        <f>IFERROR(VLOOKUP(C254,'📋 City-Tier Master'!$A$4:$B$628,2,0),"T4")</f>
        <v>Metro</v>
      </c>
      <c r="E254" s="21" t="s">
        <v>652</v>
      </c>
      <c r="F254" s="22">
        <v>8</v>
      </c>
      <c r="G254" s="23"/>
    </row>
    <row r="255" spans="1:7" x14ac:dyDescent="0.25">
      <c r="A255" s="24" t="s">
        <v>926</v>
      </c>
      <c r="B255" s="25" t="s">
        <v>917</v>
      </c>
      <c r="C255" s="20" t="s">
        <v>165</v>
      </c>
      <c r="D255" s="13" t="str">
        <f>IFERROR(VLOOKUP(C255,'📋 City-Tier Master'!$A$4:$B$628,2,0),"T4")</f>
        <v>T2</v>
      </c>
      <c r="E255" s="26" t="s">
        <v>652</v>
      </c>
      <c r="F255" s="27">
        <v>16</v>
      </c>
      <c r="G255" s="23"/>
    </row>
    <row r="256" spans="1:7" x14ac:dyDescent="0.25">
      <c r="A256" s="18" t="s">
        <v>927</v>
      </c>
      <c r="B256" s="19" t="s">
        <v>917</v>
      </c>
      <c r="C256" s="20" t="s">
        <v>140</v>
      </c>
      <c r="D256" s="13" t="str">
        <f>IFERROR(VLOOKUP(C256,'📋 City-Tier Master'!$A$4:$B$628,2,0),"T4")</f>
        <v>T2</v>
      </c>
      <c r="E256" s="21" t="s">
        <v>876</v>
      </c>
      <c r="F256" s="22">
        <v>12</v>
      </c>
      <c r="G256" s="23"/>
    </row>
    <row r="257" spans="1:7" x14ac:dyDescent="0.25">
      <c r="A257" s="24" t="s">
        <v>928</v>
      </c>
      <c r="B257" s="25" t="s">
        <v>917</v>
      </c>
      <c r="C257" s="20" t="s">
        <v>164</v>
      </c>
      <c r="D257" s="13" t="str">
        <f>IFERROR(VLOOKUP(C257,'📋 City-Tier Master'!$A$4:$B$628,2,0),"T4")</f>
        <v>T2</v>
      </c>
      <c r="E257" s="26" t="s">
        <v>652</v>
      </c>
      <c r="F257" s="27">
        <v>133</v>
      </c>
      <c r="G257" s="23"/>
    </row>
    <row r="258" spans="1:7" x14ac:dyDescent="0.25">
      <c r="A258" s="18" t="s">
        <v>929</v>
      </c>
      <c r="B258" s="19" t="s">
        <v>917</v>
      </c>
      <c r="C258" s="20" t="s">
        <v>165</v>
      </c>
      <c r="D258" s="13" t="str">
        <f>IFERROR(VLOOKUP(C258,'📋 City-Tier Master'!$A$4:$B$628,2,0),"T4")</f>
        <v>T2</v>
      </c>
      <c r="E258" s="21" t="s">
        <v>652</v>
      </c>
      <c r="F258" s="22">
        <v>43</v>
      </c>
      <c r="G258" s="23"/>
    </row>
    <row r="259" spans="1:7" x14ac:dyDescent="0.25">
      <c r="A259" s="24" t="s">
        <v>930</v>
      </c>
      <c r="B259" s="25" t="s">
        <v>917</v>
      </c>
      <c r="C259" s="20" t="s">
        <v>166</v>
      </c>
      <c r="D259" s="13" t="str">
        <f>IFERROR(VLOOKUP(C259,'📋 City-Tier Master'!$A$4:$B$628,2,0),"T4")</f>
        <v>T2</v>
      </c>
      <c r="E259" s="26" t="s">
        <v>652</v>
      </c>
      <c r="F259" s="27">
        <v>123</v>
      </c>
      <c r="G259" s="23"/>
    </row>
    <row r="260" spans="1:7" x14ac:dyDescent="0.25">
      <c r="A260" s="18" t="s">
        <v>931</v>
      </c>
      <c r="B260" s="19" t="s">
        <v>917</v>
      </c>
      <c r="C260" s="20" t="s">
        <v>453</v>
      </c>
      <c r="D260" s="14" t="str">
        <f>IFERROR(VLOOKUP(C260,'📋 City-Tier Master'!$A$4:$B$628,2,0),"T4")</f>
        <v>T3</v>
      </c>
      <c r="E260" s="21" t="s">
        <v>876</v>
      </c>
      <c r="F260" s="22">
        <v>10</v>
      </c>
      <c r="G260" s="23"/>
    </row>
    <row r="261" spans="1:7" x14ac:dyDescent="0.25">
      <c r="A261" s="24" t="s">
        <v>932</v>
      </c>
      <c r="B261" s="25" t="s">
        <v>917</v>
      </c>
      <c r="C261" s="20" t="s">
        <v>51</v>
      </c>
      <c r="D261" s="12" t="str">
        <f>IFERROR(VLOOKUP(C261,'📋 City-Tier Master'!$A$4:$B$628,2,0),"T4")</f>
        <v>T1</v>
      </c>
      <c r="E261" s="26" t="s">
        <v>652</v>
      </c>
      <c r="F261" s="27">
        <v>24</v>
      </c>
      <c r="G261" s="23"/>
    </row>
    <row r="262" spans="1:7" x14ac:dyDescent="0.25">
      <c r="A262" s="18" t="s">
        <v>933</v>
      </c>
      <c r="B262" s="19" t="s">
        <v>917</v>
      </c>
      <c r="C262" s="20" t="s">
        <v>165</v>
      </c>
      <c r="D262" s="13" t="str">
        <f>IFERROR(VLOOKUP(C262,'📋 City-Tier Master'!$A$4:$B$628,2,0),"T4")</f>
        <v>T2</v>
      </c>
      <c r="E262" s="21" t="s">
        <v>652</v>
      </c>
      <c r="F262" s="22">
        <v>10</v>
      </c>
      <c r="G262" s="23"/>
    </row>
    <row r="263" spans="1:7" x14ac:dyDescent="0.25">
      <c r="A263" s="24" t="s">
        <v>934</v>
      </c>
      <c r="B263" s="25" t="s">
        <v>917</v>
      </c>
      <c r="C263" s="20" t="s">
        <v>169</v>
      </c>
      <c r="D263" s="13" t="str">
        <f>IFERROR(VLOOKUP(C263,'📋 City-Tier Master'!$A$4:$B$628,2,0),"T4")</f>
        <v>T2</v>
      </c>
      <c r="E263" s="26" t="s">
        <v>652</v>
      </c>
      <c r="F263" s="27">
        <v>43</v>
      </c>
      <c r="G263" s="23"/>
    </row>
    <row r="264" spans="1:7" x14ac:dyDescent="0.25">
      <c r="A264" s="18" t="s">
        <v>935</v>
      </c>
      <c r="B264" s="19" t="s">
        <v>917</v>
      </c>
      <c r="C264" s="20" t="s">
        <v>51</v>
      </c>
      <c r="D264" s="12" t="str">
        <f>IFERROR(VLOOKUP(C264,'📋 City-Tier Master'!$A$4:$B$628,2,0),"T4")</f>
        <v>T1</v>
      </c>
      <c r="E264" s="21" t="s">
        <v>652</v>
      </c>
      <c r="F264" s="22">
        <v>15</v>
      </c>
      <c r="G264" s="23"/>
    </row>
    <row r="265" spans="1:7" x14ac:dyDescent="0.25">
      <c r="A265" s="24" t="s">
        <v>936</v>
      </c>
      <c r="B265" s="25" t="s">
        <v>917</v>
      </c>
      <c r="C265" s="20" t="s">
        <v>23</v>
      </c>
      <c r="D265" s="9" t="str">
        <f>IFERROR(VLOOKUP(C265,'📋 City-Tier Master'!$A$4:$B$628,2,0),"T4")</f>
        <v>Metro</v>
      </c>
      <c r="E265" s="26" t="s">
        <v>652</v>
      </c>
      <c r="F265" s="27">
        <v>15</v>
      </c>
      <c r="G265" s="23"/>
    </row>
    <row r="266" spans="1:7" x14ac:dyDescent="0.25">
      <c r="A266" s="18" t="s">
        <v>937</v>
      </c>
      <c r="B266" s="19" t="s">
        <v>917</v>
      </c>
      <c r="C266" s="20" t="s">
        <v>167</v>
      </c>
      <c r="D266" s="13" t="str">
        <f>IFERROR(VLOOKUP(C266,'📋 City-Tier Master'!$A$4:$B$628,2,0),"T4")</f>
        <v>T2</v>
      </c>
      <c r="E266" s="21" t="s">
        <v>652</v>
      </c>
      <c r="F266" s="22">
        <v>13</v>
      </c>
      <c r="G266" s="23"/>
    </row>
    <row r="267" spans="1:7" x14ac:dyDescent="0.25">
      <c r="A267" s="24" t="s">
        <v>938</v>
      </c>
      <c r="B267" s="25" t="s">
        <v>917</v>
      </c>
      <c r="C267" s="20" t="s">
        <v>51</v>
      </c>
      <c r="D267" s="12" t="str">
        <f>IFERROR(VLOOKUP(C267,'📋 City-Tier Master'!$A$4:$B$628,2,0),"T4")</f>
        <v>T1</v>
      </c>
      <c r="E267" s="26" t="s">
        <v>652</v>
      </c>
      <c r="F267" s="27">
        <v>18</v>
      </c>
      <c r="G267" s="23"/>
    </row>
    <row r="268" spans="1:7" x14ac:dyDescent="0.25">
      <c r="A268" s="18" t="s">
        <v>939</v>
      </c>
      <c r="B268" s="19" t="s">
        <v>917</v>
      </c>
      <c r="C268" s="20" t="s">
        <v>51</v>
      </c>
      <c r="D268" s="12" t="str">
        <f>IFERROR(VLOOKUP(C268,'📋 City-Tier Master'!$A$4:$B$628,2,0),"T4")</f>
        <v>T1</v>
      </c>
      <c r="E268" s="21" t="s">
        <v>652</v>
      </c>
      <c r="F268" s="22">
        <v>170</v>
      </c>
      <c r="G268" s="23"/>
    </row>
    <row r="269" spans="1:7" x14ac:dyDescent="0.25">
      <c r="A269" s="24" t="s">
        <v>940</v>
      </c>
      <c r="B269" s="25" t="s">
        <v>917</v>
      </c>
      <c r="C269" s="20" t="s">
        <v>454</v>
      </c>
      <c r="D269" s="14" t="str">
        <f>IFERROR(VLOOKUP(C269,'📋 City-Tier Master'!$A$4:$B$628,2,0),"T4")</f>
        <v>T3</v>
      </c>
      <c r="E269" s="28" t="s">
        <v>735</v>
      </c>
      <c r="F269" s="27">
        <v>23</v>
      </c>
      <c r="G269" s="23"/>
    </row>
    <row r="270" spans="1:7" x14ac:dyDescent="0.25">
      <c r="A270" s="18" t="s">
        <v>941</v>
      </c>
      <c r="B270" s="19" t="s">
        <v>917</v>
      </c>
      <c r="C270" s="20" t="s">
        <v>23</v>
      </c>
      <c r="D270" s="9" t="str">
        <f>IFERROR(VLOOKUP(C270,'📋 City-Tier Master'!$A$4:$B$628,2,0),"T4")</f>
        <v>Metro</v>
      </c>
      <c r="E270" s="21" t="s">
        <v>652</v>
      </c>
      <c r="F270" s="22">
        <v>10</v>
      </c>
      <c r="G270" s="23"/>
    </row>
    <row r="271" spans="1:7" x14ac:dyDescent="0.25">
      <c r="A271" s="24" t="s">
        <v>942</v>
      </c>
      <c r="B271" s="25" t="s">
        <v>917</v>
      </c>
      <c r="C271" s="20" t="s">
        <v>452</v>
      </c>
      <c r="D271" s="14" t="str">
        <f>IFERROR(VLOOKUP(C271,'📋 City-Tier Master'!$A$4:$B$628,2,0),"T4")</f>
        <v>T3</v>
      </c>
      <c r="E271" s="26" t="s">
        <v>652</v>
      </c>
      <c r="F271" s="27">
        <v>53</v>
      </c>
      <c r="G271" s="23"/>
    </row>
    <row r="272" spans="1:7" x14ac:dyDescent="0.25">
      <c r="A272" s="18" t="s">
        <v>943</v>
      </c>
      <c r="B272" s="19" t="s">
        <v>917</v>
      </c>
      <c r="C272" s="20" t="s">
        <v>163</v>
      </c>
      <c r="D272" s="13" t="str">
        <f>IFERROR(VLOOKUP(C272,'📋 City-Tier Master'!$A$4:$B$628,2,0),"T4")</f>
        <v>T2</v>
      </c>
      <c r="E272" s="21" t="s">
        <v>652</v>
      </c>
      <c r="F272" s="22">
        <v>42</v>
      </c>
      <c r="G272" s="23"/>
    </row>
    <row r="273" spans="1:7" x14ac:dyDescent="0.25">
      <c r="A273" s="24" t="s">
        <v>944</v>
      </c>
      <c r="B273" s="25" t="s">
        <v>917</v>
      </c>
      <c r="C273" s="20" t="s">
        <v>164</v>
      </c>
      <c r="D273" s="13" t="str">
        <f>IFERROR(VLOOKUP(C273,'📋 City-Tier Master'!$A$4:$B$628,2,0),"T4")</f>
        <v>T2</v>
      </c>
      <c r="E273" s="26" t="s">
        <v>652</v>
      </c>
      <c r="F273" s="27">
        <v>54</v>
      </c>
      <c r="G273" s="23"/>
    </row>
    <row r="274" spans="1:7" x14ac:dyDescent="0.25">
      <c r="A274" s="18" t="s">
        <v>945</v>
      </c>
      <c r="B274" s="19" t="s">
        <v>917</v>
      </c>
      <c r="C274" s="20" t="s">
        <v>171</v>
      </c>
      <c r="D274" s="13" t="str">
        <f>IFERROR(VLOOKUP(C274,'📋 City-Tier Master'!$A$4:$B$628,2,0),"T4")</f>
        <v>T2</v>
      </c>
      <c r="E274" s="21" t="s">
        <v>652</v>
      </c>
      <c r="F274" s="22">
        <v>14</v>
      </c>
      <c r="G274" s="23"/>
    </row>
    <row r="275" spans="1:7" x14ac:dyDescent="0.25">
      <c r="A275" s="24" t="s">
        <v>946</v>
      </c>
      <c r="B275" s="25" t="s">
        <v>917</v>
      </c>
      <c r="C275" s="20" t="s">
        <v>170</v>
      </c>
      <c r="D275" s="13" t="str">
        <f>IFERROR(VLOOKUP(C275,'📋 City-Tier Master'!$A$4:$B$628,2,0),"T4")</f>
        <v>T2</v>
      </c>
      <c r="E275" s="26" t="s">
        <v>652</v>
      </c>
      <c r="F275" s="27">
        <v>36</v>
      </c>
      <c r="G275" s="23"/>
    </row>
    <row r="276" spans="1:7" x14ac:dyDescent="0.25">
      <c r="A276" s="18" t="s">
        <v>947</v>
      </c>
      <c r="B276" s="19" t="s">
        <v>917</v>
      </c>
      <c r="C276" s="20" t="s">
        <v>167</v>
      </c>
      <c r="D276" s="13" t="str">
        <f>IFERROR(VLOOKUP(C276,'📋 City-Tier Master'!$A$4:$B$628,2,0),"T4")</f>
        <v>T2</v>
      </c>
      <c r="E276" s="21" t="s">
        <v>652</v>
      </c>
      <c r="F276" s="22">
        <v>4</v>
      </c>
      <c r="G276" s="23"/>
    </row>
    <row r="277" spans="1:7" x14ac:dyDescent="0.25">
      <c r="A277" s="24" t="s">
        <v>948</v>
      </c>
      <c r="B277" s="25" t="s">
        <v>917</v>
      </c>
      <c r="C277" s="20" t="s">
        <v>169</v>
      </c>
      <c r="D277" s="13" t="str">
        <f>IFERROR(VLOOKUP(C277,'📋 City-Tier Master'!$A$4:$B$628,2,0),"T4")</f>
        <v>T2</v>
      </c>
      <c r="E277" s="26" t="s">
        <v>652</v>
      </c>
      <c r="F277" s="27">
        <v>4</v>
      </c>
      <c r="G277" s="23"/>
    </row>
    <row r="278" spans="1:7" x14ac:dyDescent="0.25">
      <c r="A278" s="18" t="s">
        <v>949</v>
      </c>
      <c r="B278" s="19" t="s">
        <v>950</v>
      </c>
      <c r="C278" s="20" t="s">
        <v>488</v>
      </c>
      <c r="D278" s="14" t="str">
        <f>IFERROR(VLOOKUP(C278,'📋 City-Tier Master'!$A$4:$B$628,2,0),"T4")</f>
        <v>T3</v>
      </c>
      <c r="E278" s="21" t="s">
        <v>652</v>
      </c>
      <c r="F278" s="22">
        <v>38</v>
      </c>
      <c r="G278" s="23"/>
    </row>
    <row r="279" spans="1:7" x14ac:dyDescent="0.25">
      <c r="A279" s="24" t="s">
        <v>951</v>
      </c>
      <c r="B279" s="25" t="s">
        <v>950</v>
      </c>
      <c r="C279" s="20" t="s">
        <v>180</v>
      </c>
      <c r="D279" s="13" t="str">
        <f>IFERROR(VLOOKUP(C279,'📋 City-Tier Master'!$A$4:$B$628,2,0),"T4")</f>
        <v>T2</v>
      </c>
      <c r="E279" s="26" t="s">
        <v>652</v>
      </c>
      <c r="F279" s="27">
        <v>323</v>
      </c>
      <c r="G279" s="23"/>
    </row>
    <row r="280" spans="1:7" x14ac:dyDescent="0.25">
      <c r="A280" s="18" t="s">
        <v>952</v>
      </c>
      <c r="B280" s="19" t="s">
        <v>950</v>
      </c>
      <c r="C280" s="20" t="s">
        <v>434</v>
      </c>
      <c r="D280" s="14" t="str">
        <f>IFERROR(VLOOKUP(C280,'📋 City-Tier Master'!$A$4:$B$628,2,0),"T4")</f>
        <v>T3</v>
      </c>
      <c r="E280" s="21" t="s">
        <v>652</v>
      </c>
      <c r="F280" s="22">
        <v>18</v>
      </c>
      <c r="G280" s="23"/>
    </row>
    <row r="281" spans="1:7" x14ac:dyDescent="0.25">
      <c r="A281" s="24" t="s">
        <v>953</v>
      </c>
      <c r="B281" s="25" t="s">
        <v>950</v>
      </c>
      <c r="C281" s="20" t="s">
        <v>179</v>
      </c>
      <c r="D281" s="13" t="str">
        <f>IFERROR(VLOOKUP(C281,'📋 City-Tier Master'!$A$4:$B$628,2,0),"T4")</f>
        <v>T2</v>
      </c>
      <c r="E281" s="26" t="s">
        <v>652</v>
      </c>
      <c r="F281" s="27">
        <v>51</v>
      </c>
      <c r="G281" s="23"/>
    </row>
    <row r="282" spans="1:7" x14ac:dyDescent="0.25">
      <c r="A282" s="18" t="s">
        <v>954</v>
      </c>
      <c r="B282" s="19" t="s">
        <v>950</v>
      </c>
      <c r="C282" s="20" t="s">
        <v>179</v>
      </c>
      <c r="D282" s="13" t="str">
        <f>IFERROR(VLOOKUP(C282,'📋 City-Tier Master'!$A$4:$B$628,2,0),"T4")</f>
        <v>T2</v>
      </c>
      <c r="E282" s="21" t="s">
        <v>652</v>
      </c>
      <c r="F282" s="22">
        <v>9</v>
      </c>
      <c r="G282" s="23"/>
    </row>
    <row r="283" spans="1:7" x14ac:dyDescent="0.25">
      <c r="A283" s="24" t="s">
        <v>955</v>
      </c>
      <c r="B283" s="25" t="s">
        <v>950</v>
      </c>
      <c r="C283" s="20" t="s">
        <v>489</v>
      </c>
      <c r="D283" s="14" t="str">
        <f>IFERROR(VLOOKUP(C283,'📋 City-Tier Master'!$A$4:$B$628,2,0),"T4")</f>
        <v>T3</v>
      </c>
      <c r="E283" s="26" t="s">
        <v>652</v>
      </c>
      <c r="F283" s="27">
        <v>56</v>
      </c>
      <c r="G283" s="23"/>
    </row>
    <row r="284" spans="1:7" x14ac:dyDescent="0.25">
      <c r="A284" s="18" t="s">
        <v>956</v>
      </c>
      <c r="B284" s="19" t="s">
        <v>950</v>
      </c>
      <c r="C284" s="20" t="s">
        <v>180</v>
      </c>
      <c r="D284" s="13" t="str">
        <f>IFERROR(VLOOKUP(C284,'📋 City-Tier Master'!$A$4:$B$628,2,0),"T4")</f>
        <v>T2</v>
      </c>
      <c r="E284" s="21" t="s">
        <v>652</v>
      </c>
      <c r="F284" s="22">
        <v>79</v>
      </c>
      <c r="G284" s="23"/>
    </row>
    <row r="285" spans="1:7" x14ac:dyDescent="0.25">
      <c r="A285" s="24" t="s">
        <v>957</v>
      </c>
      <c r="B285" s="25" t="s">
        <v>950</v>
      </c>
      <c r="C285" s="20" t="s">
        <v>179</v>
      </c>
      <c r="D285" s="13" t="str">
        <f>IFERROR(VLOOKUP(C285,'📋 City-Tier Master'!$A$4:$B$628,2,0),"T4")</f>
        <v>T2</v>
      </c>
      <c r="E285" s="26" t="s">
        <v>652</v>
      </c>
      <c r="F285" s="27">
        <v>187</v>
      </c>
      <c r="G285" s="23"/>
    </row>
    <row r="286" spans="1:7" x14ac:dyDescent="0.25">
      <c r="A286" s="18" t="s">
        <v>958</v>
      </c>
      <c r="B286" s="19" t="s">
        <v>950</v>
      </c>
      <c r="C286" s="20" t="s">
        <v>179</v>
      </c>
      <c r="D286" s="13" t="str">
        <f>IFERROR(VLOOKUP(C286,'📋 City-Tier Master'!$A$4:$B$628,2,0),"T4")</f>
        <v>T2</v>
      </c>
      <c r="E286" s="21" t="s">
        <v>652</v>
      </c>
      <c r="F286" s="22">
        <v>64</v>
      </c>
      <c r="G286" s="23"/>
    </row>
    <row r="287" spans="1:7" x14ac:dyDescent="0.25">
      <c r="A287" s="24" t="s">
        <v>959</v>
      </c>
      <c r="B287" s="25" t="s">
        <v>950</v>
      </c>
      <c r="C287" s="20" t="s">
        <v>485</v>
      </c>
      <c r="D287" s="14" t="str">
        <f>IFERROR(VLOOKUP(C287,'📋 City-Tier Master'!$A$4:$B$628,2,0),"T4")</f>
        <v>T3</v>
      </c>
      <c r="E287" s="26" t="s">
        <v>652</v>
      </c>
      <c r="F287" s="27">
        <v>47</v>
      </c>
      <c r="G287" s="23"/>
    </row>
    <row r="288" spans="1:7" x14ac:dyDescent="0.25">
      <c r="A288" s="18" t="s">
        <v>960</v>
      </c>
      <c r="B288" s="19" t="s">
        <v>950</v>
      </c>
      <c r="C288" s="20" t="s">
        <v>181</v>
      </c>
      <c r="D288" s="13" t="str">
        <f>IFERROR(VLOOKUP(C288,'📋 City-Tier Master'!$A$4:$B$628,2,0),"T4")</f>
        <v>T2</v>
      </c>
      <c r="E288" s="21" t="s">
        <v>652</v>
      </c>
      <c r="F288" s="22">
        <v>35</v>
      </c>
      <c r="G288" s="23"/>
    </row>
    <row r="289" spans="1:7" x14ac:dyDescent="0.25">
      <c r="A289" s="24" t="s">
        <v>961</v>
      </c>
      <c r="B289" s="25" t="s">
        <v>950</v>
      </c>
      <c r="C289" s="20" t="s">
        <v>181</v>
      </c>
      <c r="D289" s="13" t="str">
        <f>IFERROR(VLOOKUP(C289,'📋 City-Tier Master'!$A$4:$B$628,2,0),"T4")</f>
        <v>T2</v>
      </c>
      <c r="E289" s="26" t="s">
        <v>652</v>
      </c>
      <c r="F289" s="27">
        <v>166</v>
      </c>
      <c r="G289" s="23"/>
    </row>
    <row r="290" spans="1:7" x14ac:dyDescent="0.25">
      <c r="A290" s="18" t="s">
        <v>962</v>
      </c>
      <c r="B290" s="19" t="s">
        <v>950</v>
      </c>
      <c r="C290" s="20" t="s">
        <v>485</v>
      </c>
      <c r="D290" s="14" t="str">
        <f>IFERROR(VLOOKUP(C290,'📋 City-Tier Master'!$A$4:$B$628,2,0),"T4")</f>
        <v>T3</v>
      </c>
      <c r="E290" s="21" t="s">
        <v>652</v>
      </c>
      <c r="F290" s="22">
        <v>134</v>
      </c>
      <c r="G290" s="23"/>
    </row>
    <row r="291" spans="1:7" x14ac:dyDescent="0.25">
      <c r="A291" s="24" t="s">
        <v>963</v>
      </c>
      <c r="B291" s="25" t="s">
        <v>950</v>
      </c>
      <c r="C291" s="20" t="s">
        <v>179</v>
      </c>
      <c r="D291" s="13" t="str">
        <f>IFERROR(VLOOKUP(C291,'📋 City-Tier Master'!$A$4:$B$628,2,0),"T4")</f>
        <v>T2</v>
      </c>
      <c r="E291" s="26" t="s">
        <v>652</v>
      </c>
      <c r="F291" s="27">
        <v>14</v>
      </c>
      <c r="G291" s="23"/>
    </row>
    <row r="292" spans="1:7" x14ac:dyDescent="0.25">
      <c r="A292" s="18" t="s">
        <v>964</v>
      </c>
      <c r="B292" s="19" t="s">
        <v>965</v>
      </c>
      <c r="C292" s="20" t="s">
        <v>257</v>
      </c>
      <c r="D292" s="14" t="str">
        <f>IFERROR(VLOOKUP(C292,'📋 City-Tier Master'!$A$4:$B$628,2,0),"T4")</f>
        <v>T3</v>
      </c>
      <c r="E292" s="21" t="s">
        <v>652</v>
      </c>
      <c r="F292" s="22">
        <v>4</v>
      </c>
      <c r="G292" s="23"/>
    </row>
    <row r="293" spans="1:7" x14ac:dyDescent="0.25">
      <c r="A293" s="24" t="s">
        <v>966</v>
      </c>
      <c r="B293" s="25" t="s">
        <v>965</v>
      </c>
      <c r="C293" s="20" t="s">
        <v>967</v>
      </c>
      <c r="D293" s="14" t="str">
        <f>IFERROR(VLOOKUP(C293,'📋 City-Tier Master'!$A$4:$B$628,2,0),"T4")</f>
        <v>T4</v>
      </c>
      <c r="E293" s="26" t="s">
        <v>652</v>
      </c>
      <c r="F293" s="27">
        <v>1</v>
      </c>
      <c r="G293" s="23"/>
    </row>
    <row r="294" spans="1:7" x14ac:dyDescent="0.25">
      <c r="A294" s="18" t="s">
        <v>968</v>
      </c>
      <c r="B294" s="19" t="s">
        <v>969</v>
      </c>
      <c r="C294" s="20" t="s">
        <v>136</v>
      </c>
      <c r="D294" s="13" t="str">
        <f>IFERROR(VLOOKUP(C294,'📋 City-Tier Master'!$A$4:$B$628,2,0),"T4")</f>
        <v>T2</v>
      </c>
      <c r="E294" s="21" t="s">
        <v>652</v>
      </c>
      <c r="F294" s="22">
        <v>1</v>
      </c>
      <c r="G294" s="23"/>
    </row>
    <row r="295" spans="1:7" x14ac:dyDescent="0.25">
      <c r="A295" s="24" t="s">
        <v>970</v>
      </c>
      <c r="B295" s="25" t="s">
        <v>969</v>
      </c>
      <c r="C295" s="20" t="s">
        <v>45</v>
      </c>
      <c r="D295" s="12" t="str">
        <f>IFERROR(VLOOKUP(C295,'📋 City-Tier Master'!$A$4:$B$628,2,0),"T4")</f>
        <v>T1</v>
      </c>
      <c r="E295" s="26" t="s">
        <v>652</v>
      </c>
      <c r="F295" s="27">
        <v>3</v>
      </c>
      <c r="G295" s="23"/>
    </row>
    <row r="296" spans="1:7" x14ac:dyDescent="0.25">
      <c r="A296" s="18" t="s">
        <v>971</v>
      </c>
      <c r="B296" s="19" t="s">
        <v>969</v>
      </c>
      <c r="C296" s="20" t="s">
        <v>386</v>
      </c>
      <c r="D296" s="14" t="str">
        <f>IFERROR(VLOOKUP(C296,'📋 City-Tier Master'!$A$4:$B$628,2,0),"T4")</f>
        <v>T3</v>
      </c>
      <c r="E296" s="21" t="s">
        <v>652</v>
      </c>
      <c r="F296" s="22">
        <v>4</v>
      </c>
      <c r="G296" s="23"/>
    </row>
    <row r="297" spans="1:7" x14ac:dyDescent="0.25">
      <c r="A297" s="24" t="s">
        <v>972</v>
      </c>
      <c r="B297" s="25" t="s">
        <v>969</v>
      </c>
      <c r="C297" s="20" t="s">
        <v>395</v>
      </c>
      <c r="D297" s="14" t="str">
        <f>IFERROR(VLOOKUP(C297,'📋 City-Tier Master'!$A$4:$B$628,2,0),"T4")</f>
        <v>T3</v>
      </c>
      <c r="E297" s="26" t="s">
        <v>652</v>
      </c>
      <c r="F297" s="27">
        <v>1</v>
      </c>
      <c r="G297" s="23"/>
    </row>
    <row r="298" spans="1:7" x14ac:dyDescent="0.25">
      <c r="A298" s="18" t="s">
        <v>973</v>
      </c>
      <c r="B298" s="19" t="s">
        <v>969</v>
      </c>
      <c r="C298" s="20" t="s">
        <v>401</v>
      </c>
      <c r="D298" s="14" t="str">
        <f>IFERROR(VLOOKUP(C298,'📋 City-Tier Master'!$A$4:$B$628,2,0),"T4")</f>
        <v>T3</v>
      </c>
      <c r="E298" s="21" t="s">
        <v>652</v>
      </c>
      <c r="F298" s="22">
        <v>8</v>
      </c>
      <c r="G298" s="23"/>
    </row>
    <row r="299" spans="1:7" x14ac:dyDescent="0.25">
      <c r="A299" s="24" t="s">
        <v>974</v>
      </c>
      <c r="B299" s="25" t="s">
        <v>969</v>
      </c>
      <c r="C299" s="20" t="s">
        <v>45</v>
      </c>
      <c r="D299" s="12" t="str">
        <f>IFERROR(VLOOKUP(C299,'📋 City-Tier Master'!$A$4:$B$628,2,0),"T4")</f>
        <v>T1</v>
      </c>
      <c r="E299" s="26" t="s">
        <v>652</v>
      </c>
      <c r="F299" s="27">
        <v>5</v>
      </c>
      <c r="G299" s="23"/>
    </row>
    <row r="300" spans="1:7" x14ac:dyDescent="0.25">
      <c r="A300" s="18" t="s">
        <v>975</v>
      </c>
      <c r="B300" s="19" t="s">
        <v>969</v>
      </c>
      <c r="C300" s="20" t="s">
        <v>44</v>
      </c>
      <c r="D300" s="12" t="str">
        <f>IFERROR(VLOOKUP(C300,'📋 City-Tier Master'!$A$4:$B$628,2,0),"T4")</f>
        <v>T1</v>
      </c>
      <c r="E300" s="21" t="s">
        <v>652</v>
      </c>
      <c r="F300" s="22">
        <v>174</v>
      </c>
      <c r="G300" s="23"/>
    </row>
    <row r="301" spans="1:7" x14ac:dyDescent="0.25">
      <c r="A301" s="24" t="s">
        <v>976</v>
      </c>
      <c r="B301" s="25" t="s">
        <v>969</v>
      </c>
      <c r="C301" s="20" t="s">
        <v>395</v>
      </c>
      <c r="D301" s="14" t="str">
        <f>IFERROR(VLOOKUP(C301,'📋 City-Tier Master'!$A$4:$B$628,2,0),"T4")</f>
        <v>T3</v>
      </c>
      <c r="E301" s="26" t="s">
        <v>652</v>
      </c>
      <c r="F301" s="27">
        <v>7</v>
      </c>
      <c r="G301" s="23"/>
    </row>
    <row r="302" spans="1:7" x14ac:dyDescent="0.25">
      <c r="A302" s="18" t="s">
        <v>977</v>
      </c>
      <c r="B302" s="19" t="s">
        <v>969</v>
      </c>
      <c r="C302" s="20" t="s">
        <v>410</v>
      </c>
      <c r="D302" s="14" t="str">
        <f>IFERROR(VLOOKUP(C302,'📋 City-Tier Master'!$A$4:$B$628,2,0),"T4")</f>
        <v>T3</v>
      </c>
      <c r="E302" s="21" t="s">
        <v>652</v>
      </c>
      <c r="F302" s="22">
        <v>22</v>
      </c>
      <c r="G302" s="23"/>
    </row>
    <row r="303" spans="1:7" x14ac:dyDescent="0.25">
      <c r="A303" s="24" t="s">
        <v>978</v>
      </c>
      <c r="B303" s="25" t="s">
        <v>969</v>
      </c>
      <c r="C303" s="20" t="s">
        <v>414</v>
      </c>
      <c r="D303" s="14" t="str">
        <f>IFERROR(VLOOKUP(C303,'📋 City-Tier Master'!$A$4:$B$628,2,0),"T4")</f>
        <v>T3</v>
      </c>
      <c r="E303" s="26" t="s">
        <v>652</v>
      </c>
      <c r="F303" s="27">
        <v>23</v>
      </c>
      <c r="G303" s="23"/>
    </row>
    <row r="304" spans="1:7" x14ac:dyDescent="0.25">
      <c r="A304" s="18" t="s">
        <v>979</v>
      </c>
      <c r="B304" s="19" t="s">
        <v>969</v>
      </c>
      <c r="C304" s="20" t="s">
        <v>409</v>
      </c>
      <c r="D304" s="14" t="str">
        <f>IFERROR(VLOOKUP(C304,'📋 City-Tier Master'!$A$4:$B$628,2,0),"T4")</f>
        <v>T3</v>
      </c>
      <c r="E304" s="29" t="s">
        <v>735</v>
      </c>
      <c r="F304" s="22">
        <v>3</v>
      </c>
      <c r="G304" s="23"/>
    </row>
    <row r="305" spans="1:7" x14ac:dyDescent="0.25">
      <c r="A305" s="24" t="s">
        <v>980</v>
      </c>
      <c r="B305" s="25" t="s">
        <v>969</v>
      </c>
      <c r="C305" s="20" t="s">
        <v>413</v>
      </c>
      <c r="D305" s="14" t="str">
        <f>IFERROR(VLOOKUP(C305,'📋 City-Tier Master'!$A$4:$B$628,2,0),"T4")</f>
        <v>T3</v>
      </c>
      <c r="E305" s="26" t="s">
        <v>652</v>
      </c>
      <c r="F305" s="27">
        <v>2</v>
      </c>
      <c r="G305" s="23"/>
    </row>
    <row r="306" spans="1:7" x14ac:dyDescent="0.25">
      <c r="A306" s="18" t="s">
        <v>981</v>
      </c>
      <c r="B306" s="19" t="s">
        <v>969</v>
      </c>
      <c r="C306" s="20" t="s">
        <v>398</v>
      </c>
      <c r="D306" s="14" t="str">
        <f>IFERROR(VLOOKUP(C306,'📋 City-Tier Master'!$A$4:$B$628,2,0),"T4")</f>
        <v>T3</v>
      </c>
      <c r="E306" s="21" t="s">
        <v>652</v>
      </c>
      <c r="F306" s="22">
        <v>17</v>
      </c>
      <c r="G306" s="23"/>
    </row>
    <row r="307" spans="1:7" x14ac:dyDescent="0.25">
      <c r="A307" s="24" t="s">
        <v>982</v>
      </c>
      <c r="B307" s="25" t="s">
        <v>969</v>
      </c>
      <c r="C307" s="20" t="s">
        <v>137</v>
      </c>
      <c r="D307" s="13" t="str">
        <f>IFERROR(VLOOKUP(C307,'📋 City-Tier Master'!$A$4:$B$628,2,0),"T4")</f>
        <v>T2</v>
      </c>
      <c r="E307" s="26" t="s">
        <v>652</v>
      </c>
      <c r="F307" s="27">
        <v>10</v>
      </c>
      <c r="G307" s="23"/>
    </row>
    <row r="308" spans="1:7" x14ac:dyDescent="0.25">
      <c r="A308" s="18" t="s">
        <v>983</v>
      </c>
      <c r="B308" s="19" t="s">
        <v>969</v>
      </c>
      <c r="C308" s="20" t="s">
        <v>395</v>
      </c>
      <c r="D308" s="14" t="str">
        <f>IFERROR(VLOOKUP(C308,'📋 City-Tier Master'!$A$4:$B$628,2,0),"T4")</f>
        <v>T3</v>
      </c>
      <c r="E308" s="21" t="s">
        <v>652</v>
      </c>
      <c r="F308" s="22">
        <v>13</v>
      </c>
      <c r="G308" s="23"/>
    </row>
    <row r="309" spans="1:7" x14ac:dyDescent="0.25">
      <c r="A309" s="24" t="s">
        <v>984</v>
      </c>
      <c r="B309" s="25" t="s">
        <v>969</v>
      </c>
      <c r="C309" s="20" t="s">
        <v>138</v>
      </c>
      <c r="D309" s="13" t="str">
        <f>IFERROR(VLOOKUP(C309,'📋 City-Tier Master'!$A$4:$B$628,2,0),"T4")</f>
        <v>T2</v>
      </c>
      <c r="E309" s="26" t="s">
        <v>652</v>
      </c>
      <c r="F309" s="27">
        <v>17</v>
      </c>
      <c r="G309" s="23"/>
    </row>
    <row r="310" spans="1:7" x14ac:dyDescent="0.25">
      <c r="A310" s="18" t="s">
        <v>985</v>
      </c>
      <c r="B310" s="19" t="s">
        <v>969</v>
      </c>
      <c r="C310" s="20" t="s">
        <v>45</v>
      </c>
      <c r="D310" s="12" t="str">
        <f>IFERROR(VLOOKUP(C310,'📋 City-Tier Master'!$A$4:$B$628,2,0),"T4")</f>
        <v>T1</v>
      </c>
      <c r="E310" s="21" t="s">
        <v>652</v>
      </c>
      <c r="F310" s="22">
        <v>116</v>
      </c>
      <c r="G310" s="23"/>
    </row>
    <row r="311" spans="1:7" x14ac:dyDescent="0.25">
      <c r="A311" s="24" t="s">
        <v>986</v>
      </c>
      <c r="B311" s="25" t="s">
        <v>969</v>
      </c>
      <c r="C311" s="20" t="s">
        <v>403</v>
      </c>
      <c r="D311" s="14" t="str">
        <f>IFERROR(VLOOKUP(C311,'📋 City-Tier Master'!$A$4:$B$628,2,0),"T4")</f>
        <v>T3</v>
      </c>
      <c r="E311" s="26" t="s">
        <v>652</v>
      </c>
      <c r="F311" s="27">
        <v>11</v>
      </c>
      <c r="G311" s="23"/>
    </row>
    <row r="312" spans="1:7" x14ac:dyDescent="0.25">
      <c r="A312" s="18" t="s">
        <v>987</v>
      </c>
      <c r="B312" s="19" t="s">
        <v>969</v>
      </c>
      <c r="C312" s="20" t="s">
        <v>402</v>
      </c>
      <c r="D312" s="14" t="str">
        <f>IFERROR(VLOOKUP(C312,'📋 City-Tier Master'!$A$4:$B$628,2,0),"T4")</f>
        <v>T3</v>
      </c>
      <c r="E312" s="21" t="s">
        <v>652</v>
      </c>
      <c r="F312" s="22">
        <v>12</v>
      </c>
      <c r="G312" s="23"/>
    </row>
    <row r="313" spans="1:7" x14ac:dyDescent="0.25">
      <c r="A313" s="24" t="s">
        <v>988</v>
      </c>
      <c r="B313" s="25" t="s">
        <v>969</v>
      </c>
      <c r="C313" s="20" t="s">
        <v>43</v>
      </c>
      <c r="D313" s="12" t="str">
        <f>IFERROR(VLOOKUP(C313,'📋 City-Tier Master'!$A$4:$B$628,2,0),"T4")</f>
        <v>T1</v>
      </c>
      <c r="E313" s="26" t="s">
        <v>652</v>
      </c>
      <c r="F313" s="27">
        <v>310</v>
      </c>
      <c r="G313" s="23"/>
    </row>
    <row r="314" spans="1:7" x14ac:dyDescent="0.25">
      <c r="A314" s="18" t="s">
        <v>989</v>
      </c>
      <c r="B314" s="19" t="s">
        <v>969</v>
      </c>
      <c r="C314" s="20" t="s">
        <v>139</v>
      </c>
      <c r="D314" s="13" t="str">
        <f>IFERROR(VLOOKUP(C314,'📋 City-Tier Master'!$A$4:$B$628,2,0),"T4")</f>
        <v>T2</v>
      </c>
      <c r="E314" s="21" t="s">
        <v>652</v>
      </c>
      <c r="F314" s="22">
        <v>117</v>
      </c>
      <c r="G314" s="23"/>
    </row>
    <row r="315" spans="1:7" x14ac:dyDescent="0.25">
      <c r="A315" s="24" t="s">
        <v>990</v>
      </c>
      <c r="B315" s="25" t="s">
        <v>969</v>
      </c>
      <c r="C315" s="20" t="s">
        <v>399</v>
      </c>
      <c r="D315" s="14" t="str">
        <f>IFERROR(VLOOKUP(C315,'📋 City-Tier Master'!$A$4:$B$628,2,0),"T4")</f>
        <v>T3</v>
      </c>
      <c r="E315" s="26" t="s">
        <v>652</v>
      </c>
      <c r="F315" s="27">
        <v>1</v>
      </c>
      <c r="G315" s="23"/>
    </row>
    <row r="316" spans="1:7" x14ac:dyDescent="0.25">
      <c r="A316" s="18" t="s">
        <v>991</v>
      </c>
      <c r="B316" s="19" t="s">
        <v>969</v>
      </c>
      <c r="C316" s="20" t="s">
        <v>417</v>
      </c>
      <c r="D316" s="14" t="str">
        <f>IFERROR(VLOOKUP(C316,'📋 City-Tier Master'!$A$4:$B$628,2,0),"T4")</f>
        <v>T3</v>
      </c>
      <c r="E316" s="21" t="s">
        <v>652</v>
      </c>
      <c r="F316" s="22">
        <v>12</v>
      </c>
      <c r="G316" s="23"/>
    </row>
    <row r="317" spans="1:7" x14ac:dyDescent="0.25">
      <c r="A317" s="24" t="s">
        <v>992</v>
      </c>
      <c r="B317" s="25" t="s">
        <v>969</v>
      </c>
      <c r="C317" s="20" t="s">
        <v>395</v>
      </c>
      <c r="D317" s="14" t="str">
        <f>IFERROR(VLOOKUP(C317,'📋 City-Tier Master'!$A$4:$B$628,2,0),"T4")</f>
        <v>T3</v>
      </c>
      <c r="E317" s="26" t="s">
        <v>652</v>
      </c>
      <c r="F317" s="27">
        <v>12</v>
      </c>
      <c r="G317" s="23"/>
    </row>
    <row r="318" spans="1:7" x14ac:dyDescent="0.25">
      <c r="A318" s="18" t="s">
        <v>993</v>
      </c>
      <c r="B318" s="19" t="s">
        <v>969</v>
      </c>
      <c r="C318" s="20" t="s">
        <v>139</v>
      </c>
      <c r="D318" s="13" t="str">
        <f>IFERROR(VLOOKUP(C318,'📋 City-Tier Master'!$A$4:$B$628,2,0),"T4")</f>
        <v>T2</v>
      </c>
      <c r="E318" s="21" t="s">
        <v>652</v>
      </c>
      <c r="F318" s="22">
        <v>1</v>
      </c>
      <c r="G318" s="23"/>
    </row>
    <row r="319" spans="1:7" x14ac:dyDescent="0.25">
      <c r="A319" s="24" t="s">
        <v>994</v>
      </c>
      <c r="B319" s="25" t="s">
        <v>969</v>
      </c>
      <c r="C319" s="20" t="s">
        <v>137</v>
      </c>
      <c r="D319" s="13" t="str">
        <f>IFERROR(VLOOKUP(C319,'📋 City-Tier Master'!$A$4:$B$628,2,0),"T4")</f>
        <v>T2</v>
      </c>
      <c r="E319" s="26" t="s">
        <v>652</v>
      </c>
      <c r="F319" s="27">
        <v>5</v>
      </c>
      <c r="G319" s="23"/>
    </row>
    <row r="320" spans="1:7" x14ac:dyDescent="0.25">
      <c r="A320" s="18" t="s">
        <v>995</v>
      </c>
      <c r="B320" s="19" t="s">
        <v>969</v>
      </c>
      <c r="C320" s="20" t="s">
        <v>996</v>
      </c>
      <c r="D320" s="14" t="str">
        <f>IFERROR(VLOOKUP(C320,'📋 City-Tier Master'!$A$4:$B$628,2,0),"T4")</f>
        <v>T4</v>
      </c>
      <c r="E320" s="21" t="s">
        <v>652</v>
      </c>
      <c r="F320" s="22">
        <v>11</v>
      </c>
      <c r="G320" s="23"/>
    </row>
    <row r="321" spans="1:7" x14ac:dyDescent="0.25">
      <c r="A321" s="24" t="s">
        <v>997</v>
      </c>
      <c r="B321" s="25" t="s">
        <v>969</v>
      </c>
      <c r="C321" s="20" t="s">
        <v>139</v>
      </c>
      <c r="D321" s="13" t="str">
        <f>IFERROR(VLOOKUP(C321,'📋 City-Tier Master'!$A$4:$B$628,2,0),"T4")</f>
        <v>T2</v>
      </c>
      <c r="E321" s="26" t="s">
        <v>652</v>
      </c>
      <c r="F321" s="27">
        <v>4</v>
      </c>
      <c r="G321" s="23"/>
    </row>
    <row r="322" spans="1:7" x14ac:dyDescent="0.25">
      <c r="A322" s="18" t="s">
        <v>998</v>
      </c>
      <c r="B322" s="19" t="s">
        <v>969</v>
      </c>
      <c r="C322" s="20" t="s">
        <v>137</v>
      </c>
      <c r="D322" s="13" t="str">
        <f>IFERROR(VLOOKUP(C322,'📋 City-Tier Master'!$A$4:$B$628,2,0),"T4")</f>
        <v>T2</v>
      </c>
      <c r="E322" s="21" t="s">
        <v>652</v>
      </c>
      <c r="F322" s="22">
        <v>10</v>
      </c>
      <c r="G322" s="23"/>
    </row>
    <row r="323" spans="1:7" x14ac:dyDescent="0.25">
      <c r="A323" s="24" t="s">
        <v>999</v>
      </c>
      <c r="B323" s="25" t="s">
        <v>969</v>
      </c>
      <c r="C323" s="20" t="s">
        <v>407</v>
      </c>
      <c r="D323" s="14" t="str">
        <f>IFERROR(VLOOKUP(C323,'📋 City-Tier Master'!$A$4:$B$628,2,0),"T4")</f>
        <v>T3</v>
      </c>
      <c r="E323" s="26" t="s">
        <v>652</v>
      </c>
      <c r="F323" s="27">
        <v>5</v>
      </c>
      <c r="G323" s="23"/>
    </row>
    <row r="324" spans="1:7" x14ac:dyDescent="0.25">
      <c r="A324" s="18" t="s">
        <v>1000</v>
      </c>
      <c r="B324" s="19" t="s">
        <v>969</v>
      </c>
      <c r="C324" s="20" t="s">
        <v>44</v>
      </c>
      <c r="D324" s="12" t="str">
        <f>IFERROR(VLOOKUP(C324,'📋 City-Tier Master'!$A$4:$B$628,2,0),"T4")</f>
        <v>T1</v>
      </c>
      <c r="E324" s="21" t="s">
        <v>652</v>
      </c>
      <c r="F324" s="22">
        <v>3</v>
      </c>
      <c r="G324" s="23"/>
    </row>
    <row r="325" spans="1:7" x14ac:dyDescent="0.25">
      <c r="A325" s="24" t="s">
        <v>1001</v>
      </c>
      <c r="B325" s="25" t="s">
        <v>969</v>
      </c>
      <c r="C325" s="20" t="s">
        <v>44</v>
      </c>
      <c r="D325" s="12" t="str">
        <f>IFERROR(VLOOKUP(C325,'📋 City-Tier Master'!$A$4:$B$628,2,0),"T4")</f>
        <v>T1</v>
      </c>
      <c r="E325" s="26" t="s">
        <v>652</v>
      </c>
      <c r="F325" s="27">
        <v>4</v>
      </c>
      <c r="G325" s="23"/>
    </row>
    <row r="326" spans="1:7" x14ac:dyDescent="0.25">
      <c r="A326" s="18" t="s">
        <v>1002</v>
      </c>
      <c r="B326" s="19" t="s">
        <v>969</v>
      </c>
      <c r="C326" s="20" t="s">
        <v>137</v>
      </c>
      <c r="D326" s="13" t="str">
        <f>IFERROR(VLOOKUP(C326,'📋 City-Tier Master'!$A$4:$B$628,2,0),"T4")</f>
        <v>T2</v>
      </c>
      <c r="E326" s="21" t="s">
        <v>652</v>
      </c>
      <c r="F326" s="22">
        <v>20</v>
      </c>
      <c r="G326" s="23"/>
    </row>
    <row r="327" spans="1:7" x14ac:dyDescent="0.25">
      <c r="A327" s="24" t="s">
        <v>1003</v>
      </c>
      <c r="B327" s="25" t="s">
        <v>969</v>
      </c>
      <c r="C327" s="20" t="s">
        <v>422</v>
      </c>
      <c r="D327" s="14" t="str">
        <f>IFERROR(VLOOKUP(C327,'📋 City-Tier Master'!$A$4:$B$628,2,0),"T4")</f>
        <v>T3</v>
      </c>
      <c r="E327" s="26" t="s">
        <v>652</v>
      </c>
      <c r="F327" s="27">
        <v>35</v>
      </c>
      <c r="G327" s="23"/>
    </row>
    <row r="328" spans="1:7" x14ac:dyDescent="0.25">
      <c r="A328" s="18" t="s">
        <v>1004</v>
      </c>
      <c r="B328" s="19" t="s">
        <v>969</v>
      </c>
      <c r="C328" s="20" t="s">
        <v>407</v>
      </c>
      <c r="D328" s="14" t="str">
        <f>IFERROR(VLOOKUP(C328,'📋 City-Tier Master'!$A$4:$B$628,2,0),"T4")</f>
        <v>T3</v>
      </c>
      <c r="E328" s="21" t="s">
        <v>652</v>
      </c>
      <c r="F328" s="22">
        <v>26</v>
      </c>
      <c r="G328" s="23"/>
    </row>
    <row r="329" spans="1:7" x14ac:dyDescent="0.25">
      <c r="A329" s="24" t="s">
        <v>1005</v>
      </c>
      <c r="B329" s="25" t="s">
        <v>969</v>
      </c>
      <c r="C329" s="20" t="s">
        <v>421</v>
      </c>
      <c r="D329" s="14" t="str">
        <f>IFERROR(VLOOKUP(C329,'📋 City-Tier Master'!$A$4:$B$628,2,0),"T4")</f>
        <v>T3</v>
      </c>
      <c r="E329" s="26" t="s">
        <v>652</v>
      </c>
      <c r="F329" s="27">
        <v>29</v>
      </c>
      <c r="G329" s="23"/>
    </row>
    <row r="330" spans="1:7" x14ac:dyDescent="0.25">
      <c r="A330" s="18" t="s">
        <v>1006</v>
      </c>
      <c r="B330" s="19" t="s">
        <v>969</v>
      </c>
      <c r="C330" s="20" t="s">
        <v>406</v>
      </c>
      <c r="D330" s="14" t="str">
        <f>IFERROR(VLOOKUP(C330,'📋 City-Tier Master'!$A$4:$B$628,2,0),"T4")</f>
        <v>T3</v>
      </c>
      <c r="E330" s="21" t="s">
        <v>652</v>
      </c>
      <c r="F330" s="22">
        <v>10</v>
      </c>
      <c r="G330" s="23"/>
    </row>
    <row r="331" spans="1:7" x14ac:dyDescent="0.25">
      <c r="A331" s="24" t="s">
        <v>1007</v>
      </c>
      <c r="B331" s="25" t="s">
        <v>969</v>
      </c>
      <c r="C331" s="20" t="s">
        <v>414</v>
      </c>
      <c r="D331" s="14" t="str">
        <f>IFERROR(VLOOKUP(C331,'📋 City-Tier Master'!$A$4:$B$628,2,0),"T4")</f>
        <v>T3</v>
      </c>
      <c r="E331" s="26" t="s">
        <v>652</v>
      </c>
      <c r="F331" s="27">
        <v>3</v>
      </c>
      <c r="G331" s="23"/>
    </row>
    <row r="332" spans="1:7" x14ac:dyDescent="0.25">
      <c r="A332" s="18" t="s">
        <v>1008</v>
      </c>
      <c r="B332" s="19" t="s">
        <v>969</v>
      </c>
      <c r="C332" s="20" t="s">
        <v>418</v>
      </c>
      <c r="D332" s="14" t="str">
        <f>IFERROR(VLOOKUP(C332,'📋 City-Tier Master'!$A$4:$B$628,2,0),"T4")</f>
        <v>T3</v>
      </c>
      <c r="E332" s="21" t="s">
        <v>652</v>
      </c>
      <c r="F332" s="22">
        <v>7</v>
      </c>
      <c r="G332" s="23"/>
    </row>
    <row r="333" spans="1:7" x14ac:dyDescent="0.25">
      <c r="A333" s="24" t="s">
        <v>1009</v>
      </c>
      <c r="B333" s="25" t="s">
        <v>969</v>
      </c>
      <c r="C333" s="20" t="s">
        <v>136</v>
      </c>
      <c r="D333" s="13" t="str">
        <f>IFERROR(VLOOKUP(C333,'📋 City-Tier Master'!$A$4:$B$628,2,0),"T4")</f>
        <v>T2</v>
      </c>
      <c r="E333" s="26" t="s">
        <v>652</v>
      </c>
      <c r="F333" s="27">
        <v>2</v>
      </c>
      <c r="G333" s="23"/>
    </row>
    <row r="334" spans="1:7" x14ac:dyDescent="0.25">
      <c r="A334" s="18" t="s">
        <v>1010</v>
      </c>
      <c r="B334" s="19" t="s">
        <v>969</v>
      </c>
      <c r="C334" s="20" t="s">
        <v>45</v>
      </c>
      <c r="D334" s="12" t="str">
        <f>IFERROR(VLOOKUP(C334,'📋 City-Tier Master'!$A$4:$B$628,2,0),"T4")</f>
        <v>T1</v>
      </c>
      <c r="E334" s="21" t="s">
        <v>652</v>
      </c>
      <c r="F334" s="22">
        <v>10</v>
      </c>
      <c r="G334" s="23"/>
    </row>
    <row r="335" spans="1:7" x14ac:dyDescent="0.25">
      <c r="A335" s="24" t="s">
        <v>1011</v>
      </c>
      <c r="B335" s="25" t="s">
        <v>969</v>
      </c>
      <c r="C335" s="20" t="s">
        <v>422</v>
      </c>
      <c r="D335" s="14" t="str">
        <f>IFERROR(VLOOKUP(C335,'📋 City-Tier Master'!$A$4:$B$628,2,0),"T4")</f>
        <v>T3</v>
      </c>
      <c r="E335" s="26" t="s">
        <v>652</v>
      </c>
      <c r="F335" s="27">
        <v>1</v>
      </c>
      <c r="G335" s="23"/>
    </row>
    <row r="336" spans="1:7" x14ac:dyDescent="0.25">
      <c r="A336" s="18" t="s">
        <v>1012</v>
      </c>
      <c r="B336" s="19" t="s">
        <v>969</v>
      </c>
      <c r="C336" s="20" t="s">
        <v>424</v>
      </c>
      <c r="D336" s="14" t="str">
        <f>IFERROR(VLOOKUP(C336,'📋 City-Tier Master'!$A$4:$B$628,2,0),"T4")</f>
        <v>T3</v>
      </c>
      <c r="E336" s="21" t="s">
        <v>652</v>
      </c>
      <c r="F336" s="22">
        <v>13</v>
      </c>
      <c r="G336" s="23"/>
    </row>
    <row r="337" spans="1:7" x14ac:dyDescent="0.25">
      <c r="A337" s="24" t="s">
        <v>1013</v>
      </c>
      <c r="B337" s="25" t="s">
        <v>969</v>
      </c>
      <c r="C337" s="20" t="s">
        <v>413</v>
      </c>
      <c r="D337" s="14" t="str">
        <f>IFERROR(VLOOKUP(C337,'📋 City-Tier Master'!$A$4:$B$628,2,0),"T4")</f>
        <v>T3</v>
      </c>
      <c r="E337" s="26" t="s">
        <v>652</v>
      </c>
      <c r="F337" s="27">
        <v>2</v>
      </c>
      <c r="G337" s="23"/>
    </row>
    <row r="338" spans="1:7" x14ac:dyDescent="0.25">
      <c r="A338" s="18" t="s">
        <v>1014</v>
      </c>
      <c r="B338" s="19" t="s">
        <v>969</v>
      </c>
      <c r="C338" s="20" t="s">
        <v>136</v>
      </c>
      <c r="D338" s="13" t="str">
        <f>IFERROR(VLOOKUP(C338,'📋 City-Tier Master'!$A$4:$B$628,2,0),"T4")</f>
        <v>T2</v>
      </c>
      <c r="E338" s="21" t="s">
        <v>652</v>
      </c>
      <c r="F338" s="22">
        <v>42</v>
      </c>
      <c r="G338" s="23"/>
    </row>
    <row r="339" spans="1:7" x14ac:dyDescent="0.25">
      <c r="A339" s="24" t="s">
        <v>1015</v>
      </c>
      <c r="B339" s="25" t="s">
        <v>969</v>
      </c>
      <c r="C339" s="20" t="s">
        <v>405</v>
      </c>
      <c r="D339" s="14" t="str">
        <f>IFERROR(VLOOKUP(C339,'📋 City-Tier Master'!$A$4:$B$628,2,0),"T4")</f>
        <v>T3</v>
      </c>
      <c r="E339" s="26" t="s">
        <v>652</v>
      </c>
      <c r="F339" s="27">
        <v>10</v>
      </c>
      <c r="G339" s="23"/>
    </row>
    <row r="340" spans="1:7" x14ac:dyDescent="0.25">
      <c r="A340" s="18" t="s">
        <v>1016</v>
      </c>
      <c r="B340" s="19" t="s">
        <v>1017</v>
      </c>
      <c r="C340" s="20" t="s">
        <v>366</v>
      </c>
      <c r="D340" s="14" t="str">
        <f>IFERROR(VLOOKUP(C340,'📋 City-Tier Master'!$A$4:$B$628,2,0),"T4")</f>
        <v>T3</v>
      </c>
      <c r="E340" s="21" t="s">
        <v>652</v>
      </c>
      <c r="F340" s="22">
        <v>42</v>
      </c>
      <c r="G340" s="23"/>
    </row>
    <row r="341" spans="1:7" x14ac:dyDescent="0.25">
      <c r="A341" s="24" t="s">
        <v>1018</v>
      </c>
      <c r="B341" s="25" t="s">
        <v>1017</v>
      </c>
      <c r="C341" s="20" t="s">
        <v>391</v>
      </c>
      <c r="D341" s="14" t="str">
        <f>IFERROR(VLOOKUP(C341,'📋 City-Tier Master'!$A$4:$B$628,2,0),"T4")</f>
        <v>T3</v>
      </c>
      <c r="E341" s="26" t="s">
        <v>652</v>
      </c>
      <c r="F341" s="27">
        <v>23</v>
      </c>
      <c r="G341" s="23"/>
    </row>
    <row r="342" spans="1:7" x14ac:dyDescent="0.25">
      <c r="A342" s="18" t="s">
        <v>1019</v>
      </c>
      <c r="B342" s="19" t="s">
        <v>1017</v>
      </c>
      <c r="C342" s="20" t="s">
        <v>135</v>
      </c>
      <c r="D342" s="13" t="str">
        <f>IFERROR(VLOOKUP(C342,'📋 City-Tier Master'!$A$4:$B$628,2,0),"T4")</f>
        <v>T2</v>
      </c>
      <c r="E342" s="21" t="s">
        <v>652</v>
      </c>
      <c r="F342" s="22">
        <v>51</v>
      </c>
      <c r="G342" s="23"/>
    </row>
    <row r="343" spans="1:7" x14ac:dyDescent="0.25">
      <c r="A343" s="24" t="s">
        <v>723</v>
      </c>
      <c r="B343" s="25" t="s">
        <v>1017</v>
      </c>
      <c r="C343" s="20" t="s">
        <v>31</v>
      </c>
      <c r="D343" s="12" t="str">
        <f>IFERROR(VLOOKUP(C343,'📋 City-Tier Master'!$A$4:$B$628,2,0),"T4")</f>
        <v>T1</v>
      </c>
      <c r="E343" s="26" t="s">
        <v>652</v>
      </c>
      <c r="F343" s="27">
        <v>115</v>
      </c>
      <c r="G343" s="23"/>
    </row>
    <row r="344" spans="1:7" x14ac:dyDescent="0.25">
      <c r="A344" s="18" t="s">
        <v>1020</v>
      </c>
      <c r="B344" s="19" t="s">
        <v>1017</v>
      </c>
      <c r="C344" s="20" t="s">
        <v>381</v>
      </c>
      <c r="D344" s="14" t="str">
        <f>IFERROR(VLOOKUP(C344,'📋 City-Tier Master'!$A$4:$B$628,2,0),"T4")</f>
        <v>T3</v>
      </c>
      <c r="E344" s="21" t="s">
        <v>652</v>
      </c>
      <c r="F344" s="22">
        <v>18</v>
      </c>
      <c r="G344" s="23"/>
    </row>
    <row r="345" spans="1:7" x14ac:dyDescent="0.25">
      <c r="A345" s="24" t="s">
        <v>1021</v>
      </c>
      <c r="B345" s="25" t="s">
        <v>1017</v>
      </c>
      <c r="C345" s="20" t="s">
        <v>388</v>
      </c>
      <c r="D345" s="14" t="str">
        <f>IFERROR(VLOOKUP(C345,'📋 City-Tier Master'!$A$4:$B$628,2,0),"T4")</f>
        <v>T3</v>
      </c>
      <c r="E345" s="28" t="s">
        <v>735</v>
      </c>
      <c r="F345" s="27">
        <v>6</v>
      </c>
      <c r="G345" s="23"/>
    </row>
    <row r="346" spans="1:7" x14ac:dyDescent="0.25">
      <c r="A346" s="18" t="s">
        <v>1022</v>
      </c>
      <c r="B346" s="19" t="s">
        <v>1017</v>
      </c>
      <c r="C346" s="20" t="s">
        <v>392</v>
      </c>
      <c r="D346" s="14" t="str">
        <f>IFERROR(VLOOKUP(C346,'📋 City-Tier Master'!$A$4:$B$628,2,0),"T4")</f>
        <v>T3</v>
      </c>
      <c r="E346" s="21" t="s">
        <v>652</v>
      </c>
      <c r="F346" s="22">
        <v>15</v>
      </c>
      <c r="G346" s="23"/>
    </row>
    <row r="347" spans="1:7" x14ac:dyDescent="0.25">
      <c r="A347" s="24" t="s">
        <v>1023</v>
      </c>
      <c r="B347" s="25" t="s">
        <v>1017</v>
      </c>
      <c r="C347" s="20" t="s">
        <v>134</v>
      </c>
      <c r="D347" s="13" t="str">
        <f>IFERROR(VLOOKUP(C347,'📋 City-Tier Master'!$A$4:$B$628,2,0),"T4")</f>
        <v>T2</v>
      </c>
      <c r="E347" s="26" t="s">
        <v>652</v>
      </c>
      <c r="F347" s="27">
        <v>27</v>
      </c>
      <c r="G347" s="23"/>
    </row>
    <row r="348" spans="1:7" x14ac:dyDescent="0.25">
      <c r="A348" s="18" t="s">
        <v>1024</v>
      </c>
      <c r="B348" s="19" t="s">
        <v>1017</v>
      </c>
      <c r="C348" s="20" t="s">
        <v>375</v>
      </c>
      <c r="D348" s="14" t="str">
        <f>IFERROR(VLOOKUP(C348,'📋 City-Tier Master'!$A$4:$B$628,2,0),"T4")</f>
        <v>T3</v>
      </c>
      <c r="E348" s="21" t="s">
        <v>652</v>
      </c>
      <c r="F348" s="22">
        <v>9</v>
      </c>
      <c r="G348" s="23"/>
    </row>
    <row r="349" spans="1:7" x14ac:dyDescent="0.25">
      <c r="A349" s="24" t="s">
        <v>1025</v>
      </c>
      <c r="B349" s="25" t="s">
        <v>1017</v>
      </c>
      <c r="C349" s="20" t="s">
        <v>386</v>
      </c>
      <c r="D349" s="14" t="str">
        <f>IFERROR(VLOOKUP(C349,'📋 City-Tier Master'!$A$4:$B$628,2,0),"T4")</f>
        <v>T3</v>
      </c>
      <c r="E349" s="26" t="s">
        <v>652</v>
      </c>
      <c r="F349" s="27">
        <v>2</v>
      </c>
      <c r="G349" s="23"/>
    </row>
    <row r="350" spans="1:7" x14ac:dyDescent="0.25">
      <c r="A350" s="18" t="s">
        <v>1026</v>
      </c>
      <c r="B350" s="19" t="s">
        <v>1017</v>
      </c>
      <c r="C350" s="20" t="s">
        <v>386</v>
      </c>
      <c r="D350" s="14" t="str">
        <f>IFERROR(VLOOKUP(C350,'📋 City-Tier Master'!$A$4:$B$628,2,0),"T4")</f>
        <v>T3</v>
      </c>
      <c r="E350" s="21" t="s">
        <v>652</v>
      </c>
      <c r="F350" s="22">
        <v>4</v>
      </c>
      <c r="G350" s="23"/>
    </row>
    <row r="351" spans="1:7" x14ac:dyDescent="0.25">
      <c r="A351" s="24" t="s">
        <v>1027</v>
      </c>
      <c r="B351" s="25" t="s">
        <v>1017</v>
      </c>
      <c r="C351" s="20" t="s">
        <v>383</v>
      </c>
      <c r="D351" s="14" t="str">
        <f>IFERROR(VLOOKUP(C351,'📋 City-Tier Master'!$A$4:$B$628,2,0),"T4")</f>
        <v>T3</v>
      </c>
      <c r="E351" s="26" t="s">
        <v>652</v>
      </c>
      <c r="F351" s="27">
        <v>2</v>
      </c>
      <c r="G351" s="23"/>
    </row>
    <row r="352" spans="1:7" x14ac:dyDescent="0.25">
      <c r="A352" s="18" t="s">
        <v>1028</v>
      </c>
      <c r="B352" s="19" t="s">
        <v>1017</v>
      </c>
      <c r="C352" s="20" t="s">
        <v>131</v>
      </c>
      <c r="D352" s="13" t="str">
        <f>IFERROR(VLOOKUP(C352,'📋 City-Tier Master'!$A$4:$B$628,2,0),"T4")</f>
        <v>T2</v>
      </c>
      <c r="E352" s="21" t="s">
        <v>652</v>
      </c>
      <c r="F352" s="22">
        <v>27</v>
      </c>
      <c r="G352" s="23"/>
    </row>
    <row r="353" spans="1:7" x14ac:dyDescent="0.25">
      <c r="A353" s="24" t="s">
        <v>1029</v>
      </c>
      <c r="B353" s="25" t="s">
        <v>1017</v>
      </c>
      <c r="C353" s="20" t="s">
        <v>132</v>
      </c>
      <c r="D353" s="13" t="str">
        <f>IFERROR(VLOOKUP(C353,'📋 City-Tier Master'!$A$4:$B$628,2,0),"T4")</f>
        <v>T2</v>
      </c>
      <c r="E353" s="26" t="s">
        <v>652</v>
      </c>
      <c r="F353" s="27">
        <v>12</v>
      </c>
      <c r="G353" s="23"/>
    </row>
    <row r="354" spans="1:7" x14ac:dyDescent="0.25">
      <c r="A354" s="18" t="s">
        <v>1030</v>
      </c>
      <c r="B354" s="19" t="s">
        <v>1017</v>
      </c>
      <c r="C354" s="20" t="s">
        <v>129</v>
      </c>
      <c r="D354" s="13" t="str">
        <f>IFERROR(VLOOKUP(C354,'📋 City-Tier Master'!$A$4:$B$628,2,0),"T4")</f>
        <v>T2</v>
      </c>
      <c r="E354" s="21" t="s">
        <v>652</v>
      </c>
      <c r="F354" s="22">
        <v>88</v>
      </c>
      <c r="G354" s="23"/>
    </row>
    <row r="355" spans="1:7" x14ac:dyDescent="0.25">
      <c r="A355" s="24" t="s">
        <v>1031</v>
      </c>
      <c r="B355" s="25" t="s">
        <v>1017</v>
      </c>
      <c r="C355" s="20" t="s">
        <v>362</v>
      </c>
      <c r="D355" s="14" t="str">
        <f>IFERROR(VLOOKUP(C355,'📋 City-Tier Master'!$A$4:$B$628,2,0),"T4")</f>
        <v>T3</v>
      </c>
      <c r="E355" s="26" t="s">
        <v>652</v>
      </c>
      <c r="F355" s="27">
        <v>33</v>
      </c>
      <c r="G355" s="23"/>
    </row>
    <row r="356" spans="1:7" x14ac:dyDescent="0.25">
      <c r="A356" s="18" t="s">
        <v>1032</v>
      </c>
      <c r="B356" s="19" t="s">
        <v>1017</v>
      </c>
      <c r="C356" s="20" t="s">
        <v>16</v>
      </c>
      <c r="D356" s="9" t="str">
        <f>IFERROR(VLOOKUP(C356,'📋 City-Tier Master'!$A$4:$B$628,2,0),"T4")</f>
        <v>Metro</v>
      </c>
      <c r="E356" s="21" t="s">
        <v>652</v>
      </c>
      <c r="F356" s="22">
        <v>178</v>
      </c>
      <c r="G356" s="23"/>
    </row>
    <row r="357" spans="1:7" x14ac:dyDescent="0.25">
      <c r="A357" s="24" t="s">
        <v>1033</v>
      </c>
      <c r="B357" s="25" t="s">
        <v>1017</v>
      </c>
      <c r="C357" s="20" t="s">
        <v>16</v>
      </c>
      <c r="D357" s="9" t="str">
        <f>IFERROR(VLOOKUP(C357,'📋 City-Tier Master'!$A$4:$B$628,2,0),"T4")</f>
        <v>Metro</v>
      </c>
      <c r="E357" s="26" t="s">
        <v>652</v>
      </c>
      <c r="F357" s="27">
        <v>666</v>
      </c>
      <c r="G357" s="23"/>
    </row>
    <row r="358" spans="1:7" x14ac:dyDescent="0.25">
      <c r="A358" s="18" t="s">
        <v>1034</v>
      </c>
      <c r="B358" s="19" t="s">
        <v>1017</v>
      </c>
      <c r="C358" s="20" t="s">
        <v>42</v>
      </c>
      <c r="D358" s="12" t="str">
        <f>IFERROR(VLOOKUP(C358,'📋 City-Tier Master'!$A$4:$B$628,2,0),"T4")</f>
        <v>T1</v>
      </c>
      <c r="E358" s="21" t="s">
        <v>652</v>
      </c>
      <c r="F358" s="22">
        <v>171</v>
      </c>
      <c r="G358" s="23"/>
    </row>
    <row r="359" spans="1:7" x14ac:dyDescent="0.25">
      <c r="A359" s="24" t="s">
        <v>1035</v>
      </c>
      <c r="B359" s="25" t="s">
        <v>1017</v>
      </c>
      <c r="C359" s="20" t="s">
        <v>133</v>
      </c>
      <c r="D359" s="13" t="str">
        <f>IFERROR(VLOOKUP(C359,'📋 City-Tier Master'!$A$4:$B$628,2,0),"T4")</f>
        <v>T2</v>
      </c>
      <c r="E359" s="26" t="s">
        <v>652</v>
      </c>
      <c r="F359" s="27">
        <v>33</v>
      </c>
      <c r="G359" s="23"/>
    </row>
    <row r="360" spans="1:7" x14ac:dyDescent="0.25">
      <c r="A360" s="18" t="s">
        <v>1036</v>
      </c>
      <c r="B360" s="19" t="s">
        <v>1017</v>
      </c>
      <c r="C360" s="20" t="s">
        <v>380</v>
      </c>
      <c r="D360" s="14" t="str">
        <f>IFERROR(VLOOKUP(C360,'📋 City-Tier Master'!$A$4:$B$628,2,0),"T4")</f>
        <v>T3</v>
      </c>
      <c r="E360" s="21" t="s">
        <v>652</v>
      </c>
      <c r="F360" s="22">
        <v>4</v>
      </c>
      <c r="G360" s="23"/>
    </row>
    <row r="361" spans="1:7" x14ac:dyDescent="0.25">
      <c r="A361" s="24" t="s">
        <v>1037</v>
      </c>
      <c r="B361" s="25" t="s">
        <v>1017</v>
      </c>
      <c r="C361" s="20" t="s">
        <v>130</v>
      </c>
      <c r="D361" s="13" t="str">
        <f>IFERROR(VLOOKUP(C361,'📋 City-Tier Master'!$A$4:$B$628,2,0),"T4")</f>
        <v>T2</v>
      </c>
      <c r="E361" s="26" t="s">
        <v>652</v>
      </c>
      <c r="F361" s="27">
        <v>137</v>
      </c>
      <c r="G361" s="23"/>
    </row>
    <row r="362" spans="1:7" x14ac:dyDescent="0.25">
      <c r="A362" s="18" t="s">
        <v>1038</v>
      </c>
      <c r="B362" s="19" t="s">
        <v>1017</v>
      </c>
      <c r="C362" s="20" t="s">
        <v>362</v>
      </c>
      <c r="D362" s="14" t="str">
        <f>IFERROR(VLOOKUP(C362,'📋 City-Tier Master'!$A$4:$B$628,2,0),"T4")</f>
        <v>T3</v>
      </c>
      <c r="E362" s="21" t="s">
        <v>652</v>
      </c>
      <c r="F362" s="22">
        <v>9</v>
      </c>
      <c r="G362" s="23"/>
    </row>
    <row r="363" spans="1:7" x14ac:dyDescent="0.25">
      <c r="A363" s="24" t="s">
        <v>1039</v>
      </c>
      <c r="B363" s="25" t="s">
        <v>1017</v>
      </c>
      <c r="C363" s="20" t="s">
        <v>353</v>
      </c>
      <c r="D363" s="14" t="str">
        <f>IFERROR(VLOOKUP(C363,'📋 City-Tier Master'!$A$4:$B$628,2,0),"T4")</f>
        <v>T3</v>
      </c>
      <c r="E363" s="26" t="s">
        <v>652</v>
      </c>
      <c r="F363" s="27">
        <v>89</v>
      </c>
      <c r="G363" s="23"/>
    </row>
    <row r="364" spans="1:7" x14ac:dyDescent="0.25">
      <c r="A364" s="18" t="s">
        <v>1040</v>
      </c>
      <c r="B364" s="19" t="s">
        <v>1017</v>
      </c>
      <c r="C364" s="20" t="s">
        <v>382</v>
      </c>
      <c r="D364" s="14" t="str">
        <f>IFERROR(VLOOKUP(C364,'📋 City-Tier Master'!$A$4:$B$628,2,0),"T4")</f>
        <v>T3</v>
      </c>
      <c r="E364" s="21" t="s">
        <v>652</v>
      </c>
      <c r="F364" s="22">
        <v>9</v>
      </c>
      <c r="G364" s="23"/>
    </row>
    <row r="365" spans="1:7" x14ac:dyDescent="0.25">
      <c r="A365" s="24" t="s">
        <v>1041</v>
      </c>
      <c r="B365" s="25" t="s">
        <v>1017</v>
      </c>
      <c r="C365" s="20" t="s">
        <v>21</v>
      </c>
      <c r="D365" s="9" t="str">
        <f>IFERROR(VLOOKUP(C365,'📋 City-Tier Master'!$A$4:$B$628,2,0),"T4")</f>
        <v>Metro</v>
      </c>
      <c r="E365" s="26" t="s">
        <v>652</v>
      </c>
      <c r="F365" s="27">
        <v>785</v>
      </c>
      <c r="G365" s="23"/>
    </row>
    <row r="366" spans="1:7" x14ac:dyDescent="0.25">
      <c r="A366" s="18" t="s">
        <v>1042</v>
      </c>
      <c r="B366" s="19" t="s">
        <v>1017</v>
      </c>
      <c r="C366" s="20" t="s">
        <v>357</v>
      </c>
      <c r="D366" s="14" t="str">
        <f>IFERROR(VLOOKUP(C366,'📋 City-Tier Master'!$A$4:$B$628,2,0),"T4")</f>
        <v>T3</v>
      </c>
      <c r="E366" s="21" t="s">
        <v>652</v>
      </c>
      <c r="F366" s="22">
        <v>78</v>
      </c>
      <c r="G366" s="23"/>
    </row>
    <row r="367" spans="1:7" x14ac:dyDescent="0.25">
      <c r="A367" s="24" t="s">
        <v>1043</v>
      </c>
      <c r="B367" s="25" t="s">
        <v>1017</v>
      </c>
      <c r="C367" s="20" t="s">
        <v>371</v>
      </c>
      <c r="D367" s="14" t="str">
        <f>IFERROR(VLOOKUP(C367,'📋 City-Tier Master'!$A$4:$B$628,2,0),"T4")</f>
        <v>T3</v>
      </c>
      <c r="E367" s="26" t="s">
        <v>652</v>
      </c>
      <c r="F367" s="27">
        <v>16</v>
      </c>
      <c r="G367" s="23"/>
    </row>
    <row r="368" spans="1:7" x14ac:dyDescent="0.25">
      <c r="A368" s="18" t="s">
        <v>1044</v>
      </c>
      <c r="B368" s="19" t="s">
        <v>1017</v>
      </c>
      <c r="C368" s="20" t="s">
        <v>128</v>
      </c>
      <c r="D368" s="13" t="str">
        <f>IFERROR(VLOOKUP(C368,'📋 City-Tier Master'!$A$4:$B$628,2,0),"T4")</f>
        <v>T2</v>
      </c>
      <c r="E368" s="21" t="s">
        <v>652</v>
      </c>
      <c r="F368" s="22">
        <v>46</v>
      </c>
      <c r="G368" s="23"/>
    </row>
    <row r="369" spans="1:7" x14ac:dyDescent="0.25">
      <c r="A369" s="24" t="s">
        <v>1045</v>
      </c>
      <c r="B369" s="25" t="s">
        <v>1017</v>
      </c>
      <c r="C369" s="20" t="s">
        <v>368</v>
      </c>
      <c r="D369" s="14" t="str">
        <f>IFERROR(VLOOKUP(C369,'📋 City-Tier Master'!$A$4:$B$628,2,0),"T4")</f>
        <v>T3</v>
      </c>
      <c r="E369" s="26" t="s">
        <v>652</v>
      </c>
      <c r="F369" s="27">
        <v>31</v>
      </c>
      <c r="G369" s="23"/>
    </row>
    <row r="370" spans="1:7" x14ac:dyDescent="0.25">
      <c r="A370" s="18" t="s">
        <v>1046</v>
      </c>
      <c r="B370" s="19" t="s">
        <v>1017</v>
      </c>
      <c r="C370" s="20" t="s">
        <v>140</v>
      </c>
      <c r="D370" s="13" t="str">
        <f>IFERROR(VLOOKUP(C370,'📋 City-Tier Master'!$A$4:$B$628,2,0),"T4")</f>
        <v>T2</v>
      </c>
      <c r="E370" s="21" t="s">
        <v>876</v>
      </c>
      <c r="F370" s="22">
        <v>3</v>
      </c>
      <c r="G370" s="23"/>
    </row>
    <row r="371" spans="1:7" x14ac:dyDescent="0.25">
      <c r="A371" s="24" t="s">
        <v>1047</v>
      </c>
      <c r="B371" s="25" t="s">
        <v>1017</v>
      </c>
      <c r="C371" s="20" t="s">
        <v>127</v>
      </c>
      <c r="D371" s="13" t="str">
        <f>IFERROR(VLOOKUP(C371,'📋 City-Tier Master'!$A$4:$B$628,2,0),"T4")</f>
        <v>T2</v>
      </c>
      <c r="E371" s="26" t="s">
        <v>652</v>
      </c>
      <c r="F371" s="27">
        <v>45</v>
      </c>
      <c r="G371" s="23"/>
    </row>
    <row r="372" spans="1:7" x14ac:dyDescent="0.25">
      <c r="A372" s="18" t="s">
        <v>1048</v>
      </c>
      <c r="B372" s="19" t="s">
        <v>1017</v>
      </c>
      <c r="C372" s="20" t="s">
        <v>17</v>
      </c>
      <c r="D372" s="9" t="str">
        <f>IFERROR(VLOOKUP(C372,'📋 City-Tier Master'!$A$4:$B$628,2,0),"T4")</f>
        <v>Metro</v>
      </c>
      <c r="E372" s="21" t="s">
        <v>652</v>
      </c>
      <c r="F372" s="22">
        <v>532</v>
      </c>
      <c r="G372" s="23"/>
    </row>
    <row r="373" spans="1:7" x14ac:dyDescent="0.25">
      <c r="A373" s="24" t="s">
        <v>1049</v>
      </c>
      <c r="B373" s="25" t="s">
        <v>1017</v>
      </c>
      <c r="C373" s="20" t="s">
        <v>389</v>
      </c>
      <c r="D373" s="14" t="str">
        <f>IFERROR(VLOOKUP(C373,'📋 City-Tier Master'!$A$4:$B$628,2,0),"T4")</f>
        <v>T3</v>
      </c>
      <c r="E373" s="26" t="s">
        <v>652</v>
      </c>
      <c r="F373" s="27">
        <v>11</v>
      </c>
      <c r="G373" s="23"/>
    </row>
    <row r="374" spans="1:7" x14ac:dyDescent="0.25">
      <c r="A374" s="18" t="s">
        <v>1050</v>
      </c>
      <c r="B374" s="19" t="s">
        <v>1017</v>
      </c>
      <c r="C374" s="20" t="s">
        <v>391</v>
      </c>
      <c r="D374" s="14" t="str">
        <f>IFERROR(VLOOKUP(C374,'📋 City-Tier Master'!$A$4:$B$628,2,0),"T4")</f>
        <v>T3</v>
      </c>
      <c r="E374" s="21" t="s">
        <v>652</v>
      </c>
      <c r="F374" s="22">
        <v>5</v>
      </c>
      <c r="G374" s="23"/>
    </row>
    <row r="375" spans="1:7" x14ac:dyDescent="0.25">
      <c r="A375" s="24" t="s">
        <v>1051</v>
      </c>
      <c r="B375" s="25" t="s">
        <v>1017</v>
      </c>
      <c r="C375" s="20" t="s">
        <v>393</v>
      </c>
      <c r="D375" s="14" t="str">
        <f>IFERROR(VLOOKUP(C375,'📋 City-Tier Master'!$A$4:$B$628,2,0),"T4")</f>
        <v>T3</v>
      </c>
      <c r="E375" s="26" t="s">
        <v>652</v>
      </c>
      <c r="F375" s="27">
        <v>18</v>
      </c>
      <c r="G375" s="23"/>
    </row>
    <row r="376" spans="1:7" x14ac:dyDescent="0.25">
      <c r="A376" s="18" t="s">
        <v>1052</v>
      </c>
      <c r="B376" s="19" t="s">
        <v>1053</v>
      </c>
      <c r="C376" s="20" t="s">
        <v>198</v>
      </c>
      <c r="D376" s="13" t="str">
        <f>IFERROR(VLOOKUP(C376,'📋 City-Tier Master'!$A$4:$B$628,2,0),"T4")</f>
        <v>T2</v>
      </c>
      <c r="E376" s="21" t="s">
        <v>652</v>
      </c>
      <c r="F376" s="22">
        <v>1</v>
      </c>
      <c r="G376" s="23"/>
    </row>
    <row r="377" spans="1:7" x14ac:dyDescent="0.25">
      <c r="A377" s="24" t="s">
        <v>1054</v>
      </c>
      <c r="B377" s="25" t="s">
        <v>1053</v>
      </c>
      <c r="C377" s="20" t="s">
        <v>198</v>
      </c>
      <c r="D377" s="13" t="str">
        <f>IFERROR(VLOOKUP(C377,'📋 City-Tier Master'!$A$4:$B$628,2,0),"T4")</f>
        <v>T2</v>
      </c>
      <c r="E377" s="26" t="s">
        <v>652</v>
      </c>
      <c r="F377" s="27">
        <v>1</v>
      </c>
      <c r="G377" s="23"/>
    </row>
    <row r="378" spans="1:7" x14ac:dyDescent="0.25">
      <c r="A378" s="18" t="s">
        <v>1055</v>
      </c>
      <c r="B378" s="19" t="s">
        <v>1053</v>
      </c>
      <c r="C378" s="20" t="s">
        <v>198</v>
      </c>
      <c r="D378" s="13" t="str">
        <f>IFERROR(VLOOKUP(C378,'📋 City-Tier Master'!$A$4:$B$628,2,0),"T4")</f>
        <v>T2</v>
      </c>
      <c r="E378" s="21" t="s">
        <v>652</v>
      </c>
      <c r="F378" s="22">
        <v>47</v>
      </c>
      <c r="G378" s="23"/>
    </row>
    <row r="379" spans="1:7" x14ac:dyDescent="0.25">
      <c r="A379" s="24" t="s">
        <v>1056</v>
      </c>
      <c r="B379" s="25" t="s">
        <v>1053</v>
      </c>
      <c r="C379" s="20" t="s">
        <v>198</v>
      </c>
      <c r="D379" s="13" t="str">
        <f>IFERROR(VLOOKUP(C379,'📋 City-Tier Master'!$A$4:$B$628,2,0),"T4")</f>
        <v>T2</v>
      </c>
      <c r="E379" s="26" t="s">
        <v>652</v>
      </c>
      <c r="F379" s="27">
        <v>6</v>
      </c>
      <c r="G379" s="23"/>
    </row>
    <row r="380" spans="1:7" x14ac:dyDescent="0.25">
      <c r="A380" s="18" t="s">
        <v>1057</v>
      </c>
      <c r="B380" s="19" t="s">
        <v>1053</v>
      </c>
      <c r="C380" s="20" t="s">
        <v>198</v>
      </c>
      <c r="D380" s="13" t="str">
        <f>IFERROR(VLOOKUP(C380,'📋 City-Tier Master'!$A$4:$B$628,2,0),"T4")</f>
        <v>T2</v>
      </c>
      <c r="E380" s="21" t="s">
        <v>652</v>
      </c>
      <c r="F380" s="22">
        <v>3</v>
      </c>
      <c r="G380" s="23"/>
    </row>
    <row r="381" spans="1:7" x14ac:dyDescent="0.25">
      <c r="A381" s="24" t="s">
        <v>1058</v>
      </c>
      <c r="B381" s="25" t="s">
        <v>1053</v>
      </c>
      <c r="C381" s="20" t="s">
        <v>198</v>
      </c>
      <c r="D381" s="13" t="str">
        <f>IFERROR(VLOOKUP(C381,'📋 City-Tier Master'!$A$4:$B$628,2,0),"T4")</f>
        <v>T2</v>
      </c>
      <c r="E381" s="26" t="s">
        <v>652</v>
      </c>
      <c r="F381" s="27">
        <v>2</v>
      </c>
      <c r="G381" s="23"/>
    </row>
    <row r="382" spans="1:7" x14ac:dyDescent="0.25">
      <c r="A382" s="18" t="s">
        <v>1059</v>
      </c>
      <c r="B382" s="19" t="s">
        <v>1053</v>
      </c>
      <c r="C382" s="20" t="s">
        <v>198</v>
      </c>
      <c r="D382" s="13" t="str">
        <f>IFERROR(VLOOKUP(C382,'📋 City-Tier Master'!$A$4:$B$628,2,0),"T4")</f>
        <v>T2</v>
      </c>
      <c r="E382" s="21" t="s">
        <v>652</v>
      </c>
      <c r="F382" s="22">
        <v>1</v>
      </c>
      <c r="G382" s="23"/>
    </row>
    <row r="383" spans="1:7" x14ac:dyDescent="0.25">
      <c r="A383" s="24" t="s">
        <v>1060</v>
      </c>
      <c r="B383" s="25" t="s">
        <v>1061</v>
      </c>
      <c r="C383" s="20" t="s">
        <v>197</v>
      </c>
      <c r="D383" s="13" t="str">
        <f>IFERROR(VLOOKUP(C383,'📋 City-Tier Master'!$A$4:$B$628,2,0),"T4")</f>
        <v>T2</v>
      </c>
      <c r="E383" s="26" t="s">
        <v>652</v>
      </c>
      <c r="F383" s="27">
        <v>1</v>
      </c>
      <c r="G383" s="23"/>
    </row>
    <row r="384" spans="1:7" x14ac:dyDescent="0.25">
      <c r="A384" s="18" t="s">
        <v>1062</v>
      </c>
      <c r="B384" s="19" t="s">
        <v>1061</v>
      </c>
      <c r="C384" s="20" t="s">
        <v>197</v>
      </c>
      <c r="D384" s="13" t="str">
        <f>IFERROR(VLOOKUP(C384,'📋 City-Tier Master'!$A$4:$B$628,2,0),"T4")</f>
        <v>T2</v>
      </c>
      <c r="E384" s="21" t="s">
        <v>652</v>
      </c>
      <c r="F384" s="22">
        <v>2</v>
      </c>
      <c r="G384" s="23"/>
    </row>
    <row r="385" spans="1:7" x14ac:dyDescent="0.25">
      <c r="A385" s="24" t="s">
        <v>1063</v>
      </c>
      <c r="B385" s="25" t="s">
        <v>1061</v>
      </c>
      <c r="C385" s="20" t="s">
        <v>197</v>
      </c>
      <c r="D385" s="13" t="str">
        <f>IFERROR(VLOOKUP(C385,'📋 City-Tier Master'!$A$4:$B$628,2,0),"T4")</f>
        <v>T2</v>
      </c>
      <c r="E385" s="26" t="s">
        <v>652</v>
      </c>
      <c r="F385" s="27">
        <v>24</v>
      </c>
      <c r="G385" s="23"/>
    </row>
    <row r="386" spans="1:7" x14ac:dyDescent="0.25">
      <c r="A386" s="18" t="s">
        <v>1064</v>
      </c>
      <c r="B386" s="19" t="s">
        <v>1061</v>
      </c>
      <c r="C386" s="20" t="s">
        <v>197</v>
      </c>
      <c r="D386" s="13" t="str">
        <f>IFERROR(VLOOKUP(C386,'📋 City-Tier Master'!$A$4:$B$628,2,0),"T4")</f>
        <v>T2</v>
      </c>
      <c r="E386" s="21" t="s">
        <v>652</v>
      </c>
      <c r="F386" s="22">
        <v>10</v>
      </c>
      <c r="G386" s="23"/>
    </row>
    <row r="387" spans="1:7" x14ac:dyDescent="0.25">
      <c r="A387" s="24" t="s">
        <v>1065</v>
      </c>
      <c r="B387" s="25" t="s">
        <v>1061</v>
      </c>
      <c r="C387" s="20" t="s">
        <v>197</v>
      </c>
      <c r="D387" s="13" t="str">
        <f>IFERROR(VLOOKUP(C387,'📋 City-Tier Master'!$A$4:$B$628,2,0),"T4")</f>
        <v>T2</v>
      </c>
      <c r="E387" s="26" t="s">
        <v>652</v>
      </c>
      <c r="F387" s="27">
        <v>3</v>
      </c>
      <c r="G387" s="23"/>
    </row>
    <row r="388" spans="1:7" x14ac:dyDescent="0.25">
      <c r="A388" s="18" t="s">
        <v>1066</v>
      </c>
      <c r="B388" s="19" t="s">
        <v>1061</v>
      </c>
      <c r="C388" s="20" t="s">
        <v>197</v>
      </c>
      <c r="D388" s="13" t="str">
        <f>IFERROR(VLOOKUP(C388,'📋 City-Tier Master'!$A$4:$B$628,2,0),"T4")</f>
        <v>T2</v>
      </c>
      <c r="E388" s="21" t="s">
        <v>652</v>
      </c>
      <c r="F388" s="22">
        <v>5</v>
      </c>
      <c r="G388" s="23"/>
    </row>
    <row r="389" spans="1:7" x14ac:dyDescent="0.25">
      <c r="A389" s="24" t="s">
        <v>1067</v>
      </c>
      <c r="B389" s="25" t="s">
        <v>1068</v>
      </c>
      <c r="C389" s="20" t="s">
        <v>548</v>
      </c>
      <c r="D389" s="14" t="str">
        <f>IFERROR(VLOOKUP(C389,'📋 City-Tier Master'!$A$4:$B$628,2,0),"T4")</f>
        <v>T3</v>
      </c>
      <c r="E389" s="26" t="s">
        <v>652</v>
      </c>
      <c r="F389" s="27">
        <v>20</v>
      </c>
      <c r="G389" s="23"/>
    </row>
    <row r="390" spans="1:7" x14ac:dyDescent="0.25">
      <c r="A390" s="18" t="s">
        <v>1069</v>
      </c>
      <c r="B390" s="19" t="s">
        <v>1068</v>
      </c>
      <c r="C390" s="20" t="s">
        <v>548</v>
      </c>
      <c r="D390" s="14" t="str">
        <f>IFERROR(VLOOKUP(C390,'📋 City-Tier Master'!$A$4:$B$628,2,0),"T4")</f>
        <v>T3</v>
      </c>
      <c r="E390" s="21" t="s">
        <v>652</v>
      </c>
      <c r="F390" s="22">
        <v>1</v>
      </c>
      <c r="G390" s="23"/>
    </row>
    <row r="391" spans="1:7" x14ac:dyDescent="0.25">
      <c r="A391" s="24" t="s">
        <v>1070</v>
      </c>
      <c r="B391" s="25" t="s">
        <v>1071</v>
      </c>
      <c r="C391" s="20" t="s">
        <v>550</v>
      </c>
      <c r="D391" s="14" t="str">
        <f>IFERROR(VLOOKUP(C391,'📋 City-Tier Master'!$A$4:$B$628,2,0),"T4")</f>
        <v>T3</v>
      </c>
      <c r="E391" s="26" t="s">
        <v>652</v>
      </c>
      <c r="F391" s="27">
        <v>6</v>
      </c>
      <c r="G391" s="23"/>
    </row>
    <row r="392" spans="1:7" x14ac:dyDescent="0.25">
      <c r="A392" s="18" t="s">
        <v>1072</v>
      </c>
      <c r="B392" s="19" t="s">
        <v>1071</v>
      </c>
      <c r="C392" s="20" t="s">
        <v>549</v>
      </c>
      <c r="D392" s="14" t="str">
        <f>IFERROR(VLOOKUP(C392,'📋 City-Tier Master'!$A$4:$B$628,2,0),"T4")</f>
        <v>T3</v>
      </c>
      <c r="E392" s="21" t="s">
        <v>652</v>
      </c>
      <c r="F392" s="22">
        <v>7</v>
      </c>
      <c r="G392" s="23"/>
    </row>
    <row r="393" spans="1:7" x14ac:dyDescent="0.25">
      <c r="A393" s="24" t="s">
        <v>1073</v>
      </c>
      <c r="B393" s="25" t="s">
        <v>1071</v>
      </c>
      <c r="C393" s="20" t="s">
        <v>557</v>
      </c>
      <c r="D393" s="14" t="str">
        <f>IFERROR(VLOOKUP(C393,'📋 City-Tier Master'!$A$4:$B$628,2,0),"T4")</f>
        <v>T3</v>
      </c>
      <c r="E393" s="26" t="s">
        <v>876</v>
      </c>
      <c r="F393" s="27">
        <v>1</v>
      </c>
      <c r="G393" s="23"/>
    </row>
    <row r="394" spans="1:7" x14ac:dyDescent="0.25">
      <c r="A394" s="18" t="s">
        <v>1074</v>
      </c>
      <c r="B394" s="19" t="s">
        <v>1071</v>
      </c>
      <c r="C394" s="20" t="s">
        <v>549</v>
      </c>
      <c r="D394" s="14" t="str">
        <f>IFERROR(VLOOKUP(C394,'📋 City-Tier Master'!$A$4:$B$628,2,0),"T4")</f>
        <v>T3</v>
      </c>
      <c r="E394" s="21" t="s">
        <v>652</v>
      </c>
      <c r="F394" s="22">
        <v>24</v>
      </c>
      <c r="G394" s="23"/>
    </row>
    <row r="395" spans="1:7" x14ac:dyDescent="0.25">
      <c r="A395" s="24" t="s">
        <v>1075</v>
      </c>
      <c r="B395" s="25" t="s">
        <v>1071</v>
      </c>
      <c r="C395" s="20" t="s">
        <v>549</v>
      </c>
      <c r="D395" s="14" t="str">
        <f>IFERROR(VLOOKUP(C395,'📋 City-Tier Master'!$A$4:$B$628,2,0),"T4")</f>
        <v>T3</v>
      </c>
      <c r="E395" s="26" t="s">
        <v>652</v>
      </c>
      <c r="F395" s="27">
        <v>1</v>
      </c>
      <c r="G395" s="23"/>
    </row>
    <row r="396" spans="1:7" x14ac:dyDescent="0.25">
      <c r="A396" s="18" t="s">
        <v>1076</v>
      </c>
      <c r="B396" s="19" t="s">
        <v>1077</v>
      </c>
      <c r="C396" s="20" t="s">
        <v>525</v>
      </c>
      <c r="D396" s="14" t="str">
        <f>IFERROR(VLOOKUP(C396,'📋 City-Tier Master'!$A$4:$B$628,2,0),"T4")</f>
        <v>T3</v>
      </c>
      <c r="E396" s="21" t="s">
        <v>652</v>
      </c>
      <c r="F396" s="22">
        <v>3</v>
      </c>
      <c r="G396" s="23"/>
    </row>
    <row r="397" spans="1:7" x14ac:dyDescent="0.25">
      <c r="A397" s="24" t="s">
        <v>1078</v>
      </c>
      <c r="B397" s="25" t="s">
        <v>1077</v>
      </c>
      <c r="C397" s="20" t="s">
        <v>527</v>
      </c>
      <c r="D397" s="14" t="str">
        <f>IFERROR(VLOOKUP(C397,'📋 City-Tier Master'!$A$4:$B$628,2,0),"T4")</f>
        <v>T3</v>
      </c>
      <c r="E397" s="26" t="s">
        <v>652</v>
      </c>
      <c r="F397" s="27">
        <v>12</v>
      </c>
      <c r="G397" s="23"/>
    </row>
    <row r="398" spans="1:7" x14ac:dyDescent="0.25">
      <c r="A398" s="18" t="s">
        <v>1079</v>
      </c>
      <c r="B398" s="19" t="s">
        <v>1077</v>
      </c>
      <c r="C398" s="20" t="s">
        <v>522</v>
      </c>
      <c r="D398" s="14" t="str">
        <f>IFERROR(VLOOKUP(C398,'📋 City-Tier Master'!$A$4:$B$628,2,0),"T4")</f>
        <v>T3</v>
      </c>
      <c r="E398" s="21" t="s">
        <v>652</v>
      </c>
      <c r="F398" s="22">
        <v>27</v>
      </c>
      <c r="G398" s="23"/>
    </row>
    <row r="399" spans="1:7" x14ac:dyDescent="0.25">
      <c r="A399" s="24" t="s">
        <v>1080</v>
      </c>
      <c r="B399" s="25" t="s">
        <v>1077</v>
      </c>
      <c r="C399" s="20" t="s">
        <v>528</v>
      </c>
      <c r="D399" s="14" t="str">
        <f>IFERROR(VLOOKUP(C399,'📋 City-Tier Master'!$A$4:$B$628,2,0),"T4")</f>
        <v>T3</v>
      </c>
      <c r="E399" s="26" t="s">
        <v>652</v>
      </c>
      <c r="F399" s="27">
        <v>16</v>
      </c>
      <c r="G399" s="23"/>
    </row>
    <row r="400" spans="1:7" x14ac:dyDescent="0.25">
      <c r="A400" s="18" t="s">
        <v>1081</v>
      </c>
      <c r="B400" s="19" t="s">
        <v>1077</v>
      </c>
      <c r="C400" s="20" t="s">
        <v>522</v>
      </c>
      <c r="D400" s="14" t="str">
        <f>IFERROR(VLOOKUP(C400,'📋 City-Tier Master'!$A$4:$B$628,2,0),"T4")</f>
        <v>T3</v>
      </c>
      <c r="E400" s="21" t="s">
        <v>652</v>
      </c>
      <c r="F400" s="22">
        <v>15</v>
      </c>
      <c r="G400" s="23"/>
    </row>
    <row r="401" spans="1:7" x14ac:dyDescent="0.25">
      <c r="A401" s="24" t="s">
        <v>1082</v>
      </c>
      <c r="B401" s="25" t="s">
        <v>1077</v>
      </c>
      <c r="C401" s="20" t="s">
        <v>527</v>
      </c>
      <c r="D401" s="14" t="str">
        <f>IFERROR(VLOOKUP(C401,'📋 City-Tier Master'!$A$4:$B$628,2,0),"T4")</f>
        <v>T3</v>
      </c>
      <c r="E401" s="26" t="s">
        <v>652</v>
      </c>
      <c r="F401" s="27">
        <v>2</v>
      </c>
      <c r="G401" s="23"/>
    </row>
    <row r="402" spans="1:7" x14ac:dyDescent="0.25">
      <c r="A402" s="18" t="s">
        <v>1083</v>
      </c>
      <c r="B402" s="19" t="s">
        <v>1077</v>
      </c>
      <c r="C402" s="20" t="s">
        <v>194</v>
      </c>
      <c r="D402" s="13" t="str">
        <f>IFERROR(VLOOKUP(C402,'📋 City-Tier Master'!$A$4:$B$628,2,0),"T4")</f>
        <v>T2</v>
      </c>
      <c r="E402" s="21" t="s">
        <v>652</v>
      </c>
      <c r="F402" s="22">
        <v>94</v>
      </c>
      <c r="G402" s="23"/>
    </row>
    <row r="403" spans="1:7" x14ac:dyDescent="0.25">
      <c r="A403" s="24" t="s">
        <v>1084</v>
      </c>
      <c r="B403" s="25" t="s">
        <v>1077</v>
      </c>
      <c r="C403" s="20" t="s">
        <v>194</v>
      </c>
      <c r="D403" s="13" t="str">
        <f>IFERROR(VLOOKUP(C403,'📋 City-Tier Master'!$A$4:$B$628,2,0),"T4")</f>
        <v>T2</v>
      </c>
      <c r="E403" s="26" t="s">
        <v>652</v>
      </c>
      <c r="F403" s="27">
        <v>31</v>
      </c>
      <c r="G403" s="23"/>
    </row>
    <row r="404" spans="1:7" x14ac:dyDescent="0.25">
      <c r="A404" s="18" t="s">
        <v>1085</v>
      </c>
      <c r="B404" s="19" t="s">
        <v>1077</v>
      </c>
      <c r="C404" s="20" t="s">
        <v>195</v>
      </c>
      <c r="D404" s="13" t="str">
        <f>IFERROR(VLOOKUP(C404,'📋 City-Tier Master'!$A$4:$B$628,2,0),"T4")</f>
        <v>T2</v>
      </c>
      <c r="E404" s="21" t="s">
        <v>652</v>
      </c>
      <c r="F404" s="22">
        <v>7</v>
      </c>
      <c r="G404" s="23"/>
    </row>
    <row r="405" spans="1:7" x14ac:dyDescent="0.25">
      <c r="A405" s="24" t="s">
        <v>1086</v>
      </c>
      <c r="B405" s="25" t="s">
        <v>1077</v>
      </c>
      <c r="C405" s="20" t="s">
        <v>195</v>
      </c>
      <c r="D405" s="13" t="str">
        <f>IFERROR(VLOOKUP(C405,'📋 City-Tier Master'!$A$4:$B$628,2,0),"T4")</f>
        <v>T2</v>
      </c>
      <c r="E405" s="26" t="s">
        <v>652</v>
      </c>
      <c r="F405" s="27">
        <v>61</v>
      </c>
      <c r="G405" s="23"/>
    </row>
    <row r="406" spans="1:7" x14ac:dyDescent="0.25">
      <c r="A406" s="18" t="s">
        <v>1087</v>
      </c>
      <c r="B406" s="19" t="s">
        <v>1077</v>
      </c>
      <c r="C406" s="20" t="s">
        <v>194</v>
      </c>
      <c r="D406" s="13" t="str">
        <f>IFERROR(VLOOKUP(C406,'📋 City-Tier Master'!$A$4:$B$628,2,0),"T4")</f>
        <v>T2</v>
      </c>
      <c r="E406" s="21" t="s">
        <v>652</v>
      </c>
      <c r="F406" s="22">
        <v>11</v>
      </c>
      <c r="G406" s="23"/>
    </row>
    <row r="407" spans="1:7" x14ac:dyDescent="0.25">
      <c r="A407" s="24" t="s">
        <v>1088</v>
      </c>
      <c r="B407" s="25" t="s">
        <v>1077</v>
      </c>
      <c r="C407" s="20" t="s">
        <v>520</v>
      </c>
      <c r="D407" s="14" t="str">
        <f>IFERROR(VLOOKUP(C407,'📋 City-Tier Master'!$A$4:$B$628,2,0),"T4")</f>
        <v>T3</v>
      </c>
      <c r="E407" s="26" t="s">
        <v>652</v>
      </c>
      <c r="F407" s="27">
        <v>25</v>
      </c>
      <c r="G407" s="23"/>
    </row>
    <row r="408" spans="1:7" x14ac:dyDescent="0.25">
      <c r="A408" s="18" t="s">
        <v>1089</v>
      </c>
      <c r="B408" s="19" t="s">
        <v>1077</v>
      </c>
      <c r="C408" s="20" t="s">
        <v>529</v>
      </c>
      <c r="D408" s="14" t="str">
        <f>IFERROR(VLOOKUP(C408,'📋 City-Tier Master'!$A$4:$B$628,2,0),"T4")</f>
        <v>T3</v>
      </c>
      <c r="E408" s="21" t="s">
        <v>652</v>
      </c>
      <c r="F408" s="22">
        <v>20</v>
      </c>
      <c r="G408" s="23"/>
    </row>
    <row r="409" spans="1:7" x14ac:dyDescent="0.25">
      <c r="A409" s="24" t="s">
        <v>1090</v>
      </c>
      <c r="B409" s="25" t="s">
        <v>1077</v>
      </c>
      <c r="C409" s="20" t="s">
        <v>527</v>
      </c>
      <c r="D409" s="14" t="str">
        <f>IFERROR(VLOOKUP(C409,'📋 City-Tier Master'!$A$4:$B$628,2,0),"T4")</f>
        <v>T3</v>
      </c>
      <c r="E409" s="26" t="s">
        <v>652</v>
      </c>
      <c r="F409" s="27">
        <v>10</v>
      </c>
      <c r="G409" s="23"/>
    </row>
    <row r="410" spans="1:7" x14ac:dyDescent="0.25">
      <c r="A410" s="18" t="s">
        <v>1091</v>
      </c>
      <c r="B410" s="19" t="s">
        <v>1077</v>
      </c>
      <c r="C410" s="20" t="s">
        <v>58</v>
      </c>
      <c r="D410" s="12" t="str">
        <f>IFERROR(VLOOKUP(C410,'📋 City-Tier Master'!$A$4:$B$628,2,0),"T4")</f>
        <v>T1</v>
      </c>
      <c r="E410" s="21" t="s">
        <v>652</v>
      </c>
      <c r="F410" s="22">
        <v>5</v>
      </c>
      <c r="G410" s="23"/>
    </row>
    <row r="411" spans="1:7" x14ac:dyDescent="0.25">
      <c r="A411" s="24" t="s">
        <v>1092</v>
      </c>
      <c r="B411" s="25" t="s">
        <v>1077</v>
      </c>
      <c r="C411" s="20" t="s">
        <v>519</v>
      </c>
      <c r="D411" s="14" t="str">
        <f>IFERROR(VLOOKUP(C411,'📋 City-Tier Master'!$A$4:$B$628,2,0),"T4")</f>
        <v>T3</v>
      </c>
      <c r="E411" s="26" t="s">
        <v>652</v>
      </c>
      <c r="F411" s="27">
        <v>8</v>
      </c>
      <c r="G411" s="23"/>
    </row>
    <row r="412" spans="1:7" x14ac:dyDescent="0.25">
      <c r="A412" s="18" t="s">
        <v>1093</v>
      </c>
      <c r="B412" s="19" t="s">
        <v>1077</v>
      </c>
      <c r="C412" s="20" t="s">
        <v>524</v>
      </c>
      <c r="D412" s="14" t="str">
        <f>IFERROR(VLOOKUP(C412,'📋 City-Tier Master'!$A$4:$B$628,2,0),"T4")</f>
        <v>T3</v>
      </c>
      <c r="E412" s="21" t="s">
        <v>652</v>
      </c>
      <c r="F412" s="22">
        <v>11</v>
      </c>
      <c r="G412" s="23"/>
    </row>
    <row r="413" spans="1:7" x14ac:dyDescent="0.25">
      <c r="A413" s="24" t="s">
        <v>1094</v>
      </c>
      <c r="B413" s="25" t="s">
        <v>1077</v>
      </c>
      <c r="C413" s="20" t="s">
        <v>58</v>
      </c>
      <c r="D413" s="12" t="str">
        <f>IFERROR(VLOOKUP(C413,'📋 City-Tier Master'!$A$4:$B$628,2,0),"T4")</f>
        <v>T1</v>
      </c>
      <c r="E413" s="26" t="s">
        <v>652</v>
      </c>
      <c r="F413" s="27">
        <v>235</v>
      </c>
      <c r="G413" s="23"/>
    </row>
    <row r="414" spans="1:7" x14ac:dyDescent="0.25">
      <c r="A414" s="18" t="s">
        <v>1095</v>
      </c>
      <c r="B414" s="19" t="s">
        <v>1077</v>
      </c>
      <c r="C414" s="20" t="s">
        <v>526</v>
      </c>
      <c r="D414" s="14" t="str">
        <f>IFERROR(VLOOKUP(C414,'📋 City-Tier Master'!$A$4:$B$628,2,0),"T4")</f>
        <v>T3</v>
      </c>
      <c r="E414" s="21" t="s">
        <v>652</v>
      </c>
      <c r="F414" s="22">
        <v>18</v>
      </c>
      <c r="G414" s="23"/>
    </row>
    <row r="415" spans="1:7" x14ac:dyDescent="0.25">
      <c r="A415" s="24" t="s">
        <v>1096</v>
      </c>
      <c r="B415" s="25" t="s">
        <v>1077</v>
      </c>
      <c r="C415" s="20" t="s">
        <v>526</v>
      </c>
      <c r="D415" s="14" t="str">
        <f>IFERROR(VLOOKUP(C415,'📋 City-Tier Master'!$A$4:$B$628,2,0),"T4")</f>
        <v>T3</v>
      </c>
      <c r="E415" s="26" t="s">
        <v>652</v>
      </c>
      <c r="F415" s="27">
        <v>3</v>
      </c>
      <c r="G415" s="23"/>
    </row>
    <row r="416" spans="1:7" x14ac:dyDescent="0.25">
      <c r="A416" s="18" t="s">
        <v>1097</v>
      </c>
      <c r="B416" s="19" t="s">
        <v>1077</v>
      </c>
      <c r="C416" s="20" t="s">
        <v>523</v>
      </c>
      <c r="D416" s="14" t="str">
        <f>IFERROR(VLOOKUP(C416,'📋 City-Tier Master'!$A$4:$B$628,2,0),"T4")</f>
        <v>T3</v>
      </c>
      <c r="E416" s="21" t="s">
        <v>652</v>
      </c>
      <c r="F416" s="22">
        <v>18</v>
      </c>
      <c r="G416" s="23"/>
    </row>
    <row r="417" spans="1:7" x14ac:dyDescent="0.25">
      <c r="A417" s="24" t="s">
        <v>1098</v>
      </c>
      <c r="B417" s="25" t="s">
        <v>1077</v>
      </c>
      <c r="C417" s="20" t="s">
        <v>526</v>
      </c>
      <c r="D417" s="14" t="str">
        <f>IFERROR(VLOOKUP(C417,'📋 City-Tier Master'!$A$4:$B$628,2,0),"T4")</f>
        <v>T3</v>
      </c>
      <c r="E417" s="26" t="s">
        <v>652</v>
      </c>
      <c r="F417" s="27">
        <v>8</v>
      </c>
      <c r="G417" s="23"/>
    </row>
    <row r="418" spans="1:7" x14ac:dyDescent="0.25">
      <c r="A418" s="18" t="s">
        <v>1099</v>
      </c>
      <c r="B418" s="19" t="s">
        <v>1077</v>
      </c>
      <c r="C418" s="20" t="s">
        <v>58</v>
      </c>
      <c r="D418" s="12" t="str">
        <f>IFERROR(VLOOKUP(C418,'📋 City-Tier Master'!$A$4:$B$628,2,0),"T4")</f>
        <v>T1</v>
      </c>
      <c r="E418" s="21" t="s">
        <v>652</v>
      </c>
      <c r="F418" s="22">
        <v>9</v>
      </c>
      <c r="G418" s="23"/>
    </row>
    <row r="419" spans="1:7" x14ac:dyDescent="0.25">
      <c r="A419" s="24" t="s">
        <v>1100</v>
      </c>
      <c r="B419" s="25" t="s">
        <v>1077</v>
      </c>
      <c r="C419" s="20" t="s">
        <v>527</v>
      </c>
      <c r="D419" s="14" t="str">
        <f>IFERROR(VLOOKUP(C419,'📋 City-Tier Master'!$A$4:$B$628,2,0),"T4")</f>
        <v>T3</v>
      </c>
      <c r="E419" s="26" t="s">
        <v>652</v>
      </c>
      <c r="F419" s="27">
        <v>7</v>
      </c>
      <c r="G419" s="23"/>
    </row>
    <row r="420" spans="1:7" x14ac:dyDescent="0.25">
      <c r="A420" s="18" t="s">
        <v>1101</v>
      </c>
      <c r="B420" s="19" t="s">
        <v>1077</v>
      </c>
      <c r="C420" s="20" t="s">
        <v>193</v>
      </c>
      <c r="D420" s="13" t="str">
        <f>IFERROR(VLOOKUP(C420,'📋 City-Tier Master'!$A$4:$B$628,2,0),"T4")</f>
        <v>T2</v>
      </c>
      <c r="E420" s="21" t="s">
        <v>652</v>
      </c>
      <c r="F420" s="22">
        <v>24</v>
      </c>
      <c r="G420" s="23"/>
    </row>
    <row r="421" spans="1:7" x14ac:dyDescent="0.25">
      <c r="A421" s="24" t="s">
        <v>1102</v>
      </c>
      <c r="B421" s="25" t="s">
        <v>1077</v>
      </c>
      <c r="C421" s="20" t="s">
        <v>526</v>
      </c>
      <c r="D421" s="14" t="str">
        <f>IFERROR(VLOOKUP(C421,'📋 City-Tier Master'!$A$4:$B$628,2,0),"T4")</f>
        <v>T3</v>
      </c>
      <c r="E421" s="26" t="s">
        <v>652</v>
      </c>
      <c r="F421" s="27">
        <v>15</v>
      </c>
      <c r="G421" s="23"/>
    </row>
    <row r="422" spans="1:7" x14ac:dyDescent="0.25">
      <c r="A422" s="18" t="s">
        <v>1103</v>
      </c>
      <c r="B422" s="19" t="s">
        <v>1077</v>
      </c>
      <c r="C422" s="20" t="s">
        <v>527</v>
      </c>
      <c r="D422" s="14" t="str">
        <f>IFERROR(VLOOKUP(C422,'📋 City-Tier Master'!$A$4:$B$628,2,0),"T4")</f>
        <v>T3</v>
      </c>
      <c r="E422" s="21" t="s">
        <v>652</v>
      </c>
      <c r="F422" s="22">
        <v>35</v>
      </c>
      <c r="G422" s="23"/>
    </row>
    <row r="423" spans="1:7" x14ac:dyDescent="0.25">
      <c r="A423" s="24" t="s">
        <v>1104</v>
      </c>
      <c r="B423" s="25" t="s">
        <v>1077</v>
      </c>
      <c r="C423" s="20" t="s">
        <v>527</v>
      </c>
      <c r="D423" s="14" t="str">
        <f>IFERROR(VLOOKUP(C423,'📋 City-Tier Master'!$A$4:$B$628,2,0),"T4")</f>
        <v>T3</v>
      </c>
      <c r="E423" s="26" t="s">
        <v>652</v>
      </c>
      <c r="F423" s="27">
        <v>4</v>
      </c>
      <c r="G423" s="23"/>
    </row>
    <row r="424" spans="1:7" x14ac:dyDescent="0.25">
      <c r="A424" s="18" t="s">
        <v>1105</v>
      </c>
      <c r="B424" s="19" t="s">
        <v>1077</v>
      </c>
      <c r="C424" s="20" t="s">
        <v>196</v>
      </c>
      <c r="D424" s="13" t="str">
        <f>IFERROR(VLOOKUP(C424,'📋 City-Tier Master'!$A$4:$B$628,2,0),"T4")</f>
        <v>T2</v>
      </c>
      <c r="E424" s="21" t="s">
        <v>652</v>
      </c>
      <c r="F424" s="22">
        <v>66</v>
      </c>
      <c r="G424" s="23"/>
    </row>
    <row r="425" spans="1:7" x14ac:dyDescent="0.25">
      <c r="A425" s="24" t="s">
        <v>1106</v>
      </c>
      <c r="B425" s="25" t="s">
        <v>1107</v>
      </c>
      <c r="C425" s="20" t="s">
        <v>55</v>
      </c>
      <c r="D425" s="12" t="str">
        <f>IFERROR(VLOOKUP(C425,'📋 City-Tier Master'!$A$4:$B$628,2,0),"T4")</f>
        <v>T1</v>
      </c>
      <c r="E425" s="26" t="s">
        <v>652</v>
      </c>
      <c r="F425" s="27">
        <v>7</v>
      </c>
      <c r="G425" s="23"/>
    </row>
    <row r="426" spans="1:7" x14ac:dyDescent="0.25">
      <c r="A426" s="18" t="s">
        <v>1108</v>
      </c>
      <c r="B426" s="19" t="s">
        <v>1107</v>
      </c>
      <c r="C426" s="20" t="s">
        <v>55</v>
      </c>
      <c r="D426" s="12" t="str">
        <f>IFERROR(VLOOKUP(C426,'📋 City-Tier Master'!$A$4:$B$628,2,0),"T4")</f>
        <v>T1</v>
      </c>
      <c r="E426" s="21" t="s">
        <v>652</v>
      </c>
      <c r="F426" s="22">
        <v>78</v>
      </c>
      <c r="G426" s="23"/>
    </row>
    <row r="427" spans="1:7" x14ac:dyDescent="0.25">
      <c r="A427" s="24" t="s">
        <v>1109</v>
      </c>
      <c r="B427" s="25" t="s">
        <v>1110</v>
      </c>
      <c r="C427" s="20" t="s">
        <v>78</v>
      </c>
      <c r="D427" s="13" t="str">
        <f>IFERROR(VLOOKUP(C427,'📋 City-Tier Master'!$A$4:$B$628,2,0),"T4")</f>
        <v>T2</v>
      </c>
      <c r="E427" s="26" t="s">
        <v>652</v>
      </c>
      <c r="F427" s="27">
        <v>148</v>
      </c>
      <c r="G427" s="23"/>
    </row>
    <row r="428" spans="1:7" x14ac:dyDescent="0.25">
      <c r="A428" s="18" t="s">
        <v>1111</v>
      </c>
      <c r="B428" s="19" t="s">
        <v>1110</v>
      </c>
      <c r="C428" s="20" t="s">
        <v>1112</v>
      </c>
      <c r="D428" s="14" t="str">
        <f>IFERROR(VLOOKUP(C428,'📋 City-Tier Master'!$A$4:$B$628,2,0),"T4")</f>
        <v>T4</v>
      </c>
      <c r="E428" s="21" t="s">
        <v>652</v>
      </c>
      <c r="F428" s="22">
        <v>28</v>
      </c>
      <c r="G428" s="23"/>
    </row>
    <row r="429" spans="1:7" x14ac:dyDescent="0.25">
      <c r="A429" s="24" t="s">
        <v>1113</v>
      </c>
      <c r="B429" s="25" t="s">
        <v>1110</v>
      </c>
      <c r="C429" s="20" t="s">
        <v>81</v>
      </c>
      <c r="D429" s="13" t="str">
        <f>IFERROR(VLOOKUP(C429,'📋 City-Tier Master'!$A$4:$B$628,2,0),"T4")</f>
        <v>T2</v>
      </c>
      <c r="E429" s="26" t="s">
        <v>652</v>
      </c>
      <c r="F429" s="27">
        <v>99</v>
      </c>
      <c r="G429" s="23"/>
    </row>
    <row r="430" spans="1:7" x14ac:dyDescent="0.25">
      <c r="A430" s="18" t="s">
        <v>1114</v>
      </c>
      <c r="B430" s="19" t="s">
        <v>1110</v>
      </c>
      <c r="C430" s="20" t="s">
        <v>239</v>
      </c>
      <c r="D430" s="14" t="str">
        <f>IFERROR(VLOOKUP(C430,'📋 City-Tier Master'!$A$4:$B$628,2,0),"T4")</f>
        <v>T3</v>
      </c>
      <c r="E430" s="21" t="s">
        <v>652</v>
      </c>
      <c r="F430" s="22">
        <v>28</v>
      </c>
      <c r="G430" s="23"/>
    </row>
    <row r="431" spans="1:7" x14ac:dyDescent="0.25">
      <c r="A431" s="24" t="s">
        <v>1115</v>
      </c>
      <c r="B431" s="25" t="s">
        <v>1110</v>
      </c>
      <c r="C431" s="20" t="s">
        <v>32</v>
      </c>
      <c r="D431" s="12" t="str">
        <f>IFERROR(VLOOKUP(C431,'📋 City-Tier Master'!$A$4:$B$628,2,0),"T4")</f>
        <v>T1</v>
      </c>
      <c r="E431" s="26" t="s">
        <v>652</v>
      </c>
      <c r="F431" s="27">
        <v>9</v>
      </c>
      <c r="G431" s="23"/>
    </row>
    <row r="432" spans="1:7" x14ac:dyDescent="0.25">
      <c r="A432" s="18" t="s">
        <v>1116</v>
      </c>
      <c r="B432" s="19" t="s">
        <v>1110</v>
      </c>
      <c r="C432" s="20" t="s">
        <v>241</v>
      </c>
      <c r="D432" s="14" t="str">
        <f>IFERROR(VLOOKUP(C432,'📋 City-Tier Master'!$A$4:$B$628,2,0),"T4")</f>
        <v>T3</v>
      </c>
      <c r="E432" s="21" t="s">
        <v>652</v>
      </c>
      <c r="F432" s="22">
        <v>24</v>
      </c>
      <c r="G432" s="23"/>
    </row>
    <row r="433" spans="1:7" x14ac:dyDescent="0.25">
      <c r="A433" s="24" t="s">
        <v>1117</v>
      </c>
      <c r="B433" s="25" t="s">
        <v>1110</v>
      </c>
      <c r="C433" s="20" t="s">
        <v>241</v>
      </c>
      <c r="D433" s="14" t="str">
        <f>IFERROR(VLOOKUP(C433,'📋 City-Tier Master'!$A$4:$B$628,2,0),"T4")</f>
        <v>T3</v>
      </c>
      <c r="E433" s="26" t="s">
        <v>652</v>
      </c>
      <c r="F433" s="27">
        <v>21</v>
      </c>
      <c r="G433" s="23"/>
    </row>
    <row r="434" spans="1:7" x14ac:dyDescent="0.25">
      <c r="A434" s="18" t="s">
        <v>1118</v>
      </c>
      <c r="B434" s="19" t="s">
        <v>1110</v>
      </c>
      <c r="C434" s="20" t="s">
        <v>637</v>
      </c>
      <c r="D434" s="15" t="str">
        <f>IFERROR(VLOOKUP(C434,'📋 City-Tier Master'!$A$4:$B$628,2,0),"T4")</f>
        <v>T4</v>
      </c>
      <c r="E434" s="21" t="s">
        <v>652</v>
      </c>
      <c r="F434" s="22">
        <v>36</v>
      </c>
      <c r="G434" s="23"/>
    </row>
    <row r="435" spans="1:7" x14ac:dyDescent="0.25">
      <c r="A435" s="24" t="s">
        <v>1119</v>
      </c>
      <c r="B435" s="25" t="s">
        <v>1110</v>
      </c>
      <c r="C435" s="20" t="s">
        <v>1120</v>
      </c>
      <c r="D435" s="14" t="str">
        <f>IFERROR(VLOOKUP(C435,'📋 City-Tier Master'!$A$4:$B$628,2,0),"T4")</f>
        <v>T4</v>
      </c>
      <c r="E435" s="26" t="s">
        <v>652</v>
      </c>
      <c r="F435" s="27">
        <v>35</v>
      </c>
      <c r="G435" s="23"/>
    </row>
    <row r="436" spans="1:7" x14ac:dyDescent="0.25">
      <c r="A436" s="18" t="s">
        <v>1121</v>
      </c>
      <c r="B436" s="19" t="s">
        <v>1110</v>
      </c>
      <c r="C436" s="20" t="s">
        <v>80</v>
      </c>
      <c r="D436" s="13" t="str">
        <f>IFERROR(VLOOKUP(C436,'📋 City-Tier Master'!$A$4:$B$628,2,0),"T4")</f>
        <v>T2</v>
      </c>
      <c r="E436" s="21" t="s">
        <v>652</v>
      </c>
      <c r="F436" s="22">
        <v>123</v>
      </c>
      <c r="G436" s="23"/>
    </row>
    <row r="437" spans="1:7" x14ac:dyDescent="0.25">
      <c r="A437" s="24" t="s">
        <v>1122</v>
      </c>
      <c r="B437" s="25" t="s">
        <v>1110</v>
      </c>
      <c r="C437" s="20" t="s">
        <v>236</v>
      </c>
      <c r="D437" s="14" t="str">
        <f>IFERROR(VLOOKUP(C437,'📋 City-Tier Master'!$A$4:$B$628,2,0),"T4")</f>
        <v>T3</v>
      </c>
      <c r="E437" s="26" t="s">
        <v>652</v>
      </c>
      <c r="F437" s="27">
        <v>33</v>
      </c>
      <c r="G437" s="23"/>
    </row>
    <row r="438" spans="1:7" x14ac:dyDescent="0.25">
      <c r="A438" s="18" t="s">
        <v>1123</v>
      </c>
      <c r="B438" s="19" t="s">
        <v>1110</v>
      </c>
      <c r="C438" s="20" t="s">
        <v>77</v>
      </c>
      <c r="D438" s="13" t="str">
        <f>IFERROR(VLOOKUP(C438,'📋 City-Tier Master'!$A$4:$B$628,2,0),"T4")</f>
        <v>T2</v>
      </c>
      <c r="E438" s="21" t="s">
        <v>652</v>
      </c>
      <c r="F438" s="22">
        <v>283</v>
      </c>
      <c r="G438" s="23"/>
    </row>
    <row r="439" spans="1:7" x14ac:dyDescent="0.25">
      <c r="A439" s="24" t="s">
        <v>1124</v>
      </c>
      <c r="B439" s="25" t="s">
        <v>1110</v>
      </c>
      <c r="C439" s="20" t="s">
        <v>238</v>
      </c>
      <c r="D439" s="14" t="str">
        <f>IFERROR(VLOOKUP(C439,'📋 City-Tier Master'!$A$4:$B$628,2,0),"T4")</f>
        <v>T3</v>
      </c>
      <c r="E439" s="26" t="s">
        <v>652</v>
      </c>
      <c r="F439" s="27">
        <v>4</v>
      </c>
      <c r="G439" s="23"/>
    </row>
    <row r="440" spans="1:7" x14ac:dyDescent="0.25">
      <c r="A440" s="18" t="s">
        <v>1125</v>
      </c>
      <c r="B440" s="19" t="s">
        <v>1110</v>
      </c>
      <c r="C440" s="20" t="s">
        <v>240</v>
      </c>
      <c r="D440" s="14" t="str">
        <f>IFERROR(VLOOKUP(C440,'📋 City-Tier Master'!$A$4:$B$628,2,0),"T4")</f>
        <v>T3</v>
      </c>
      <c r="E440" s="21" t="s">
        <v>652</v>
      </c>
      <c r="F440" s="22">
        <v>8</v>
      </c>
      <c r="G440" s="23"/>
    </row>
    <row r="441" spans="1:7" x14ac:dyDescent="0.25">
      <c r="A441" s="24" t="s">
        <v>1126</v>
      </c>
      <c r="B441" s="25" t="s">
        <v>1110</v>
      </c>
      <c r="C441" s="20" t="s">
        <v>624</v>
      </c>
      <c r="D441" s="15" t="str">
        <f>IFERROR(VLOOKUP(C441,'📋 City-Tier Master'!$A$4:$B$628,2,0),"T4")</f>
        <v>T4</v>
      </c>
      <c r="E441" s="26" t="s">
        <v>652</v>
      </c>
      <c r="F441" s="27">
        <v>29</v>
      </c>
      <c r="G441" s="23"/>
    </row>
    <row r="442" spans="1:7" x14ac:dyDescent="0.25">
      <c r="A442" s="18" t="s">
        <v>1127</v>
      </c>
      <c r="B442" s="19" t="s">
        <v>1110</v>
      </c>
      <c r="C442" s="20" t="s">
        <v>79</v>
      </c>
      <c r="D442" s="13" t="str">
        <f>IFERROR(VLOOKUP(C442,'📋 City-Tier Master'!$A$4:$B$628,2,0),"T4")</f>
        <v>T2</v>
      </c>
      <c r="E442" s="21" t="s">
        <v>652</v>
      </c>
      <c r="F442" s="22">
        <v>46</v>
      </c>
      <c r="G442" s="23"/>
    </row>
    <row r="443" spans="1:7" x14ac:dyDescent="0.25">
      <c r="A443" s="24" t="s">
        <v>1128</v>
      </c>
      <c r="B443" s="25" t="s">
        <v>1110</v>
      </c>
      <c r="C443" s="20" t="s">
        <v>76</v>
      </c>
      <c r="D443" s="13" t="str">
        <f>IFERROR(VLOOKUP(C443,'📋 City-Tier Master'!$A$4:$B$628,2,0),"T4")</f>
        <v>T2</v>
      </c>
      <c r="E443" s="26" t="s">
        <v>652</v>
      </c>
      <c r="F443" s="27">
        <v>106</v>
      </c>
      <c r="G443" s="23"/>
    </row>
    <row r="444" spans="1:7" x14ac:dyDescent="0.25">
      <c r="A444" s="18" t="s">
        <v>1129</v>
      </c>
      <c r="B444" s="19" t="s">
        <v>1110</v>
      </c>
      <c r="C444" s="20" t="s">
        <v>226</v>
      </c>
      <c r="D444" s="14" t="str">
        <f>IFERROR(VLOOKUP(C444,'📋 City-Tier Master'!$A$4:$B$628,2,0),"T4")</f>
        <v>T3</v>
      </c>
      <c r="E444" s="21" t="s">
        <v>652</v>
      </c>
      <c r="F444" s="22">
        <v>21</v>
      </c>
      <c r="G444" s="23"/>
    </row>
    <row r="445" spans="1:7" x14ac:dyDescent="0.25">
      <c r="A445" s="24" t="s">
        <v>1130</v>
      </c>
      <c r="B445" s="25" t="s">
        <v>1110</v>
      </c>
      <c r="C445" s="20" t="s">
        <v>32</v>
      </c>
      <c r="D445" s="12" t="str">
        <f>IFERROR(VLOOKUP(C445,'📋 City-Tier Master'!$A$4:$B$628,2,0),"T4")</f>
        <v>T1</v>
      </c>
      <c r="E445" s="26" t="s">
        <v>652</v>
      </c>
      <c r="F445" s="27">
        <v>209</v>
      </c>
      <c r="G445" s="23"/>
    </row>
    <row r="446" spans="1:7" x14ac:dyDescent="0.25">
      <c r="A446" s="18" t="s">
        <v>1131</v>
      </c>
      <c r="B446" s="19" t="s">
        <v>1110</v>
      </c>
      <c r="C446" s="20" t="s">
        <v>1112</v>
      </c>
      <c r="D446" s="14" t="str">
        <f>IFERROR(VLOOKUP(C446,'📋 City-Tier Master'!$A$4:$B$628,2,0),"T4")</f>
        <v>T4</v>
      </c>
      <c r="E446" s="21" t="s">
        <v>652</v>
      </c>
      <c r="F446" s="22">
        <v>33</v>
      </c>
      <c r="G446" s="23"/>
    </row>
    <row r="447" spans="1:7" x14ac:dyDescent="0.25">
      <c r="A447" s="24" t="s">
        <v>1132</v>
      </c>
      <c r="B447" s="25" t="s">
        <v>1110</v>
      </c>
      <c r="C447" s="20" t="s">
        <v>242</v>
      </c>
      <c r="D447" s="14" t="str">
        <f>IFERROR(VLOOKUP(C447,'📋 City-Tier Master'!$A$4:$B$628,2,0),"T4")</f>
        <v>T3</v>
      </c>
      <c r="E447" s="26" t="s">
        <v>876</v>
      </c>
      <c r="F447" s="27">
        <v>21</v>
      </c>
      <c r="G447" s="23"/>
    </row>
    <row r="448" spans="1:7" x14ac:dyDescent="0.25">
      <c r="A448" s="18" t="s">
        <v>1133</v>
      </c>
      <c r="B448" s="19" t="s">
        <v>1110</v>
      </c>
      <c r="C448" s="20" t="s">
        <v>1134</v>
      </c>
      <c r="D448" s="14" t="str">
        <f>IFERROR(VLOOKUP(C448,'📋 City-Tier Master'!$A$4:$B$628,2,0),"T4")</f>
        <v>T4</v>
      </c>
      <c r="E448" s="21" t="s">
        <v>652</v>
      </c>
      <c r="F448" s="22">
        <v>20</v>
      </c>
      <c r="G448" s="23"/>
    </row>
    <row r="449" spans="1:7" x14ac:dyDescent="0.25">
      <c r="A449" s="24" t="s">
        <v>233</v>
      </c>
      <c r="B449" s="25" t="s">
        <v>1110</v>
      </c>
      <c r="C449" s="20" t="s">
        <v>233</v>
      </c>
      <c r="D449" s="14" t="str">
        <f>IFERROR(VLOOKUP(C449,'📋 City-Tier Master'!$A$4:$B$628,2,0),"T4")</f>
        <v>T3</v>
      </c>
      <c r="E449" s="28" t="s">
        <v>735</v>
      </c>
      <c r="F449" s="27">
        <v>18</v>
      </c>
      <c r="G449" s="23"/>
    </row>
    <row r="450" spans="1:7" x14ac:dyDescent="0.25">
      <c r="A450" s="18" t="s">
        <v>1135</v>
      </c>
      <c r="B450" s="19" t="s">
        <v>1136</v>
      </c>
      <c r="C450" s="20" t="s">
        <v>111</v>
      </c>
      <c r="D450" s="13" t="str">
        <f>IFERROR(VLOOKUP(C450,'📋 City-Tier Master'!$A$4:$B$628,2,0),"T4")</f>
        <v>T2</v>
      </c>
      <c r="E450" s="21" t="s">
        <v>652</v>
      </c>
      <c r="F450" s="22">
        <v>110</v>
      </c>
      <c r="G450" s="23"/>
    </row>
    <row r="451" spans="1:7" x14ac:dyDescent="0.25">
      <c r="A451" s="24" t="s">
        <v>1137</v>
      </c>
      <c r="B451" s="25" t="s">
        <v>1136</v>
      </c>
      <c r="C451" s="20" t="s">
        <v>309</v>
      </c>
      <c r="D451" s="14" t="str">
        <f>IFERROR(VLOOKUP(C451,'📋 City-Tier Master'!$A$4:$B$628,2,0),"T4")</f>
        <v>T3</v>
      </c>
      <c r="E451" s="26" t="s">
        <v>652</v>
      </c>
      <c r="F451" s="27">
        <v>84</v>
      </c>
      <c r="G451" s="23"/>
    </row>
    <row r="452" spans="1:7" x14ac:dyDescent="0.25">
      <c r="A452" s="18" t="s">
        <v>1138</v>
      </c>
      <c r="B452" s="19" t="s">
        <v>1136</v>
      </c>
      <c r="C452" s="20" t="s">
        <v>322</v>
      </c>
      <c r="D452" s="14" t="str">
        <f>IFERROR(VLOOKUP(C452,'📋 City-Tier Master'!$A$4:$B$628,2,0),"T4")</f>
        <v>T3</v>
      </c>
      <c r="E452" s="21" t="s">
        <v>652</v>
      </c>
      <c r="F452" s="22">
        <v>9</v>
      </c>
      <c r="G452" s="23"/>
    </row>
    <row r="453" spans="1:7" x14ac:dyDescent="0.25">
      <c r="A453" s="24" t="s">
        <v>1139</v>
      </c>
      <c r="B453" s="25" t="s">
        <v>1136</v>
      </c>
      <c r="C453" s="20" t="s">
        <v>321</v>
      </c>
      <c r="D453" s="14" t="str">
        <f>IFERROR(VLOOKUP(C453,'📋 City-Tier Master'!$A$4:$B$628,2,0),"T4")</f>
        <v>T3</v>
      </c>
      <c r="E453" s="26" t="s">
        <v>652</v>
      </c>
      <c r="F453" s="27">
        <v>2</v>
      </c>
      <c r="G453" s="23"/>
    </row>
    <row r="454" spans="1:7" x14ac:dyDescent="0.25">
      <c r="A454" s="18" t="s">
        <v>1140</v>
      </c>
      <c r="B454" s="19" t="s">
        <v>1136</v>
      </c>
      <c r="C454" s="20" t="s">
        <v>117</v>
      </c>
      <c r="D454" s="13" t="str">
        <f>IFERROR(VLOOKUP(C454,'📋 City-Tier Master'!$A$4:$B$628,2,0),"T4")</f>
        <v>T2</v>
      </c>
      <c r="E454" s="21" t="s">
        <v>652</v>
      </c>
      <c r="F454" s="22">
        <v>11</v>
      </c>
      <c r="G454" s="23"/>
    </row>
    <row r="455" spans="1:7" x14ac:dyDescent="0.25">
      <c r="A455" s="24" t="s">
        <v>1141</v>
      </c>
      <c r="B455" s="25" t="s">
        <v>1136</v>
      </c>
      <c r="C455" s="20" t="s">
        <v>316</v>
      </c>
      <c r="D455" s="14" t="str">
        <f>IFERROR(VLOOKUP(C455,'📋 City-Tier Master'!$A$4:$B$628,2,0),"T4")</f>
        <v>T3</v>
      </c>
      <c r="E455" s="26" t="s">
        <v>652</v>
      </c>
      <c r="F455" s="27">
        <v>17</v>
      </c>
      <c r="G455" s="23"/>
    </row>
    <row r="456" spans="1:7" x14ac:dyDescent="0.25">
      <c r="A456" s="18" t="s">
        <v>1142</v>
      </c>
      <c r="B456" s="19" t="s">
        <v>1136</v>
      </c>
      <c r="C456" s="20" t="s">
        <v>312</v>
      </c>
      <c r="D456" s="14" t="str">
        <f>IFERROR(VLOOKUP(C456,'📋 City-Tier Master'!$A$4:$B$628,2,0),"T4")</f>
        <v>T3</v>
      </c>
      <c r="E456" s="21" t="s">
        <v>652</v>
      </c>
      <c r="F456" s="22">
        <v>41</v>
      </c>
      <c r="G456" s="23"/>
    </row>
    <row r="457" spans="1:7" x14ac:dyDescent="0.25">
      <c r="A457" s="24" t="s">
        <v>1143</v>
      </c>
      <c r="B457" s="25" t="s">
        <v>1136</v>
      </c>
      <c r="C457" s="20" t="s">
        <v>114</v>
      </c>
      <c r="D457" s="13" t="str">
        <f>IFERROR(VLOOKUP(C457,'📋 City-Tier Master'!$A$4:$B$628,2,0),"T4")</f>
        <v>T2</v>
      </c>
      <c r="E457" s="26" t="s">
        <v>652</v>
      </c>
      <c r="F457" s="27">
        <v>52</v>
      </c>
      <c r="G457" s="23"/>
    </row>
    <row r="458" spans="1:7" x14ac:dyDescent="0.25">
      <c r="A458" s="18" t="s">
        <v>1144</v>
      </c>
      <c r="B458" s="19" t="s">
        <v>1136</v>
      </c>
      <c r="C458" s="20" t="s">
        <v>320</v>
      </c>
      <c r="D458" s="14" t="str">
        <f>IFERROR(VLOOKUP(C458,'📋 City-Tier Master'!$A$4:$B$628,2,0),"T4")</f>
        <v>T3</v>
      </c>
      <c r="E458" s="21" t="s">
        <v>652</v>
      </c>
      <c r="F458" s="22">
        <v>1</v>
      </c>
      <c r="G458" s="23"/>
    </row>
    <row r="459" spans="1:7" x14ac:dyDescent="0.25">
      <c r="A459" s="24" t="s">
        <v>1145</v>
      </c>
      <c r="B459" s="25" t="s">
        <v>1136</v>
      </c>
      <c r="C459" s="20" t="s">
        <v>313</v>
      </c>
      <c r="D459" s="14" t="str">
        <f>IFERROR(VLOOKUP(C459,'📋 City-Tier Master'!$A$4:$B$628,2,0),"T4")</f>
        <v>T3</v>
      </c>
      <c r="E459" s="26" t="s">
        <v>652</v>
      </c>
      <c r="F459" s="27">
        <v>17</v>
      </c>
      <c r="G459" s="23"/>
    </row>
    <row r="460" spans="1:7" x14ac:dyDescent="0.25">
      <c r="A460" s="18" t="s">
        <v>1146</v>
      </c>
      <c r="B460" s="19" t="s">
        <v>1136</v>
      </c>
      <c r="C460" s="20" t="s">
        <v>324</v>
      </c>
      <c r="D460" s="14" t="str">
        <f>IFERROR(VLOOKUP(C460,'📋 City-Tier Master'!$A$4:$B$628,2,0),"T4")</f>
        <v>T3</v>
      </c>
      <c r="E460" s="21" t="s">
        <v>652</v>
      </c>
      <c r="F460" s="22">
        <v>7</v>
      </c>
      <c r="G460" s="23"/>
    </row>
    <row r="461" spans="1:7" x14ac:dyDescent="0.25">
      <c r="A461" s="24" t="s">
        <v>1147</v>
      </c>
      <c r="B461" s="25" t="s">
        <v>1136</v>
      </c>
      <c r="C461" s="20" t="s">
        <v>39</v>
      </c>
      <c r="D461" s="12" t="str">
        <f>IFERROR(VLOOKUP(C461,'📋 City-Tier Master'!$A$4:$B$628,2,0),"T4")</f>
        <v>T1</v>
      </c>
      <c r="E461" s="26" t="s">
        <v>652</v>
      </c>
      <c r="F461" s="27">
        <v>8</v>
      </c>
      <c r="G461" s="23"/>
    </row>
    <row r="462" spans="1:7" x14ac:dyDescent="0.25">
      <c r="A462" s="18" t="s">
        <v>1148</v>
      </c>
      <c r="B462" s="19" t="s">
        <v>1136</v>
      </c>
      <c r="C462" s="20" t="s">
        <v>323</v>
      </c>
      <c r="D462" s="14" t="str">
        <f>IFERROR(VLOOKUP(C462,'📋 City-Tier Master'!$A$4:$B$628,2,0),"T4")</f>
        <v>T3</v>
      </c>
      <c r="E462" s="21" t="s">
        <v>652</v>
      </c>
      <c r="F462" s="22">
        <v>2</v>
      </c>
      <c r="G462" s="23"/>
    </row>
    <row r="463" spans="1:7" x14ac:dyDescent="0.25">
      <c r="A463" s="24" t="s">
        <v>1149</v>
      </c>
      <c r="B463" s="25" t="s">
        <v>1136</v>
      </c>
      <c r="C463" s="20" t="s">
        <v>315</v>
      </c>
      <c r="D463" s="14" t="str">
        <f>IFERROR(VLOOKUP(C463,'📋 City-Tier Master'!$A$4:$B$628,2,0),"T4")</f>
        <v>T3</v>
      </c>
      <c r="E463" s="26" t="s">
        <v>652</v>
      </c>
      <c r="F463" s="27">
        <v>9</v>
      </c>
      <c r="G463" s="23"/>
    </row>
    <row r="464" spans="1:7" x14ac:dyDescent="0.25">
      <c r="A464" s="18" t="s">
        <v>1150</v>
      </c>
      <c r="B464" s="19" t="s">
        <v>1136</v>
      </c>
      <c r="C464" s="20" t="s">
        <v>115</v>
      </c>
      <c r="D464" s="13" t="str">
        <f>IFERROR(VLOOKUP(C464,'📋 City-Tier Master'!$A$4:$B$628,2,0),"T4")</f>
        <v>T2</v>
      </c>
      <c r="E464" s="21" t="s">
        <v>652</v>
      </c>
      <c r="F464" s="22">
        <v>82</v>
      </c>
      <c r="G464" s="23"/>
    </row>
    <row r="465" spans="1:7" x14ac:dyDescent="0.25">
      <c r="A465" s="24" t="s">
        <v>1151</v>
      </c>
      <c r="B465" s="25" t="s">
        <v>1136</v>
      </c>
      <c r="C465" s="20" t="s">
        <v>326</v>
      </c>
      <c r="D465" s="14" t="str">
        <f>IFERROR(VLOOKUP(C465,'📋 City-Tier Master'!$A$4:$B$628,2,0),"T4")</f>
        <v>T3</v>
      </c>
      <c r="E465" s="26" t="s">
        <v>652</v>
      </c>
      <c r="F465" s="27">
        <v>34</v>
      </c>
      <c r="G465" s="23"/>
    </row>
    <row r="466" spans="1:7" x14ac:dyDescent="0.25">
      <c r="A466" s="18" t="s">
        <v>1152</v>
      </c>
      <c r="B466" s="19" t="s">
        <v>1136</v>
      </c>
      <c r="C466" s="20" t="s">
        <v>39</v>
      </c>
      <c r="D466" s="12" t="str">
        <f>IFERROR(VLOOKUP(C466,'📋 City-Tier Master'!$A$4:$B$628,2,0),"T4")</f>
        <v>T1</v>
      </c>
      <c r="E466" s="21" t="s">
        <v>652</v>
      </c>
      <c r="F466" s="22">
        <v>476</v>
      </c>
      <c r="G466" s="23"/>
    </row>
    <row r="467" spans="1:7" x14ac:dyDescent="0.25">
      <c r="A467" s="24" t="s">
        <v>1153</v>
      </c>
      <c r="B467" s="25" t="s">
        <v>1136</v>
      </c>
      <c r="C467" s="20" t="s">
        <v>329</v>
      </c>
      <c r="D467" s="14" t="str">
        <f>IFERROR(VLOOKUP(C467,'📋 City-Tier Master'!$A$4:$B$628,2,0),"T4")</f>
        <v>T3</v>
      </c>
      <c r="E467" s="26" t="s">
        <v>652</v>
      </c>
      <c r="F467" s="27">
        <v>3</v>
      </c>
      <c r="G467" s="23"/>
    </row>
    <row r="468" spans="1:7" x14ac:dyDescent="0.25">
      <c r="A468" s="18" t="s">
        <v>1154</v>
      </c>
      <c r="B468" s="19" t="s">
        <v>1136</v>
      </c>
      <c r="C468" s="20" t="s">
        <v>327</v>
      </c>
      <c r="D468" s="14" t="str">
        <f>IFERROR(VLOOKUP(C468,'📋 City-Tier Master'!$A$4:$B$628,2,0),"T4")</f>
        <v>T3</v>
      </c>
      <c r="E468" s="21" t="s">
        <v>652</v>
      </c>
      <c r="F468" s="22">
        <v>1</v>
      </c>
      <c r="G468" s="23"/>
    </row>
    <row r="469" spans="1:7" x14ac:dyDescent="0.25">
      <c r="A469" s="24" t="s">
        <v>1155</v>
      </c>
      <c r="B469" s="25" t="s">
        <v>1136</v>
      </c>
      <c r="C469" s="20" t="s">
        <v>321</v>
      </c>
      <c r="D469" s="14" t="str">
        <f>IFERROR(VLOOKUP(C469,'📋 City-Tier Master'!$A$4:$B$628,2,0),"T4")</f>
        <v>T3</v>
      </c>
      <c r="E469" s="26" t="s">
        <v>652</v>
      </c>
      <c r="F469" s="27">
        <v>1</v>
      </c>
      <c r="G469" s="23"/>
    </row>
    <row r="470" spans="1:7" x14ac:dyDescent="0.25">
      <c r="A470" s="18" t="s">
        <v>1156</v>
      </c>
      <c r="B470" s="19" t="s">
        <v>1136</v>
      </c>
      <c r="C470" s="20" t="s">
        <v>325</v>
      </c>
      <c r="D470" s="14" t="str">
        <f>IFERROR(VLOOKUP(C470,'📋 City-Tier Master'!$A$4:$B$628,2,0),"T4")</f>
        <v>T3</v>
      </c>
      <c r="E470" s="21" t="s">
        <v>652</v>
      </c>
      <c r="F470" s="22">
        <v>25</v>
      </c>
      <c r="G470" s="23"/>
    </row>
    <row r="471" spans="1:7" x14ac:dyDescent="0.25">
      <c r="A471" s="24" t="s">
        <v>1157</v>
      </c>
      <c r="B471" s="25" t="s">
        <v>1136</v>
      </c>
      <c r="C471" s="20" t="s">
        <v>116</v>
      </c>
      <c r="D471" s="13" t="str">
        <f>IFERROR(VLOOKUP(C471,'📋 City-Tier Master'!$A$4:$B$628,2,0),"T4")</f>
        <v>T2</v>
      </c>
      <c r="E471" s="26" t="s">
        <v>652</v>
      </c>
      <c r="F471" s="27">
        <v>116</v>
      </c>
      <c r="G471" s="23"/>
    </row>
    <row r="472" spans="1:7" x14ac:dyDescent="0.25">
      <c r="A472" s="18" t="s">
        <v>1158</v>
      </c>
      <c r="B472" s="19" t="s">
        <v>1136</v>
      </c>
      <c r="C472" s="20" t="s">
        <v>319</v>
      </c>
      <c r="D472" s="14" t="str">
        <f>IFERROR(VLOOKUP(C472,'📋 City-Tier Master'!$A$4:$B$628,2,0),"T4")</f>
        <v>T3</v>
      </c>
      <c r="E472" s="21" t="s">
        <v>652</v>
      </c>
      <c r="F472" s="22">
        <v>3</v>
      </c>
      <c r="G472" s="23"/>
    </row>
    <row r="473" spans="1:7" x14ac:dyDescent="0.25">
      <c r="A473" s="24" t="s">
        <v>1159</v>
      </c>
      <c r="B473" s="25" t="s">
        <v>1136</v>
      </c>
      <c r="C473" s="20" t="s">
        <v>36</v>
      </c>
      <c r="D473" s="12" t="str">
        <f>IFERROR(VLOOKUP(C473,'📋 City-Tier Master'!$A$4:$B$628,2,0),"T4")</f>
        <v>T1</v>
      </c>
      <c r="E473" s="26" t="s">
        <v>652</v>
      </c>
      <c r="F473" s="27">
        <v>98</v>
      </c>
      <c r="G473" s="23"/>
    </row>
    <row r="474" spans="1:7" x14ac:dyDescent="0.25">
      <c r="A474" s="18" t="s">
        <v>1160</v>
      </c>
      <c r="B474" s="19" t="s">
        <v>1136</v>
      </c>
      <c r="C474" s="20" t="s">
        <v>1161</v>
      </c>
      <c r="D474" s="14" t="str">
        <f>IFERROR(VLOOKUP(C474,'📋 City-Tier Master'!$A$4:$B$628,2,0),"T4")</f>
        <v>T4</v>
      </c>
      <c r="E474" s="21" t="s">
        <v>652</v>
      </c>
      <c r="F474" s="22">
        <v>27</v>
      </c>
      <c r="G474" s="23"/>
    </row>
    <row r="475" spans="1:7" x14ac:dyDescent="0.25">
      <c r="A475" s="24" t="s">
        <v>1162</v>
      </c>
      <c r="B475" s="25" t="s">
        <v>1136</v>
      </c>
      <c r="C475" s="20" t="s">
        <v>110</v>
      </c>
      <c r="D475" s="13" t="str">
        <f>IFERROR(VLOOKUP(C475,'📋 City-Tier Master'!$A$4:$B$628,2,0),"T4")</f>
        <v>T2</v>
      </c>
      <c r="E475" s="26" t="s">
        <v>652</v>
      </c>
      <c r="F475" s="27">
        <v>15</v>
      </c>
      <c r="G475" s="23"/>
    </row>
    <row r="476" spans="1:7" x14ac:dyDescent="0.25">
      <c r="A476" s="18" t="s">
        <v>1163</v>
      </c>
      <c r="B476" s="19" t="s">
        <v>1136</v>
      </c>
      <c r="C476" s="20" t="s">
        <v>1164</v>
      </c>
      <c r="D476" s="14" t="str">
        <f>IFERROR(VLOOKUP(C476,'📋 City-Tier Master'!$A$4:$B$628,2,0),"T4")</f>
        <v>T4</v>
      </c>
      <c r="E476" s="21" t="s">
        <v>652</v>
      </c>
      <c r="F476" s="22">
        <v>1</v>
      </c>
      <c r="G476" s="23"/>
    </row>
    <row r="477" spans="1:7" x14ac:dyDescent="0.25">
      <c r="A477" s="24" t="s">
        <v>1165</v>
      </c>
      <c r="B477" s="25" t="s">
        <v>1136</v>
      </c>
      <c r="C477" s="20" t="s">
        <v>314</v>
      </c>
      <c r="D477" s="14" t="str">
        <f>IFERROR(VLOOKUP(C477,'📋 City-Tier Master'!$A$4:$B$628,2,0),"T4")</f>
        <v>T3</v>
      </c>
      <c r="E477" s="26" t="s">
        <v>652</v>
      </c>
      <c r="F477" s="27">
        <v>9</v>
      </c>
      <c r="G477" s="23"/>
    </row>
    <row r="478" spans="1:7" x14ac:dyDescent="0.25">
      <c r="A478" s="18" t="s">
        <v>1166</v>
      </c>
      <c r="B478" s="19" t="s">
        <v>1136</v>
      </c>
      <c r="C478" s="20" t="s">
        <v>317</v>
      </c>
      <c r="D478" s="14" t="str">
        <f>IFERROR(VLOOKUP(C478,'📋 City-Tier Master'!$A$4:$B$628,2,0),"T4")</f>
        <v>T3</v>
      </c>
      <c r="E478" s="21" t="s">
        <v>652</v>
      </c>
      <c r="F478" s="22">
        <v>14</v>
      </c>
      <c r="G478" s="23"/>
    </row>
    <row r="479" spans="1:7" x14ac:dyDescent="0.25">
      <c r="A479" s="24" t="s">
        <v>1167</v>
      </c>
      <c r="B479" s="25" t="s">
        <v>1136</v>
      </c>
      <c r="C479" s="20" t="s">
        <v>324</v>
      </c>
      <c r="D479" s="14" t="str">
        <f>IFERROR(VLOOKUP(C479,'📋 City-Tier Master'!$A$4:$B$628,2,0),"T4")</f>
        <v>T3</v>
      </c>
      <c r="E479" s="26" t="s">
        <v>652</v>
      </c>
      <c r="F479" s="27">
        <v>61</v>
      </c>
      <c r="G479" s="23"/>
    </row>
    <row r="480" spans="1:7" x14ac:dyDescent="0.25">
      <c r="A480" s="18" t="s">
        <v>1168</v>
      </c>
      <c r="B480" s="19" t="s">
        <v>1136</v>
      </c>
      <c r="C480" s="20" t="s">
        <v>327</v>
      </c>
      <c r="D480" s="14" t="str">
        <f>IFERROR(VLOOKUP(C480,'📋 City-Tier Master'!$A$4:$B$628,2,0),"T4")</f>
        <v>T3</v>
      </c>
      <c r="E480" s="21" t="s">
        <v>652</v>
      </c>
      <c r="F480" s="22">
        <v>4</v>
      </c>
      <c r="G480" s="23"/>
    </row>
    <row r="481" spans="1:7" x14ac:dyDescent="0.25">
      <c r="A481" s="24" t="s">
        <v>1169</v>
      </c>
      <c r="B481" s="25" t="s">
        <v>1136</v>
      </c>
      <c r="C481" s="20" t="s">
        <v>39</v>
      </c>
      <c r="D481" s="12" t="str">
        <f>IFERROR(VLOOKUP(C481,'📋 City-Tier Master'!$A$4:$B$628,2,0),"T4")</f>
        <v>T1</v>
      </c>
      <c r="E481" s="26" t="s">
        <v>652</v>
      </c>
      <c r="F481" s="27">
        <v>13</v>
      </c>
      <c r="G481" s="23"/>
    </row>
    <row r="482" spans="1:7" x14ac:dyDescent="0.25">
      <c r="A482" s="18" t="s">
        <v>1170</v>
      </c>
      <c r="B482" s="19" t="s">
        <v>1136</v>
      </c>
      <c r="C482" s="20" t="s">
        <v>113</v>
      </c>
      <c r="D482" s="13" t="str">
        <f>IFERROR(VLOOKUP(C482,'📋 City-Tier Master'!$A$4:$B$628,2,0),"T4")</f>
        <v>T2</v>
      </c>
      <c r="E482" s="21" t="s">
        <v>652</v>
      </c>
      <c r="F482" s="22">
        <v>134</v>
      </c>
      <c r="G482" s="23"/>
    </row>
    <row r="483" spans="1:7" x14ac:dyDescent="0.25">
      <c r="A483" s="24" t="s">
        <v>1171</v>
      </c>
      <c r="B483" s="25" t="s">
        <v>1172</v>
      </c>
      <c r="C483" s="20" t="s">
        <v>513</v>
      </c>
      <c r="D483" s="14" t="str">
        <f>IFERROR(VLOOKUP(C483,'📋 City-Tier Master'!$A$4:$B$628,2,0),"T4")</f>
        <v>T3</v>
      </c>
      <c r="E483" s="26" t="s">
        <v>652</v>
      </c>
      <c r="F483" s="27">
        <v>36</v>
      </c>
      <c r="G483" s="23"/>
    </row>
    <row r="484" spans="1:7" x14ac:dyDescent="0.25">
      <c r="A484" s="18" t="s">
        <v>1173</v>
      </c>
      <c r="B484" s="19" t="s">
        <v>1172</v>
      </c>
      <c r="C484" s="20" t="s">
        <v>513</v>
      </c>
      <c r="D484" s="14" t="str">
        <f>IFERROR(VLOOKUP(C484,'📋 City-Tier Master'!$A$4:$B$628,2,0),"T4")</f>
        <v>T3</v>
      </c>
      <c r="E484" s="21" t="s">
        <v>652</v>
      </c>
      <c r="F484" s="22">
        <v>6</v>
      </c>
      <c r="G484" s="23"/>
    </row>
    <row r="485" spans="1:7" x14ac:dyDescent="0.25">
      <c r="A485" s="24" t="s">
        <v>1174</v>
      </c>
      <c r="B485" s="25" t="s">
        <v>1172</v>
      </c>
      <c r="C485" s="20" t="s">
        <v>513</v>
      </c>
      <c r="D485" s="14" t="str">
        <f>IFERROR(VLOOKUP(C485,'📋 City-Tier Master'!$A$4:$B$628,2,0),"T4")</f>
        <v>T3</v>
      </c>
      <c r="E485" s="26" t="s">
        <v>652</v>
      </c>
      <c r="F485" s="27">
        <v>2</v>
      </c>
      <c r="G485" s="23"/>
    </row>
    <row r="486" spans="1:7" x14ac:dyDescent="0.25">
      <c r="A486" s="18" t="s">
        <v>1175</v>
      </c>
      <c r="B486" s="19" t="s">
        <v>1176</v>
      </c>
      <c r="C486" s="20" t="s">
        <v>174</v>
      </c>
      <c r="D486" s="13" t="str">
        <f>IFERROR(VLOOKUP(C486,'📋 City-Tier Master'!$A$4:$B$628,2,0),"T4")</f>
        <v>T2</v>
      </c>
      <c r="E486" s="21" t="s">
        <v>652</v>
      </c>
      <c r="F486" s="22">
        <v>1</v>
      </c>
      <c r="G486" s="23"/>
    </row>
    <row r="487" spans="1:7" x14ac:dyDescent="0.25">
      <c r="A487" s="24" t="s">
        <v>1177</v>
      </c>
      <c r="B487" s="25" t="s">
        <v>1176</v>
      </c>
      <c r="C487" s="20" t="s">
        <v>52</v>
      </c>
      <c r="D487" s="12" t="str">
        <f>IFERROR(VLOOKUP(C487,'📋 City-Tier Master'!$A$4:$B$628,2,0),"T4")</f>
        <v>T1</v>
      </c>
      <c r="E487" s="26" t="s">
        <v>652</v>
      </c>
      <c r="F487" s="27">
        <v>162</v>
      </c>
      <c r="G487" s="23"/>
    </row>
    <row r="488" spans="1:7" x14ac:dyDescent="0.25">
      <c r="A488" s="18" t="s">
        <v>1178</v>
      </c>
      <c r="B488" s="19" t="s">
        <v>1176</v>
      </c>
      <c r="C488" s="20" t="s">
        <v>52</v>
      </c>
      <c r="D488" s="12" t="str">
        <f>IFERROR(VLOOKUP(C488,'📋 City-Tier Master'!$A$4:$B$628,2,0),"T4")</f>
        <v>T1</v>
      </c>
      <c r="E488" s="21" t="s">
        <v>652</v>
      </c>
      <c r="F488" s="22">
        <v>652</v>
      </c>
      <c r="G488" s="23"/>
    </row>
    <row r="489" spans="1:7" x14ac:dyDescent="0.25">
      <c r="A489" s="24" t="s">
        <v>1179</v>
      </c>
      <c r="B489" s="25" t="s">
        <v>1176</v>
      </c>
      <c r="C489" s="20" t="s">
        <v>178</v>
      </c>
      <c r="D489" s="13" t="str">
        <f>IFERROR(VLOOKUP(C489,'📋 City-Tier Master'!$A$4:$B$628,2,0),"T4")</f>
        <v>T2</v>
      </c>
      <c r="E489" s="26" t="s">
        <v>652</v>
      </c>
      <c r="F489" s="27">
        <v>274</v>
      </c>
      <c r="G489" s="23"/>
    </row>
    <row r="490" spans="1:7" x14ac:dyDescent="0.25">
      <c r="A490" s="18" t="s">
        <v>1180</v>
      </c>
      <c r="B490" s="19" t="s">
        <v>1176</v>
      </c>
      <c r="C490" s="20" t="s">
        <v>463</v>
      </c>
      <c r="D490" s="14" t="str">
        <f>IFERROR(VLOOKUP(C490,'📋 City-Tier Master'!$A$4:$B$628,2,0),"T4")</f>
        <v>T3</v>
      </c>
      <c r="E490" s="21" t="s">
        <v>652</v>
      </c>
      <c r="F490" s="22">
        <v>16</v>
      </c>
      <c r="G490" s="23"/>
    </row>
    <row r="491" spans="1:7" x14ac:dyDescent="0.25">
      <c r="A491" s="24" t="s">
        <v>1181</v>
      </c>
      <c r="B491" s="25" t="s">
        <v>1176</v>
      </c>
      <c r="C491" s="20" t="s">
        <v>477</v>
      </c>
      <c r="D491" s="14" t="str">
        <f>IFERROR(VLOOKUP(C491,'📋 City-Tier Master'!$A$4:$B$628,2,0),"T4")</f>
        <v>T3</v>
      </c>
      <c r="E491" s="26" t="s">
        <v>652</v>
      </c>
      <c r="F491" s="27">
        <v>14</v>
      </c>
      <c r="G491" s="23"/>
    </row>
    <row r="492" spans="1:7" x14ac:dyDescent="0.25">
      <c r="A492" s="18" t="s">
        <v>1182</v>
      </c>
      <c r="B492" s="19" t="s">
        <v>1176</v>
      </c>
      <c r="C492" s="20" t="s">
        <v>467</v>
      </c>
      <c r="D492" s="14" t="str">
        <f>IFERROR(VLOOKUP(C492,'📋 City-Tier Master'!$A$4:$B$628,2,0),"T4")</f>
        <v>T3</v>
      </c>
      <c r="E492" s="29" t="s">
        <v>735</v>
      </c>
      <c r="F492" s="22">
        <v>25</v>
      </c>
      <c r="G492" s="23"/>
    </row>
    <row r="493" spans="1:7" x14ac:dyDescent="0.25">
      <c r="A493" s="24" t="s">
        <v>1183</v>
      </c>
      <c r="B493" s="25" t="s">
        <v>1176</v>
      </c>
      <c r="C493" s="20" t="s">
        <v>478</v>
      </c>
      <c r="D493" s="14" t="str">
        <f>IFERROR(VLOOKUP(C493,'📋 City-Tier Master'!$A$4:$B$628,2,0),"T4")</f>
        <v>T3</v>
      </c>
      <c r="E493" s="26" t="s">
        <v>652</v>
      </c>
      <c r="F493" s="27">
        <v>64</v>
      </c>
      <c r="G493" s="23"/>
    </row>
    <row r="494" spans="1:7" x14ac:dyDescent="0.25">
      <c r="A494" s="18" t="s">
        <v>1184</v>
      </c>
      <c r="B494" s="19" t="s">
        <v>1176</v>
      </c>
      <c r="C494" s="20" t="s">
        <v>177</v>
      </c>
      <c r="D494" s="13" t="str">
        <f>IFERROR(VLOOKUP(C494,'📋 City-Tier Master'!$A$4:$B$628,2,0),"T4")</f>
        <v>T2</v>
      </c>
      <c r="E494" s="21" t="s">
        <v>652</v>
      </c>
      <c r="F494" s="22">
        <v>5</v>
      </c>
      <c r="G494" s="23"/>
    </row>
    <row r="495" spans="1:7" x14ac:dyDescent="0.25">
      <c r="A495" s="24" t="s">
        <v>1185</v>
      </c>
      <c r="B495" s="25" t="s">
        <v>1176</v>
      </c>
      <c r="C495" s="20" t="s">
        <v>474</v>
      </c>
      <c r="D495" s="14" t="str">
        <f>IFERROR(VLOOKUP(C495,'📋 City-Tier Master'!$A$4:$B$628,2,0),"T4")</f>
        <v>T3</v>
      </c>
      <c r="E495" s="26" t="s">
        <v>652</v>
      </c>
      <c r="F495" s="27">
        <v>18</v>
      </c>
      <c r="G495" s="23"/>
    </row>
    <row r="496" spans="1:7" x14ac:dyDescent="0.25">
      <c r="A496" s="18" t="s">
        <v>1186</v>
      </c>
      <c r="B496" s="19" t="s">
        <v>1176</v>
      </c>
      <c r="C496" s="20" t="s">
        <v>472</v>
      </c>
      <c r="D496" s="14" t="str">
        <f>IFERROR(VLOOKUP(C496,'📋 City-Tier Master'!$A$4:$B$628,2,0),"T4")</f>
        <v>T3</v>
      </c>
      <c r="E496" s="21" t="s">
        <v>652</v>
      </c>
      <c r="F496" s="22">
        <v>29</v>
      </c>
      <c r="G496" s="23"/>
    </row>
    <row r="497" spans="1:7" x14ac:dyDescent="0.25">
      <c r="A497" s="24" t="s">
        <v>1187</v>
      </c>
      <c r="B497" s="25" t="s">
        <v>1176</v>
      </c>
      <c r="C497" s="20" t="s">
        <v>479</v>
      </c>
      <c r="D497" s="14" t="str">
        <f>IFERROR(VLOOKUP(C497,'📋 City-Tier Master'!$A$4:$B$628,2,0),"T4")</f>
        <v>T3</v>
      </c>
      <c r="E497" s="28" t="s">
        <v>735</v>
      </c>
      <c r="F497" s="27">
        <v>10</v>
      </c>
      <c r="G497" s="23"/>
    </row>
    <row r="498" spans="1:7" x14ac:dyDescent="0.25">
      <c r="A498" s="18" t="s">
        <v>1188</v>
      </c>
      <c r="B498" s="19" t="s">
        <v>1176</v>
      </c>
      <c r="C498" s="20" t="s">
        <v>475</v>
      </c>
      <c r="D498" s="14" t="str">
        <f>IFERROR(VLOOKUP(C498,'📋 City-Tier Master'!$A$4:$B$628,2,0),"T4")</f>
        <v>T3</v>
      </c>
      <c r="E498" s="21" t="s">
        <v>652</v>
      </c>
      <c r="F498" s="22">
        <v>27</v>
      </c>
      <c r="G498" s="23"/>
    </row>
    <row r="499" spans="1:7" x14ac:dyDescent="0.25">
      <c r="A499" s="24" t="s">
        <v>1189</v>
      </c>
      <c r="B499" s="25" t="s">
        <v>1176</v>
      </c>
      <c r="C499" s="20" t="s">
        <v>175</v>
      </c>
      <c r="D499" s="13" t="str">
        <f>IFERROR(VLOOKUP(C499,'📋 City-Tier Master'!$A$4:$B$628,2,0),"T4")</f>
        <v>T2</v>
      </c>
      <c r="E499" s="26" t="s">
        <v>652</v>
      </c>
      <c r="F499" s="27">
        <v>100</v>
      </c>
      <c r="G499" s="23"/>
    </row>
    <row r="500" spans="1:7" x14ac:dyDescent="0.25">
      <c r="A500" s="18" t="s">
        <v>1190</v>
      </c>
      <c r="B500" s="19" t="s">
        <v>1176</v>
      </c>
      <c r="C500" s="20" t="s">
        <v>466</v>
      </c>
      <c r="D500" s="14" t="str">
        <f>IFERROR(VLOOKUP(C500,'📋 City-Tier Master'!$A$4:$B$628,2,0),"T4")</f>
        <v>T3</v>
      </c>
      <c r="E500" s="21" t="s">
        <v>652</v>
      </c>
      <c r="F500" s="22">
        <v>4</v>
      </c>
      <c r="G500" s="23"/>
    </row>
    <row r="501" spans="1:7" x14ac:dyDescent="0.25">
      <c r="A501" s="24" t="s">
        <v>1191</v>
      </c>
      <c r="B501" s="25" t="s">
        <v>1176</v>
      </c>
      <c r="C501" s="20" t="s">
        <v>177</v>
      </c>
      <c r="D501" s="13" t="str">
        <f>IFERROR(VLOOKUP(C501,'📋 City-Tier Master'!$A$4:$B$628,2,0),"T4")</f>
        <v>T2</v>
      </c>
      <c r="E501" s="26" t="s">
        <v>652</v>
      </c>
      <c r="F501" s="27">
        <v>18</v>
      </c>
      <c r="G501" s="23"/>
    </row>
    <row r="502" spans="1:7" x14ac:dyDescent="0.25">
      <c r="A502" s="18" t="s">
        <v>1192</v>
      </c>
      <c r="B502" s="19" t="s">
        <v>1176</v>
      </c>
      <c r="C502" s="20" t="s">
        <v>174</v>
      </c>
      <c r="D502" s="13" t="str">
        <f>IFERROR(VLOOKUP(C502,'📋 City-Tier Master'!$A$4:$B$628,2,0),"T4")</f>
        <v>T2</v>
      </c>
      <c r="E502" s="21" t="s">
        <v>652</v>
      </c>
      <c r="F502" s="22">
        <v>5</v>
      </c>
      <c r="G502" s="23"/>
    </row>
    <row r="503" spans="1:7" x14ac:dyDescent="0.25">
      <c r="A503" s="24" t="s">
        <v>1193</v>
      </c>
      <c r="B503" s="25" t="s">
        <v>1176</v>
      </c>
      <c r="C503" s="20" t="s">
        <v>175</v>
      </c>
      <c r="D503" s="13" t="str">
        <f>IFERROR(VLOOKUP(C503,'📋 City-Tier Master'!$A$4:$B$628,2,0),"T4")</f>
        <v>T2</v>
      </c>
      <c r="E503" s="26" t="s">
        <v>652</v>
      </c>
      <c r="F503" s="27">
        <v>8</v>
      </c>
      <c r="G503" s="23"/>
    </row>
    <row r="504" spans="1:7" x14ac:dyDescent="0.25">
      <c r="A504" s="18" t="s">
        <v>1194</v>
      </c>
      <c r="B504" s="19" t="s">
        <v>1176</v>
      </c>
      <c r="C504" s="20" t="s">
        <v>280</v>
      </c>
      <c r="D504" s="14" t="str">
        <f>IFERROR(VLOOKUP(C504,'📋 City-Tier Master'!$A$4:$B$628,2,0),"T4")</f>
        <v>T3</v>
      </c>
      <c r="E504" s="21" t="s">
        <v>876</v>
      </c>
      <c r="F504" s="22">
        <v>7</v>
      </c>
      <c r="G504" s="23"/>
    </row>
    <row r="505" spans="1:7" x14ac:dyDescent="0.25">
      <c r="A505" s="24" t="s">
        <v>1195</v>
      </c>
      <c r="B505" s="25" t="s">
        <v>1176</v>
      </c>
      <c r="C505" s="20" t="s">
        <v>176</v>
      </c>
      <c r="D505" s="13" t="str">
        <f>IFERROR(VLOOKUP(C505,'📋 City-Tier Master'!$A$4:$B$628,2,0),"T4")</f>
        <v>T2</v>
      </c>
      <c r="E505" s="26" t="s">
        <v>652</v>
      </c>
      <c r="F505" s="27">
        <v>6</v>
      </c>
      <c r="G505" s="23"/>
    </row>
    <row r="506" spans="1:7" x14ac:dyDescent="0.25">
      <c r="A506" s="18" t="s">
        <v>1196</v>
      </c>
      <c r="B506" s="19" t="s">
        <v>1176</v>
      </c>
      <c r="C506" s="20" t="s">
        <v>177</v>
      </c>
      <c r="D506" s="13" t="str">
        <f>IFERROR(VLOOKUP(C506,'📋 City-Tier Master'!$A$4:$B$628,2,0),"T4")</f>
        <v>T2</v>
      </c>
      <c r="E506" s="21" t="s">
        <v>652</v>
      </c>
      <c r="F506" s="22">
        <v>67</v>
      </c>
      <c r="G506" s="23"/>
    </row>
    <row r="507" spans="1:7" x14ac:dyDescent="0.25">
      <c r="A507" s="24" t="s">
        <v>1197</v>
      </c>
      <c r="B507" s="25" t="s">
        <v>1176</v>
      </c>
      <c r="C507" s="20" t="s">
        <v>175</v>
      </c>
      <c r="D507" s="13" t="str">
        <f>IFERROR(VLOOKUP(C507,'📋 City-Tier Master'!$A$4:$B$628,2,0),"T4")</f>
        <v>T2</v>
      </c>
      <c r="E507" s="26" t="s">
        <v>652</v>
      </c>
      <c r="F507" s="27">
        <v>18</v>
      </c>
      <c r="G507" s="23"/>
    </row>
    <row r="508" spans="1:7" x14ac:dyDescent="0.25">
      <c r="A508" s="18" t="s">
        <v>1198</v>
      </c>
      <c r="B508" s="19" t="s">
        <v>1176</v>
      </c>
      <c r="C508" s="20" t="s">
        <v>470</v>
      </c>
      <c r="D508" s="14" t="str">
        <f>IFERROR(VLOOKUP(C508,'📋 City-Tier Master'!$A$4:$B$628,2,0),"T4")</f>
        <v>T3</v>
      </c>
      <c r="E508" s="21" t="s">
        <v>652</v>
      </c>
      <c r="F508" s="22">
        <v>6</v>
      </c>
      <c r="G508" s="23"/>
    </row>
    <row r="509" spans="1:7" x14ac:dyDescent="0.25">
      <c r="A509" s="24" t="s">
        <v>1199</v>
      </c>
      <c r="B509" s="25" t="s">
        <v>1176</v>
      </c>
      <c r="C509" s="20" t="s">
        <v>466</v>
      </c>
      <c r="D509" s="14" t="str">
        <f>IFERROR(VLOOKUP(C509,'📋 City-Tier Master'!$A$4:$B$628,2,0),"T4")</f>
        <v>T3</v>
      </c>
      <c r="E509" s="26" t="s">
        <v>652</v>
      </c>
      <c r="F509" s="27">
        <v>44</v>
      </c>
      <c r="G509" s="23"/>
    </row>
    <row r="510" spans="1:7" x14ac:dyDescent="0.25">
      <c r="A510" s="18" t="s">
        <v>1200</v>
      </c>
      <c r="B510" s="19" t="s">
        <v>1176</v>
      </c>
      <c r="C510" s="20" t="s">
        <v>178</v>
      </c>
      <c r="D510" s="13" t="str">
        <f>IFERROR(VLOOKUP(C510,'📋 City-Tier Master'!$A$4:$B$628,2,0),"T4")</f>
        <v>T2</v>
      </c>
      <c r="E510" s="21" t="s">
        <v>652</v>
      </c>
      <c r="F510" s="22">
        <v>11</v>
      </c>
      <c r="G510" s="23"/>
    </row>
    <row r="511" spans="1:7" x14ac:dyDescent="0.25">
      <c r="A511" s="24" t="s">
        <v>1201</v>
      </c>
      <c r="B511" s="25" t="s">
        <v>1176</v>
      </c>
      <c r="C511" s="20" t="s">
        <v>175</v>
      </c>
      <c r="D511" s="13" t="str">
        <f>IFERROR(VLOOKUP(C511,'📋 City-Tier Master'!$A$4:$B$628,2,0),"T4")</f>
        <v>T2</v>
      </c>
      <c r="E511" s="26" t="s">
        <v>652</v>
      </c>
      <c r="F511" s="27">
        <v>10</v>
      </c>
      <c r="G511" s="23"/>
    </row>
    <row r="512" spans="1:7" x14ac:dyDescent="0.25">
      <c r="A512" s="18" t="s">
        <v>1202</v>
      </c>
      <c r="B512" s="19" t="s">
        <v>1176</v>
      </c>
      <c r="C512" s="20" t="s">
        <v>52</v>
      </c>
      <c r="D512" s="12" t="str">
        <f>IFERROR(VLOOKUP(C512,'📋 City-Tier Master'!$A$4:$B$628,2,0),"T4")</f>
        <v>T1</v>
      </c>
      <c r="E512" s="21" t="s">
        <v>652</v>
      </c>
      <c r="F512" s="22">
        <v>73</v>
      </c>
      <c r="G512" s="23"/>
    </row>
    <row r="513" spans="1:7" x14ac:dyDescent="0.25">
      <c r="A513" s="24" t="s">
        <v>1203</v>
      </c>
      <c r="B513" s="25" t="s">
        <v>1176</v>
      </c>
      <c r="C513" s="20" t="s">
        <v>466</v>
      </c>
      <c r="D513" s="14" t="str">
        <f>IFERROR(VLOOKUP(C513,'📋 City-Tier Master'!$A$4:$B$628,2,0),"T4")</f>
        <v>T3</v>
      </c>
      <c r="E513" s="26" t="s">
        <v>652</v>
      </c>
      <c r="F513" s="27">
        <v>1</v>
      </c>
      <c r="G513" s="23"/>
    </row>
    <row r="514" spans="1:7" x14ac:dyDescent="0.25">
      <c r="A514" s="18" t="s">
        <v>1204</v>
      </c>
      <c r="B514" s="19" t="s">
        <v>1176</v>
      </c>
      <c r="C514" s="20" t="s">
        <v>174</v>
      </c>
      <c r="D514" s="13" t="str">
        <f>IFERROR(VLOOKUP(C514,'📋 City-Tier Master'!$A$4:$B$628,2,0),"T4")</f>
        <v>T2</v>
      </c>
      <c r="E514" s="21" t="s">
        <v>652</v>
      </c>
      <c r="F514" s="22">
        <v>89</v>
      </c>
      <c r="G514" s="23"/>
    </row>
    <row r="515" spans="1:7" x14ac:dyDescent="0.25">
      <c r="A515" s="24" t="s">
        <v>1205</v>
      </c>
      <c r="B515" s="25" t="s">
        <v>1176</v>
      </c>
      <c r="C515" s="20" t="s">
        <v>470</v>
      </c>
      <c r="D515" s="14" t="str">
        <f>IFERROR(VLOOKUP(C515,'📋 City-Tier Master'!$A$4:$B$628,2,0),"T4")</f>
        <v>T3</v>
      </c>
      <c r="E515" s="26" t="s">
        <v>652</v>
      </c>
      <c r="F515" s="27">
        <v>25</v>
      </c>
      <c r="G515" s="23"/>
    </row>
    <row r="516" spans="1:7" x14ac:dyDescent="0.25">
      <c r="A516" s="18" t="s">
        <v>1206</v>
      </c>
      <c r="B516" s="19" t="s">
        <v>1176</v>
      </c>
      <c r="C516" s="20" t="s">
        <v>478</v>
      </c>
      <c r="D516" s="14" t="str">
        <f>IFERROR(VLOOKUP(C516,'📋 City-Tier Master'!$A$4:$B$628,2,0),"T4")</f>
        <v>T3</v>
      </c>
      <c r="E516" s="21" t="s">
        <v>652</v>
      </c>
      <c r="F516" s="22">
        <v>59</v>
      </c>
      <c r="G516" s="23"/>
    </row>
    <row r="517" spans="1:7" x14ac:dyDescent="0.25">
      <c r="A517" s="24" t="s">
        <v>1207</v>
      </c>
      <c r="B517" s="25" t="s">
        <v>1176</v>
      </c>
      <c r="C517" s="20" t="s">
        <v>176</v>
      </c>
      <c r="D517" s="13" t="str">
        <f>IFERROR(VLOOKUP(C517,'📋 City-Tier Master'!$A$4:$B$628,2,0),"T4")</f>
        <v>T2</v>
      </c>
      <c r="E517" s="26" t="s">
        <v>652</v>
      </c>
      <c r="F517" s="27">
        <v>16</v>
      </c>
      <c r="G517" s="23"/>
    </row>
    <row r="518" spans="1:7" x14ac:dyDescent="0.25">
      <c r="A518" s="18" t="s">
        <v>1208</v>
      </c>
      <c r="B518" s="19" t="s">
        <v>1176</v>
      </c>
      <c r="C518" s="20" t="s">
        <v>471</v>
      </c>
      <c r="D518" s="14" t="str">
        <f>IFERROR(VLOOKUP(C518,'📋 City-Tier Master'!$A$4:$B$628,2,0),"T4")</f>
        <v>T3</v>
      </c>
      <c r="E518" s="21" t="s">
        <v>652</v>
      </c>
      <c r="F518" s="22">
        <v>18</v>
      </c>
      <c r="G518" s="23"/>
    </row>
    <row r="519" spans="1:7" x14ac:dyDescent="0.25">
      <c r="A519" s="24" t="s">
        <v>1209</v>
      </c>
      <c r="B519" s="25" t="s">
        <v>1176</v>
      </c>
      <c r="C519" s="20" t="s">
        <v>176</v>
      </c>
      <c r="D519" s="13" t="str">
        <f>IFERROR(VLOOKUP(C519,'📋 City-Tier Master'!$A$4:$B$628,2,0),"T4")</f>
        <v>T2</v>
      </c>
      <c r="E519" s="26" t="s">
        <v>652</v>
      </c>
      <c r="F519" s="27">
        <v>6</v>
      </c>
      <c r="G519" s="23"/>
    </row>
    <row r="520" spans="1:7" x14ac:dyDescent="0.25">
      <c r="A520" s="18" t="s">
        <v>1210</v>
      </c>
      <c r="B520" s="19" t="s">
        <v>1176</v>
      </c>
      <c r="C520" s="20" t="s">
        <v>176</v>
      </c>
      <c r="D520" s="13" t="str">
        <f>IFERROR(VLOOKUP(C520,'📋 City-Tier Master'!$A$4:$B$628,2,0),"T4")</f>
        <v>T2</v>
      </c>
      <c r="E520" s="21" t="s">
        <v>652</v>
      </c>
      <c r="F520" s="22">
        <v>41</v>
      </c>
      <c r="G520" s="23"/>
    </row>
    <row r="521" spans="1:7" x14ac:dyDescent="0.25">
      <c r="A521" s="24" t="s">
        <v>1211</v>
      </c>
      <c r="B521" s="25" t="s">
        <v>1176</v>
      </c>
      <c r="C521" s="20" t="s">
        <v>463</v>
      </c>
      <c r="D521" s="14" t="str">
        <f>IFERROR(VLOOKUP(C521,'📋 City-Tier Master'!$A$4:$B$628,2,0),"T4")</f>
        <v>T3</v>
      </c>
      <c r="E521" s="26" t="s">
        <v>652</v>
      </c>
      <c r="F521" s="27">
        <v>7</v>
      </c>
      <c r="G521" s="23"/>
    </row>
    <row r="522" spans="1:7" x14ac:dyDescent="0.25">
      <c r="A522" s="18" t="s">
        <v>1212</v>
      </c>
      <c r="B522" s="19" t="s">
        <v>1176</v>
      </c>
      <c r="C522" s="20" t="s">
        <v>248</v>
      </c>
      <c r="D522" s="14" t="str">
        <f>IFERROR(VLOOKUP(C522,'📋 City-Tier Master'!$A$4:$B$628,2,0),"T4")</f>
        <v>T3</v>
      </c>
      <c r="E522" s="21" t="s">
        <v>876</v>
      </c>
      <c r="F522" s="22">
        <v>13</v>
      </c>
      <c r="G522" s="23"/>
    </row>
    <row r="523" spans="1:7" x14ac:dyDescent="0.25">
      <c r="A523" s="24" t="s">
        <v>1213</v>
      </c>
      <c r="B523" s="25" t="s">
        <v>1214</v>
      </c>
      <c r="C523" s="20" t="s">
        <v>430</v>
      </c>
      <c r="D523" s="14" t="str">
        <f>IFERROR(VLOOKUP(C523,'📋 City-Tier Master'!$A$4:$B$628,2,0),"T4")</f>
        <v>T3</v>
      </c>
      <c r="E523" s="26" t="s">
        <v>652</v>
      </c>
      <c r="F523" s="27">
        <v>9</v>
      </c>
      <c r="G523" s="23"/>
    </row>
    <row r="524" spans="1:7" x14ac:dyDescent="0.25">
      <c r="A524" s="18" t="s">
        <v>1215</v>
      </c>
      <c r="B524" s="19" t="s">
        <v>1214</v>
      </c>
      <c r="C524" s="20" t="s">
        <v>434</v>
      </c>
      <c r="D524" s="14" t="str">
        <f>IFERROR(VLOOKUP(C524,'📋 City-Tier Master'!$A$4:$B$628,2,0),"T4")</f>
        <v>T3</v>
      </c>
      <c r="E524" s="21" t="s">
        <v>652</v>
      </c>
      <c r="F524" s="22">
        <v>11</v>
      </c>
      <c r="G524" s="23"/>
    </row>
    <row r="525" spans="1:7" x14ac:dyDescent="0.25">
      <c r="A525" s="24" t="s">
        <v>1216</v>
      </c>
      <c r="B525" s="25" t="s">
        <v>1214</v>
      </c>
      <c r="C525" s="20" t="s">
        <v>49</v>
      </c>
      <c r="D525" s="12" t="str">
        <f>IFERROR(VLOOKUP(C525,'📋 City-Tier Master'!$A$4:$B$628,2,0),"T4")</f>
        <v>T1</v>
      </c>
      <c r="E525" s="26" t="s">
        <v>652</v>
      </c>
      <c r="F525" s="27">
        <v>69</v>
      </c>
      <c r="G525" s="23"/>
    </row>
    <row r="526" spans="1:7" x14ac:dyDescent="0.25">
      <c r="A526" s="18" t="s">
        <v>1217</v>
      </c>
      <c r="B526" s="19" t="s">
        <v>1214</v>
      </c>
      <c r="C526" s="20" t="s">
        <v>46</v>
      </c>
      <c r="D526" s="12" t="str">
        <f>IFERROR(VLOOKUP(C526,'📋 City-Tier Master'!$A$4:$B$628,2,0),"T4")</f>
        <v>T1</v>
      </c>
      <c r="E526" s="21" t="s">
        <v>652</v>
      </c>
      <c r="F526" s="22">
        <v>677</v>
      </c>
      <c r="G526" s="23"/>
    </row>
    <row r="527" spans="1:7" x14ac:dyDescent="0.25">
      <c r="A527" s="24" t="s">
        <v>1218</v>
      </c>
      <c r="B527" s="25" t="s">
        <v>1214</v>
      </c>
      <c r="C527" s="20" t="s">
        <v>438</v>
      </c>
      <c r="D527" s="14" t="str">
        <f>IFERROR(VLOOKUP(C527,'📋 City-Tier Master'!$A$4:$B$628,2,0),"T4")</f>
        <v>T3</v>
      </c>
      <c r="E527" s="26" t="s">
        <v>652</v>
      </c>
      <c r="F527" s="27">
        <v>3</v>
      </c>
      <c r="G527" s="23"/>
    </row>
    <row r="528" spans="1:7" x14ac:dyDescent="0.25">
      <c r="A528" s="18" t="s">
        <v>1219</v>
      </c>
      <c r="B528" s="19" t="s">
        <v>1214</v>
      </c>
      <c r="C528" s="20" t="s">
        <v>147</v>
      </c>
      <c r="D528" s="13" t="str">
        <f>IFERROR(VLOOKUP(C528,'📋 City-Tier Master'!$A$4:$B$628,2,0),"T4")</f>
        <v>T2</v>
      </c>
      <c r="E528" s="21" t="s">
        <v>652</v>
      </c>
      <c r="F528" s="22">
        <v>6</v>
      </c>
      <c r="G528" s="23"/>
    </row>
    <row r="529" spans="1:7" x14ac:dyDescent="0.25">
      <c r="A529" s="24" t="s">
        <v>1220</v>
      </c>
      <c r="B529" s="25" t="s">
        <v>1214</v>
      </c>
      <c r="C529" s="20" t="s">
        <v>107</v>
      </c>
      <c r="D529" s="13" t="str">
        <f>IFERROR(VLOOKUP(C529,'📋 City-Tier Master'!$A$4:$B$628,2,0),"T4")</f>
        <v>T2</v>
      </c>
      <c r="E529" s="26" t="s">
        <v>652</v>
      </c>
      <c r="F529" s="27">
        <v>7</v>
      </c>
      <c r="G529" s="23"/>
    </row>
    <row r="530" spans="1:7" x14ac:dyDescent="0.25">
      <c r="A530" s="18" t="s">
        <v>1221</v>
      </c>
      <c r="B530" s="19" t="s">
        <v>1214</v>
      </c>
      <c r="C530" s="20" t="s">
        <v>147</v>
      </c>
      <c r="D530" s="13" t="str">
        <f>IFERROR(VLOOKUP(C530,'📋 City-Tier Master'!$A$4:$B$628,2,0),"T4")</f>
        <v>T2</v>
      </c>
      <c r="E530" s="21" t="s">
        <v>652</v>
      </c>
      <c r="F530" s="22">
        <v>42</v>
      </c>
      <c r="G530" s="23"/>
    </row>
    <row r="531" spans="1:7" x14ac:dyDescent="0.25">
      <c r="A531" s="24" t="s">
        <v>1222</v>
      </c>
      <c r="B531" s="25" t="s">
        <v>1214</v>
      </c>
      <c r="C531" s="20" t="s">
        <v>148</v>
      </c>
      <c r="D531" s="13" t="str">
        <f>IFERROR(VLOOKUP(C531,'📋 City-Tier Master'!$A$4:$B$628,2,0),"T4")</f>
        <v>T2</v>
      </c>
      <c r="E531" s="26" t="s">
        <v>652</v>
      </c>
      <c r="F531" s="27">
        <v>35</v>
      </c>
      <c r="G531" s="23"/>
    </row>
    <row r="532" spans="1:7" x14ac:dyDescent="0.25">
      <c r="A532" s="18" t="s">
        <v>1223</v>
      </c>
      <c r="B532" s="19" t="s">
        <v>1214</v>
      </c>
      <c r="C532" s="20" t="s">
        <v>430</v>
      </c>
      <c r="D532" s="14" t="str">
        <f>IFERROR(VLOOKUP(C532,'📋 City-Tier Master'!$A$4:$B$628,2,0),"T4")</f>
        <v>T3</v>
      </c>
      <c r="E532" s="21" t="s">
        <v>652</v>
      </c>
      <c r="F532" s="22">
        <v>2</v>
      </c>
      <c r="G532" s="23"/>
    </row>
    <row r="533" spans="1:7" x14ac:dyDescent="0.25">
      <c r="A533" s="24" t="s">
        <v>1224</v>
      </c>
      <c r="B533" s="25" t="s">
        <v>1214</v>
      </c>
      <c r="C533" s="20" t="s">
        <v>148</v>
      </c>
      <c r="D533" s="13" t="str">
        <f>IFERROR(VLOOKUP(C533,'📋 City-Tier Master'!$A$4:$B$628,2,0),"T4")</f>
        <v>T2</v>
      </c>
      <c r="E533" s="26" t="s">
        <v>652</v>
      </c>
      <c r="F533" s="27">
        <v>2</v>
      </c>
      <c r="G533" s="23"/>
    </row>
    <row r="534" spans="1:7" x14ac:dyDescent="0.25">
      <c r="A534" s="18" t="s">
        <v>1225</v>
      </c>
      <c r="B534" s="19" t="s">
        <v>1214</v>
      </c>
      <c r="C534" s="20" t="s">
        <v>438</v>
      </c>
      <c r="D534" s="14" t="str">
        <f>IFERROR(VLOOKUP(C534,'📋 City-Tier Master'!$A$4:$B$628,2,0),"T4")</f>
        <v>T3</v>
      </c>
      <c r="E534" s="21" t="s">
        <v>652</v>
      </c>
      <c r="F534" s="22">
        <v>14</v>
      </c>
      <c r="G534" s="23"/>
    </row>
    <row r="535" spans="1:7" x14ac:dyDescent="0.25">
      <c r="A535" s="24" t="s">
        <v>1226</v>
      </c>
      <c r="B535" s="25" t="s">
        <v>1214</v>
      </c>
      <c r="C535" s="20" t="s">
        <v>430</v>
      </c>
      <c r="D535" s="14" t="str">
        <f>IFERROR(VLOOKUP(C535,'📋 City-Tier Master'!$A$4:$B$628,2,0),"T4")</f>
        <v>T3</v>
      </c>
      <c r="E535" s="26" t="s">
        <v>652</v>
      </c>
      <c r="F535" s="27">
        <v>19</v>
      </c>
      <c r="G535" s="23"/>
    </row>
    <row r="536" spans="1:7" x14ac:dyDescent="0.25">
      <c r="A536" s="18" t="s">
        <v>1227</v>
      </c>
      <c r="B536" s="19" t="s">
        <v>1214</v>
      </c>
      <c r="C536" s="20" t="s">
        <v>429</v>
      </c>
      <c r="D536" s="14" t="str">
        <f>IFERROR(VLOOKUP(C536,'📋 City-Tier Master'!$A$4:$B$628,2,0),"T4")</f>
        <v>T3</v>
      </c>
      <c r="E536" s="21" t="s">
        <v>652</v>
      </c>
      <c r="F536" s="22">
        <v>2</v>
      </c>
      <c r="G536" s="23"/>
    </row>
    <row r="537" spans="1:7" x14ac:dyDescent="0.25">
      <c r="A537" s="24" t="s">
        <v>1228</v>
      </c>
      <c r="B537" s="25" t="s">
        <v>1214</v>
      </c>
      <c r="C537" s="20" t="s">
        <v>46</v>
      </c>
      <c r="D537" s="12" t="str">
        <f>IFERROR(VLOOKUP(C537,'📋 City-Tier Master'!$A$4:$B$628,2,0),"T4")</f>
        <v>T1</v>
      </c>
      <c r="E537" s="26" t="s">
        <v>652</v>
      </c>
      <c r="F537" s="27">
        <v>330</v>
      </c>
      <c r="G537" s="23"/>
    </row>
    <row r="538" spans="1:7" x14ac:dyDescent="0.25">
      <c r="A538" s="18" t="s">
        <v>1229</v>
      </c>
      <c r="B538" s="19" t="s">
        <v>1214</v>
      </c>
      <c r="C538" s="20" t="s">
        <v>152</v>
      </c>
      <c r="D538" s="13" t="str">
        <f>IFERROR(VLOOKUP(C538,'📋 City-Tier Master'!$A$4:$B$628,2,0),"T4")</f>
        <v>T2</v>
      </c>
      <c r="E538" s="21" t="s">
        <v>876</v>
      </c>
      <c r="F538" s="22">
        <v>5</v>
      </c>
      <c r="G538" s="23"/>
    </row>
    <row r="539" spans="1:7" x14ac:dyDescent="0.25">
      <c r="A539" s="24" t="s">
        <v>1230</v>
      </c>
      <c r="B539" s="25" t="s">
        <v>1214</v>
      </c>
      <c r="C539" s="20" t="s">
        <v>435</v>
      </c>
      <c r="D539" s="14" t="str">
        <f>IFERROR(VLOOKUP(C539,'📋 City-Tier Master'!$A$4:$B$628,2,0),"T4")</f>
        <v>T3</v>
      </c>
      <c r="E539" s="26" t="s">
        <v>652</v>
      </c>
      <c r="F539" s="27">
        <v>24</v>
      </c>
      <c r="G539" s="23"/>
    </row>
    <row r="540" spans="1:7" x14ac:dyDescent="0.25">
      <c r="A540" s="18" t="s">
        <v>1231</v>
      </c>
      <c r="B540" s="19" t="s">
        <v>1214</v>
      </c>
      <c r="C540" s="20" t="s">
        <v>107</v>
      </c>
      <c r="D540" s="13" t="str">
        <f>IFERROR(VLOOKUP(C540,'📋 City-Tier Master'!$A$4:$B$628,2,0),"T4")</f>
        <v>T2</v>
      </c>
      <c r="E540" s="21" t="s">
        <v>652</v>
      </c>
      <c r="F540" s="22">
        <v>46</v>
      </c>
      <c r="G540" s="23"/>
    </row>
    <row r="541" spans="1:7" x14ac:dyDescent="0.25">
      <c r="A541" s="24" t="s">
        <v>1232</v>
      </c>
      <c r="B541" s="25" t="s">
        <v>1214</v>
      </c>
      <c r="C541" s="20" t="s">
        <v>438</v>
      </c>
      <c r="D541" s="14" t="str">
        <f>IFERROR(VLOOKUP(C541,'📋 City-Tier Master'!$A$4:$B$628,2,0),"T4")</f>
        <v>T3</v>
      </c>
      <c r="E541" s="26" t="s">
        <v>652</v>
      </c>
      <c r="F541" s="27">
        <v>1</v>
      </c>
      <c r="G541" s="23"/>
    </row>
    <row r="542" spans="1:7" x14ac:dyDescent="0.25">
      <c r="A542" s="18" t="s">
        <v>1233</v>
      </c>
      <c r="B542" s="19" t="s">
        <v>1214</v>
      </c>
      <c r="C542" s="20" t="s">
        <v>430</v>
      </c>
      <c r="D542" s="14" t="str">
        <f>IFERROR(VLOOKUP(C542,'📋 City-Tier Master'!$A$4:$B$628,2,0),"T4")</f>
        <v>T3</v>
      </c>
      <c r="E542" s="21" t="s">
        <v>652</v>
      </c>
      <c r="F542" s="22">
        <v>60</v>
      </c>
      <c r="G542" s="23"/>
    </row>
    <row r="543" spans="1:7" x14ac:dyDescent="0.25">
      <c r="A543" s="24" t="s">
        <v>1234</v>
      </c>
      <c r="B543" s="25" t="s">
        <v>1214</v>
      </c>
      <c r="C543" s="20" t="s">
        <v>147</v>
      </c>
      <c r="D543" s="13" t="str">
        <f>IFERROR(VLOOKUP(C543,'📋 City-Tier Master'!$A$4:$B$628,2,0),"T4")</f>
        <v>T2</v>
      </c>
      <c r="E543" s="26" t="s">
        <v>652</v>
      </c>
      <c r="F543" s="27">
        <v>4</v>
      </c>
      <c r="G543" s="23"/>
    </row>
    <row r="544" spans="1:7" x14ac:dyDescent="0.25">
      <c r="A544" s="18" t="s">
        <v>1235</v>
      </c>
      <c r="B544" s="19" t="s">
        <v>1214</v>
      </c>
      <c r="C544" s="20" t="s">
        <v>147</v>
      </c>
      <c r="D544" s="13" t="str">
        <f>IFERROR(VLOOKUP(C544,'📋 City-Tier Master'!$A$4:$B$628,2,0),"T4")</f>
        <v>T2</v>
      </c>
      <c r="E544" s="21" t="s">
        <v>652</v>
      </c>
      <c r="F544" s="22">
        <v>2</v>
      </c>
      <c r="G544" s="23"/>
    </row>
    <row r="545" spans="1:7" x14ac:dyDescent="0.25">
      <c r="A545" s="24" t="s">
        <v>1236</v>
      </c>
      <c r="B545" s="25" t="s">
        <v>1214</v>
      </c>
      <c r="C545" s="20" t="s">
        <v>46</v>
      </c>
      <c r="D545" s="12" t="str">
        <f>IFERROR(VLOOKUP(C545,'📋 City-Tier Master'!$A$4:$B$628,2,0),"T4")</f>
        <v>T1</v>
      </c>
      <c r="E545" s="26" t="s">
        <v>652</v>
      </c>
      <c r="F545" s="27">
        <v>241</v>
      </c>
      <c r="G545" s="23"/>
    </row>
    <row r="546" spans="1:7" x14ac:dyDescent="0.25">
      <c r="A546" s="18" t="s">
        <v>1237</v>
      </c>
      <c r="B546" s="19" t="s">
        <v>1214</v>
      </c>
      <c r="C546" s="20" t="s">
        <v>429</v>
      </c>
      <c r="D546" s="14" t="str">
        <f>IFERROR(VLOOKUP(C546,'📋 City-Tier Master'!$A$4:$B$628,2,0),"T4")</f>
        <v>T3</v>
      </c>
      <c r="E546" s="21" t="s">
        <v>652</v>
      </c>
      <c r="F546" s="22">
        <v>28</v>
      </c>
      <c r="G546" s="23"/>
    </row>
    <row r="547" spans="1:7" x14ac:dyDescent="0.25">
      <c r="A547" s="24" t="s">
        <v>1238</v>
      </c>
      <c r="B547" s="25" t="s">
        <v>1214</v>
      </c>
      <c r="C547" s="20" t="s">
        <v>429</v>
      </c>
      <c r="D547" s="14" t="str">
        <f>IFERROR(VLOOKUP(C547,'📋 City-Tier Master'!$A$4:$B$628,2,0),"T4")</f>
        <v>T3</v>
      </c>
      <c r="E547" s="26" t="s">
        <v>652</v>
      </c>
      <c r="F547" s="27">
        <v>15</v>
      </c>
      <c r="G547" s="23"/>
    </row>
    <row r="548" spans="1:7" x14ac:dyDescent="0.25">
      <c r="A548" s="18" t="s">
        <v>1239</v>
      </c>
      <c r="B548" s="19" t="s">
        <v>1214</v>
      </c>
      <c r="C548" s="20" t="s">
        <v>435</v>
      </c>
      <c r="D548" s="14" t="str">
        <f>IFERROR(VLOOKUP(C548,'📋 City-Tier Master'!$A$4:$B$628,2,0),"T4")</f>
        <v>T3</v>
      </c>
      <c r="E548" s="21" t="s">
        <v>652</v>
      </c>
      <c r="F548" s="22">
        <v>10</v>
      </c>
      <c r="G548" s="23"/>
    </row>
    <row r="549" spans="1:7" x14ac:dyDescent="0.25">
      <c r="A549" s="24" t="s">
        <v>1240</v>
      </c>
      <c r="B549" s="25" t="s">
        <v>1214</v>
      </c>
      <c r="C549" s="20" t="s">
        <v>46</v>
      </c>
      <c r="D549" s="12" t="str">
        <f>IFERROR(VLOOKUP(C549,'📋 City-Tier Master'!$A$4:$B$628,2,0),"T4")</f>
        <v>T1</v>
      </c>
      <c r="E549" s="26" t="s">
        <v>652</v>
      </c>
      <c r="F549" s="27">
        <v>8</v>
      </c>
      <c r="G549" s="23"/>
    </row>
    <row r="550" spans="1:7" x14ac:dyDescent="0.25">
      <c r="A550" s="18" t="s">
        <v>1241</v>
      </c>
      <c r="B550" s="19" t="s">
        <v>1214</v>
      </c>
      <c r="C550" s="20" t="s">
        <v>438</v>
      </c>
      <c r="D550" s="14" t="str">
        <f>IFERROR(VLOOKUP(C550,'📋 City-Tier Master'!$A$4:$B$628,2,0),"T4")</f>
        <v>T3</v>
      </c>
      <c r="E550" s="21" t="s">
        <v>652</v>
      </c>
      <c r="F550" s="22">
        <v>6</v>
      </c>
      <c r="G550" s="23"/>
    </row>
    <row r="551" spans="1:7" x14ac:dyDescent="0.25">
      <c r="A551" s="24" t="s">
        <v>1242</v>
      </c>
      <c r="B551" s="25" t="s">
        <v>1214</v>
      </c>
      <c r="C551" s="20" t="s">
        <v>46</v>
      </c>
      <c r="D551" s="12" t="str">
        <f>IFERROR(VLOOKUP(C551,'📋 City-Tier Master'!$A$4:$B$628,2,0),"T4")</f>
        <v>T1</v>
      </c>
      <c r="E551" s="26" t="s">
        <v>652</v>
      </c>
      <c r="F551" s="27">
        <v>5</v>
      </c>
      <c r="G551" s="23"/>
    </row>
    <row r="552" spans="1:7" x14ac:dyDescent="0.25">
      <c r="A552" s="18" t="s">
        <v>1243</v>
      </c>
      <c r="B552" s="19" t="s">
        <v>1244</v>
      </c>
      <c r="C552" s="20" t="s">
        <v>123</v>
      </c>
      <c r="D552" s="13" t="str">
        <f>IFERROR(VLOOKUP(C552,'📋 City-Tier Master'!$A$4:$B$628,2,0),"T4")</f>
        <v>T2</v>
      </c>
      <c r="E552" s="21" t="s">
        <v>652</v>
      </c>
      <c r="F552" s="22">
        <v>2</v>
      </c>
      <c r="G552" s="23"/>
    </row>
    <row r="553" spans="1:7" x14ac:dyDescent="0.25">
      <c r="A553" s="24" t="s">
        <v>1245</v>
      </c>
      <c r="B553" s="25" t="s">
        <v>1244</v>
      </c>
      <c r="C553" s="20" t="s">
        <v>122</v>
      </c>
      <c r="D553" s="13" t="str">
        <f>IFERROR(VLOOKUP(C553,'📋 City-Tier Master'!$A$4:$B$628,2,0),"T4")</f>
        <v>T2</v>
      </c>
      <c r="E553" s="26" t="s">
        <v>652</v>
      </c>
      <c r="F553" s="27">
        <v>1</v>
      </c>
      <c r="G553" s="23"/>
    </row>
    <row r="554" spans="1:7" x14ac:dyDescent="0.25">
      <c r="A554" s="18" t="s">
        <v>1246</v>
      </c>
      <c r="B554" s="19" t="s">
        <v>1247</v>
      </c>
      <c r="C554" s="20" t="s">
        <v>199</v>
      </c>
      <c r="D554" s="13" t="str">
        <f>IFERROR(VLOOKUP(C554,'📋 City-Tier Master'!$A$4:$B$628,2,0),"T4")</f>
        <v>T2</v>
      </c>
      <c r="E554" s="21" t="s">
        <v>652</v>
      </c>
      <c r="F554" s="22">
        <v>4</v>
      </c>
      <c r="G554" s="23"/>
    </row>
    <row r="555" spans="1:7" x14ac:dyDescent="0.25">
      <c r="A555" s="24" t="s">
        <v>1248</v>
      </c>
      <c r="B555" s="25" t="s">
        <v>1247</v>
      </c>
      <c r="C555" s="20" t="s">
        <v>199</v>
      </c>
      <c r="D555" s="13" t="str">
        <f>IFERROR(VLOOKUP(C555,'📋 City-Tier Master'!$A$4:$B$628,2,0),"T4")</f>
        <v>T2</v>
      </c>
      <c r="E555" s="26" t="s">
        <v>652</v>
      </c>
      <c r="F555" s="27">
        <v>2</v>
      </c>
      <c r="G555" s="23"/>
    </row>
    <row r="556" spans="1:7" x14ac:dyDescent="0.25">
      <c r="A556" s="18" t="s">
        <v>1249</v>
      </c>
      <c r="B556" s="19" t="s">
        <v>1247</v>
      </c>
      <c r="C556" s="20" t="s">
        <v>199</v>
      </c>
      <c r="D556" s="13" t="str">
        <f>IFERROR(VLOOKUP(C556,'📋 City-Tier Master'!$A$4:$B$628,2,0),"T4")</f>
        <v>T2</v>
      </c>
      <c r="E556" s="21" t="s">
        <v>652</v>
      </c>
      <c r="F556" s="22">
        <v>6</v>
      </c>
      <c r="G556" s="23"/>
    </row>
    <row r="557" spans="1:7" x14ac:dyDescent="0.25">
      <c r="A557" s="24" t="s">
        <v>1250</v>
      </c>
      <c r="B557" s="25" t="s">
        <v>1247</v>
      </c>
      <c r="C557" s="20" t="s">
        <v>199</v>
      </c>
      <c r="D557" s="13" t="str">
        <f>IFERROR(VLOOKUP(C557,'📋 City-Tier Master'!$A$4:$B$628,2,0),"T4")</f>
        <v>T2</v>
      </c>
      <c r="E557" s="26" t="s">
        <v>652</v>
      </c>
      <c r="F557" s="27">
        <v>3</v>
      </c>
      <c r="G557" s="23"/>
    </row>
    <row r="558" spans="1:7" x14ac:dyDescent="0.25">
      <c r="A558" s="18" t="s">
        <v>1251</v>
      </c>
      <c r="B558" s="19" t="s">
        <v>1247</v>
      </c>
      <c r="C558" s="20" t="s">
        <v>199</v>
      </c>
      <c r="D558" s="13" t="str">
        <f>IFERROR(VLOOKUP(C558,'📋 City-Tier Master'!$A$4:$B$628,2,0),"T4")</f>
        <v>T2</v>
      </c>
      <c r="E558" s="21" t="s">
        <v>652</v>
      </c>
      <c r="F558" s="22">
        <v>3</v>
      </c>
      <c r="G558" s="23"/>
    </row>
    <row r="559" spans="1:7" x14ac:dyDescent="0.25">
      <c r="A559" s="24" t="s">
        <v>1252</v>
      </c>
      <c r="B559" s="25" t="s">
        <v>1247</v>
      </c>
      <c r="C559" s="20" t="s">
        <v>248</v>
      </c>
      <c r="D559" s="14" t="str">
        <f>IFERROR(VLOOKUP(C559,'📋 City-Tier Master'!$A$4:$B$628,2,0),"T4")</f>
        <v>T3</v>
      </c>
      <c r="E559" s="26" t="s">
        <v>876</v>
      </c>
      <c r="F559" s="27">
        <v>4</v>
      </c>
      <c r="G559" s="23"/>
    </row>
    <row r="560" spans="1:7" x14ac:dyDescent="0.25">
      <c r="A560" s="18" t="s">
        <v>1253</v>
      </c>
      <c r="B560" s="19" t="s">
        <v>1247</v>
      </c>
      <c r="C560" s="20" t="s">
        <v>199</v>
      </c>
      <c r="D560" s="13" t="str">
        <f>IFERROR(VLOOKUP(C560,'📋 City-Tier Master'!$A$4:$B$628,2,0),"T4")</f>
        <v>T2</v>
      </c>
      <c r="E560" s="21" t="s">
        <v>652</v>
      </c>
      <c r="F560" s="22">
        <v>8</v>
      </c>
      <c r="G560" s="23"/>
    </row>
    <row r="561" spans="1:7" x14ac:dyDescent="0.25">
      <c r="A561" s="24" t="s">
        <v>1254</v>
      </c>
      <c r="B561" s="25" t="s">
        <v>1255</v>
      </c>
      <c r="C561" s="20" t="s">
        <v>38</v>
      </c>
      <c r="D561" s="12" t="str">
        <f>IFERROR(VLOOKUP(C561,'📋 City-Tier Master'!$A$4:$B$628,2,0),"T4")</f>
        <v>T1</v>
      </c>
      <c r="E561" s="26" t="s">
        <v>652</v>
      </c>
      <c r="F561" s="27">
        <v>96</v>
      </c>
      <c r="G561" s="23"/>
    </row>
    <row r="562" spans="1:7" x14ac:dyDescent="0.25">
      <c r="A562" s="18" t="s">
        <v>1256</v>
      </c>
      <c r="B562" s="19" t="s">
        <v>1255</v>
      </c>
      <c r="C562" s="20" t="s">
        <v>258</v>
      </c>
      <c r="D562" s="14" t="str">
        <f>IFERROR(VLOOKUP(C562,'📋 City-Tier Master'!$A$4:$B$628,2,0),"T4")</f>
        <v>T3</v>
      </c>
      <c r="E562" s="21" t="s">
        <v>652</v>
      </c>
      <c r="F562" s="22">
        <v>56</v>
      </c>
      <c r="G562" s="23"/>
    </row>
    <row r="563" spans="1:7" x14ac:dyDescent="0.25">
      <c r="A563" s="24" t="s">
        <v>1257</v>
      </c>
      <c r="B563" s="25" t="s">
        <v>1255</v>
      </c>
      <c r="C563" s="20" t="s">
        <v>1258</v>
      </c>
      <c r="D563" s="14" t="str">
        <f>IFERROR(VLOOKUP(C563,'📋 City-Tier Master'!$A$4:$B$628,2,0),"T4")</f>
        <v>T4</v>
      </c>
      <c r="E563" s="26" t="s">
        <v>652</v>
      </c>
      <c r="F563" s="27">
        <v>19</v>
      </c>
      <c r="G563" s="23"/>
    </row>
    <row r="564" spans="1:7" x14ac:dyDescent="0.25">
      <c r="A564" s="18" t="s">
        <v>1259</v>
      </c>
      <c r="B564" s="19" t="s">
        <v>1255</v>
      </c>
      <c r="C564" s="20" t="s">
        <v>277</v>
      </c>
      <c r="D564" s="14" t="str">
        <f>IFERROR(VLOOKUP(C564,'📋 City-Tier Master'!$A$4:$B$628,2,0),"T4")</f>
        <v>T3</v>
      </c>
      <c r="E564" s="21" t="s">
        <v>652</v>
      </c>
      <c r="F564" s="22">
        <v>28</v>
      </c>
      <c r="G564" s="23"/>
    </row>
    <row r="565" spans="1:7" x14ac:dyDescent="0.25">
      <c r="A565" s="24" t="s">
        <v>1260</v>
      </c>
      <c r="B565" s="25" t="s">
        <v>1255</v>
      </c>
      <c r="C565" s="20" t="s">
        <v>86</v>
      </c>
      <c r="D565" s="13" t="str">
        <f>IFERROR(VLOOKUP(C565,'📋 City-Tier Master'!$A$4:$B$628,2,0),"T4")</f>
        <v>T2</v>
      </c>
      <c r="E565" s="26" t="s">
        <v>652</v>
      </c>
      <c r="F565" s="27">
        <v>8</v>
      </c>
      <c r="G565" s="23"/>
    </row>
    <row r="566" spans="1:7" x14ac:dyDescent="0.25">
      <c r="A566" s="18" t="s">
        <v>1261</v>
      </c>
      <c r="B566" s="19" t="s">
        <v>1255</v>
      </c>
      <c r="C566" s="20" t="s">
        <v>92</v>
      </c>
      <c r="D566" s="13" t="str">
        <f>IFERROR(VLOOKUP(C566,'📋 City-Tier Master'!$A$4:$B$628,2,0),"T4")</f>
        <v>T2</v>
      </c>
      <c r="E566" s="21" t="s">
        <v>652</v>
      </c>
      <c r="F566" s="22">
        <v>43</v>
      </c>
      <c r="G566" s="23"/>
    </row>
    <row r="567" spans="1:7" x14ac:dyDescent="0.25">
      <c r="A567" s="24" t="s">
        <v>1262</v>
      </c>
      <c r="B567" s="25" t="s">
        <v>1255</v>
      </c>
      <c r="C567" s="20" t="s">
        <v>304</v>
      </c>
      <c r="D567" s="14" t="str">
        <f>IFERROR(VLOOKUP(C567,'📋 City-Tier Master'!$A$4:$B$628,2,0),"T4")</f>
        <v>T3</v>
      </c>
      <c r="E567" s="26" t="s">
        <v>652</v>
      </c>
      <c r="F567" s="27">
        <v>38</v>
      </c>
      <c r="G567" s="23"/>
    </row>
    <row r="568" spans="1:7" x14ac:dyDescent="0.25">
      <c r="A568" s="18" t="s">
        <v>1263</v>
      </c>
      <c r="B568" s="19" t="s">
        <v>1255</v>
      </c>
      <c r="C568" s="20" t="s">
        <v>35</v>
      </c>
      <c r="D568" s="12" t="str">
        <f>IFERROR(VLOOKUP(C568,'📋 City-Tier Master'!$A$4:$B$628,2,0),"T4")</f>
        <v>T1</v>
      </c>
      <c r="E568" s="21" t="s">
        <v>652</v>
      </c>
      <c r="F568" s="22">
        <v>5</v>
      </c>
      <c r="G568" s="23"/>
    </row>
    <row r="569" spans="1:7" x14ac:dyDescent="0.25">
      <c r="A569" s="24" t="s">
        <v>1264</v>
      </c>
      <c r="B569" s="25" t="s">
        <v>1255</v>
      </c>
      <c r="C569" s="20" t="s">
        <v>97</v>
      </c>
      <c r="D569" s="13" t="str">
        <f>IFERROR(VLOOKUP(C569,'📋 City-Tier Master'!$A$4:$B$628,2,0),"T4")</f>
        <v>T2</v>
      </c>
      <c r="E569" s="26" t="s">
        <v>652</v>
      </c>
      <c r="F569" s="27">
        <v>12</v>
      </c>
      <c r="G569" s="23"/>
    </row>
    <row r="570" spans="1:7" x14ac:dyDescent="0.25">
      <c r="A570" s="18" t="s">
        <v>1265</v>
      </c>
      <c r="B570" s="19" t="s">
        <v>1255</v>
      </c>
      <c r="C570" s="20" t="s">
        <v>298</v>
      </c>
      <c r="D570" s="14" t="str">
        <f>IFERROR(VLOOKUP(C570,'📋 City-Tier Master'!$A$4:$B$628,2,0),"T4")</f>
        <v>T3</v>
      </c>
      <c r="E570" s="21" t="s">
        <v>652</v>
      </c>
      <c r="F570" s="22">
        <v>21</v>
      </c>
      <c r="G570" s="23"/>
    </row>
    <row r="571" spans="1:7" x14ac:dyDescent="0.25">
      <c r="A571" s="24" t="s">
        <v>1266</v>
      </c>
      <c r="B571" s="25" t="s">
        <v>1255</v>
      </c>
      <c r="C571" s="20" t="s">
        <v>306</v>
      </c>
      <c r="D571" s="14" t="str">
        <f>IFERROR(VLOOKUP(C571,'📋 City-Tier Master'!$A$4:$B$628,2,0),"T4")</f>
        <v>T3</v>
      </c>
      <c r="E571" s="26" t="s">
        <v>652</v>
      </c>
      <c r="F571" s="27">
        <v>22</v>
      </c>
      <c r="G571" s="23"/>
    </row>
    <row r="572" spans="1:7" x14ac:dyDescent="0.25">
      <c r="A572" s="18" t="s">
        <v>1267</v>
      </c>
      <c r="B572" s="19" t="s">
        <v>1255</v>
      </c>
      <c r="C572" s="20" t="s">
        <v>297</v>
      </c>
      <c r="D572" s="14" t="str">
        <f>IFERROR(VLOOKUP(C572,'📋 City-Tier Master'!$A$4:$B$628,2,0),"T4")</f>
        <v>T3</v>
      </c>
      <c r="E572" s="29" t="s">
        <v>735</v>
      </c>
      <c r="F572" s="22">
        <v>12</v>
      </c>
      <c r="G572" s="23"/>
    </row>
    <row r="573" spans="1:7" x14ac:dyDescent="0.25">
      <c r="A573" s="24" t="s">
        <v>1268</v>
      </c>
      <c r="B573" s="25" t="s">
        <v>1255</v>
      </c>
      <c r="C573" s="20" t="s">
        <v>89</v>
      </c>
      <c r="D573" s="13" t="str">
        <f>IFERROR(VLOOKUP(C573,'📋 City-Tier Master'!$A$4:$B$628,2,0),"T4")</f>
        <v>T2</v>
      </c>
      <c r="E573" s="26" t="s">
        <v>652</v>
      </c>
      <c r="F573" s="27">
        <v>10</v>
      </c>
      <c r="G573" s="23"/>
    </row>
    <row r="574" spans="1:7" x14ac:dyDescent="0.25">
      <c r="A574" s="18" t="s">
        <v>1269</v>
      </c>
      <c r="B574" s="19" t="s">
        <v>1255</v>
      </c>
      <c r="C574" s="20" t="s">
        <v>35</v>
      </c>
      <c r="D574" s="12" t="str">
        <f>IFERROR(VLOOKUP(C574,'📋 City-Tier Master'!$A$4:$B$628,2,0),"T4")</f>
        <v>T1</v>
      </c>
      <c r="E574" s="21" t="s">
        <v>652</v>
      </c>
      <c r="F574" s="22">
        <v>19</v>
      </c>
      <c r="G574" s="23"/>
    </row>
    <row r="575" spans="1:7" x14ac:dyDescent="0.25">
      <c r="A575" s="24" t="s">
        <v>1270</v>
      </c>
      <c r="B575" s="25" t="s">
        <v>1255</v>
      </c>
      <c r="C575" s="20" t="s">
        <v>95</v>
      </c>
      <c r="D575" s="13" t="str">
        <f>IFERROR(VLOOKUP(C575,'📋 City-Tier Master'!$A$4:$B$628,2,0),"T4")</f>
        <v>T2</v>
      </c>
      <c r="E575" s="26" t="s">
        <v>652</v>
      </c>
      <c r="F575" s="27">
        <v>124</v>
      </c>
      <c r="G575" s="23"/>
    </row>
    <row r="576" spans="1:7" x14ac:dyDescent="0.25">
      <c r="A576" s="18" t="s">
        <v>1271</v>
      </c>
      <c r="B576" s="19" t="s">
        <v>1255</v>
      </c>
      <c r="C576" s="20" t="s">
        <v>106</v>
      </c>
      <c r="D576" s="13" t="str">
        <f>IFERROR(VLOOKUP(C576,'📋 City-Tier Master'!$A$4:$B$628,2,0),"T4")</f>
        <v>T2</v>
      </c>
      <c r="E576" s="21" t="s">
        <v>652</v>
      </c>
      <c r="F576" s="22">
        <v>25</v>
      </c>
      <c r="G576" s="23"/>
    </row>
    <row r="577" spans="1:7" x14ac:dyDescent="0.25">
      <c r="A577" s="24" t="s">
        <v>1272</v>
      </c>
      <c r="B577" s="25" t="s">
        <v>1255</v>
      </c>
      <c r="C577" s="20" t="s">
        <v>34</v>
      </c>
      <c r="D577" s="12" t="str">
        <f>IFERROR(VLOOKUP(C577,'📋 City-Tier Master'!$A$4:$B$628,2,0),"T4")</f>
        <v>T1</v>
      </c>
      <c r="E577" s="26" t="s">
        <v>652</v>
      </c>
      <c r="F577" s="27">
        <v>8</v>
      </c>
      <c r="G577" s="23"/>
    </row>
    <row r="578" spans="1:7" x14ac:dyDescent="0.25">
      <c r="A578" s="18" t="s">
        <v>1273</v>
      </c>
      <c r="B578" s="19" t="s">
        <v>1255</v>
      </c>
      <c r="C578" s="20" t="s">
        <v>282</v>
      </c>
      <c r="D578" s="14" t="str">
        <f>IFERROR(VLOOKUP(C578,'📋 City-Tier Master'!$A$4:$B$628,2,0),"T4")</f>
        <v>T3</v>
      </c>
      <c r="E578" s="21" t="s">
        <v>652</v>
      </c>
      <c r="F578" s="22">
        <v>29</v>
      </c>
      <c r="G578" s="23"/>
    </row>
    <row r="579" spans="1:7" x14ac:dyDescent="0.25">
      <c r="A579" s="24" t="s">
        <v>1274</v>
      </c>
      <c r="B579" s="25" t="s">
        <v>1255</v>
      </c>
      <c r="C579" s="20" t="s">
        <v>276</v>
      </c>
      <c r="D579" s="14" t="str">
        <f>IFERROR(VLOOKUP(C579,'📋 City-Tier Master'!$A$4:$B$628,2,0),"T4")</f>
        <v>T3</v>
      </c>
      <c r="E579" s="26" t="s">
        <v>652</v>
      </c>
      <c r="F579" s="27">
        <v>18</v>
      </c>
      <c r="G579" s="23"/>
    </row>
    <row r="580" spans="1:7" x14ac:dyDescent="0.25">
      <c r="A580" s="18" t="s">
        <v>1275</v>
      </c>
      <c r="B580" s="19" t="s">
        <v>1255</v>
      </c>
      <c r="C580" s="20" t="s">
        <v>97</v>
      </c>
      <c r="D580" s="13" t="str">
        <f>IFERROR(VLOOKUP(C580,'📋 City-Tier Master'!$A$4:$B$628,2,0),"T4")</f>
        <v>T2</v>
      </c>
      <c r="E580" s="21" t="s">
        <v>652</v>
      </c>
      <c r="F580" s="22">
        <v>27</v>
      </c>
      <c r="G580" s="23"/>
    </row>
    <row r="581" spans="1:7" x14ac:dyDescent="0.25">
      <c r="A581" s="24" t="s">
        <v>1276</v>
      </c>
      <c r="B581" s="25" t="s">
        <v>1255</v>
      </c>
      <c r="C581" s="20" t="s">
        <v>134</v>
      </c>
      <c r="D581" s="13" t="str">
        <f>IFERROR(VLOOKUP(C581,'📋 City-Tier Master'!$A$4:$B$628,2,0),"T4")</f>
        <v>T2</v>
      </c>
      <c r="E581" s="26" t="s">
        <v>876</v>
      </c>
      <c r="F581" s="27">
        <v>16</v>
      </c>
      <c r="G581" s="23"/>
    </row>
    <row r="582" spans="1:7" x14ac:dyDescent="0.25">
      <c r="A582" s="18" t="s">
        <v>1277</v>
      </c>
      <c r="B582" s="19" t="s">
        <v>1255</v>
      </c>
      <c r="C582" s="20" t="s">
        <v>89</v>
      </c>
      <c r="D582" s="13" t="str">
        <f>IFERROR(VLOOKUP(C582,'📋 City-Tier Master'!$A$4:$B$628,2,0),"T4")</f>
        <v>T2</v>
      </c>
      <c r="E582" s="21" t="s">
        <v>652</v>
      </c>
      <c r="F582" s="22">
        <v>5</v>
      </c>
      <c r="G582" s="23"/>
    </row>
    <row r="583" spans="1:7" x14ac:dyDescent="0.25">
      <c r="A583" s="24" t="s">
        <v>1278</v>
      </c>
      <c r="B583" s="25" t="s">
        <v>1255</v>
      </c>
      <c r="C583" s="20" t="s">
        <v>302</v>
      </c>
      <c r="D583" s="14" t="str">
        <f>IFERROR(VLOOKUP(C583,'📋 City-Tier Master'!$A$4:$B$628,2,0),"T4")</f>
        <v>T3</v>
      </c>
      <c r="E583" s="26" t="s">
        <v>652</v>
      </c>
      <c r="F583" s="27">
        <v>29</v>
      </c>
      <c r="G583" s="23"/>
    </row>
    <row r="584" spans="1:7" x14ac:dyDescent="0.25">
      <c r="A584" s="18" t="s">
        <v>1279</v>
      </c>
      <c r="B584" s="19" t="s">
        <v>1255</v>
      </c>
      <c r="C584" s="20" t="s">
        <v>87</v>
      </c>
      <c r="D584" s="13" t="str">
        <f>IFERROR(VLOOKUP(C584,'📋 City-Tier Master'!$A$4:$B$628,2,0),"T4")</f>
        <v>T2</v>
      </c>
      <c r="E584" s="21" t="s">
        <v>652</v>
      </c>
      <c r="F584" s="22">
        <v>11</v>
      </c>
      <c r="G584" s="23"/>
    </row>
    <row r="585" spans="1:7" x14ac:dyDescent="0.25">
      <c r="A585" s="24" t="s">
        <v>1280</v>
      </c>
      <c r="B585" s="25" t="s">
        <v>1255</v>
      </c>
      <c r="C585" s="20" t="s">
        <v>86</v>
      </c>
      <c r="D585" s="13" t="str">
        <f>IFERROR(VLOOKUP(C585,'📋 City-Tier Master'!$A$4:$B$628,2,0),"T4")</f>
        <v>T2</v>
      </c>
      <c r="E585" s="26" t="s">
        <v>652</v>
      </c>
      <c r="F585" s="27">
        <v>17</v>
      </c>
      <c r="G585" s="23"/>
    </row>
    <row r="586" spans="1:7" x14ac:dyDescent="0.25">
      <c r="A586" s="18" t="s">
        <v>1281</v>
      </c>
      <c r="B586" s="19" t="s">
        <v>1255</v>
      </c>
      <c r="C586" s="20" t="s">
        <v>263</v>
      </c>
      <c r="D586" s="14" t="str">
        <f>IFERROR(VLOOKUP(C586,'📋 City-Tier Master'!$A$4:$B$628,2,0),"T4")</f>
        <v>T3</v>
      </c>
      <c r="E586" s="21" t="s">
        <v>652</v>
      </c>
      <c r="F586" s="22">
        <v>21</v>
      </c>
      <c r="G586" s="23"/>
    </row>
    <row r="587" spans="1:7" x14ac:dyDescent="0.25">
      <c r="A587" s="24" t="s">
        <v>1282</v>
      </c>
      <c r="B587" s="25" t="s">
        <v>1255</v>
      </c>
      <c r="C587" s="20" t="s">
        <v>268</v>
      </c>
      <c r="D587" s="14" t="str">
        <f>IFERROR(VLOOKUP(C587,'📋 City-Tier Master'!$A$4:$B$628,2,0),"T4")</f>
        <v>T3</v>
      </c>
      <c r="E587" s="26" t="s">
        <v>652</v>
      </c>
      <c r="F587" s="27">
        <v>15</v>
      </c>
      <c r="G587" s="23"/>
    </row>
    <row r="588" spans="1:7" x14ac:dyDescent="0.25">
      <c r="A588" s="18" t="s">
        <v>1283</v>
      </c>
      <c r="B588" s="19" t="s">
        <v>1255</v>
      </c>
      <c r="C588" s="20" t="s">
        <v>307</v>
      </c>
      <c r="D588" s="14" t="str">
        <f>IFERROR(VLOOKUP(C588,'📋 City-Tier Master'!$A$4:$B$628,2,0),"T4")</f>
        <v>T3</v>
      </c>
      <c r="E588" s="21" t="s">
        <v>652</v>
      </c>
      <c r="F588" s="22">
        <v>12</v>
      </c>
      <c r="G588" s="23"/>
    </row>
    <row r="589" spans="1:7" x14ac:dyDescent="0.25">
      <c r="A589" s="24" t="s">
        <v>1284</v>
      </c>
      <c r="B589" s="25" t="s">
        <v>1255</v>
      </c>
      <c r="C589" s="20" t="s">
        <v>14</v>
      </c>
      <c r="D589" s="9" t="str">
        <f>IFERROR(VLOOKUP(C589,'📋 City-Tier Master'!$A$4:$B$628,2,0),"T4")</f>
        <v>Metro</v>
      </c>
      <c r="E589" s="26" t="s">
        <v>652</v>
      </c>
      <c r="F589" s="27">
        <v>362</v>
      </c>
      <c r="G589" s="23"/>
    </row>
    <row r="590" spans="1:7" x14ac:dyDescent="0.25">
      <c r="A590" s="18" t="s">
        <v>1285</v>
      </c>
      <c r="B590" s="19" t="s">
        <v>1255</v>
      </c>
      <c r="C590" s="20" t="s">
        <v>12</v>
      </c>
      <c r="D590" s="9" t="str">
        <f>IFERROR(VLOOKUP(C590,'📋 City-Tier Master'!$A$4:$B$628,2,0),"T4")</f>
        <v>Metro</v>
      </c>
      <c r="E590" s="21" t="s">
        <v>652</v>
      </c>
      <c r="F590" s="22">
        <v>290</v>
      </c>
      <c r="G590" s="23"/>
    </row>
    <row r="591" spans="1:7" x14ac:dyDescent="0.25">
      <c r="A591" s="24" t="s">
        <v>1286</v>
      </c>
      <c r="B591" s="25" t="s">
        <v>1255</v>
      </c>
      <c r="C591" s="20" t="s">
        <v>94</v>
      </c>
      <c r="D591" s="13" t="str">
        <f>IFERROR(VLOOKUP(C591,'📋 City-Tier Master'!$A$4:$B$628,2,0),"T4")</f>
        <v>T2</v>
      </c>
      <c r="E591" s="26" t="s">
        <v>652</v>
      </c>
      <c r="F591" s="27">
        <v>20</v>
      </c>
      <c r="G591" s="23"/>
    </row>
    <row r="592" spans="1:7" x14ac:dyDescent="0.25">
      <c r="A592" s="18" t="s">
        <v>1287</v>
      </c>
      <c r="B592" s="19" t="s">
        <v>1255</v>
      </c>
      <c r="C592" s="20" t="s">
        <v>105</v>
      </c>
      <c r="D592" s="13" t="str">
        <f>IFERROR(VLOOKUP(C592,'📋 City-Tier Master'!$A$4:$B$628,2,0),"T4")</f>
        <v>T2</v>
      </c>
      <c r="E592" s="21" t="s">
        <v>652</v>
      </c>
      <c r="F592" s="22">
        <v>27</v>
      </c>
      <c r="G592" s="23"/>
    </row>
    <row r="593" spans="1:7" x14ac:dyDescent="0.25">
      <c r="A593" s="24" t="s">
        <v>1288</v>
      </c>
      <c r="B593" s="25" t="s">
        <v>1255</v>
      </c>
      <c r="C593" s="20" t="s">
        <v>68</v>
      </c>
      <c r="D593" s="13" t="str">
        <f>IFERROR(VLOOKUP(C593,'📋 City-Tier Master'!$A$4:$B$628,2,0),"T4")</f>
        <v>T2</v>
      </c>
      <c r="E593" s="26" t="s">
        <v>652</v>
      </c>
      <c r="F593" s="27">
        <v>152</v>
      </c>
      <c r="G593" s="23"/>
    </row>
    <row r="594" spans="1:7" x14ac:dyDescent="0.25">
      <c r="A594" s="18" t="s">
        <v>862</v>
      </c>
      <c r="B594" s="19" t="s">
        <v>1255</v>
      </c>
      <c r="C594" s="20" t="s">
        <v>89</v>
      </c>
      <c r="D594" s="13" t="str">
        <f>IFERROR(VLOOKUP(C594,'📋 City-Tier Master'!$A$4:$B$628,2,0),"T4")</f>
        <v>T2</v>
      </c>
      <c r="E594" s="21" t="s">
        <v>652</v>
      </c>
      <c r="F594" s="22">
        <v>2</v>
      </c>
      <c r="G594" s="23"/>
    </row>
    <row r="595" spans="1:7" x14ac:dyDescent="0.25">
      <c r="A595" s="24" t="s">
        <v>1289</v>
      </c>
      <c r="B595" s="25" t="s">
        <v>1255</v>
      </c>
      <c r="C595" s="20" t="s">
        <v>97</v>
      </c>
      <c r="D595" s="13" t="str">
        <f>IFERROR(VLOOKUP(C595,'📋 City-Tier Master'!$A$4:$B$628,2,0),"T4")</f>
        <v>T2</v>
      </c>
      <c r="E595" s="26" t="s">
        <v>652</v>
      </c>
      <c r="F595" s="27">
        <v>22</v>
      </c>
      <c r="G595" s="23"/>
    </row>
    <row r="596" spans="1:7" x14ac:dyDescent="0.25">
      <c r="A596" s="18" t="s">
        <v>1290</v>
      </c>
      <c r="B596" s="19" t="s">
        <v>1255</v>
      </c>
      <c r="C596" s="20" t="s">
        <v>101</v>
      </c>
      <c r="D596" s="13" t="str">
        <f>IFERROR(VLOOKUP(C596,'📋 City-Tier Master'!$A$4:$B$628,2,0),"T4")</f>
        <v>T2</v>
      </c>
      <c r="E596" s="21" t="s">
        <v>652</v>
      </c>
      <c r="F596" s="22">
        <v>20</v>
      </c>
      <c r="G596" s="23"/>
    </row>
    <row r="597" spans="1:7" x14ac:dyDescent="0.25">
      <c r="A597" s="24" t="s">
        <v>1291</v>
      </c>
      <c r="B597" s="25" t="s">
        <v>1255</v>
      </c>
      <c r="C597" s="20" t="s">
        <v>258</v>
      </c>
      <c r="D597" s="14" t="str">
        <f>IFERROR(VLOOKUP(C597,'📋 City-Tier Master'!$A$4:$B$628,2,0),"T4")</f>
        <v>T3</v>
      </c>
      <c r="E597" s="26" t="s">
        <v>652</v>
      </c>
      <c r="F597" s="27">
        <v>8</v>
      </c>
      <c r="G597" s="23"/>
    </row>
    <row r="598" spans="1:7" x14ac:dyDescent="0.25">
      <c r="A598" s="18" t="s">
        <v>1292</v>
      </c>
      <c r="B598" s="19" t="s">
        <v>1255</v>
      </c>
      <c r="C598" s="20" t="s">
        <v>308</v>
      </c>
      <c r="D598" s="14" t="str">
        <f>IFERROR(VLOOKUP(C598,'📋 City-Tier Master'!$A$4:$B$628,2,0),"T4")</f>
        <v>T3</v>
      </c>
      <c r="E598" s="21" t="s">
        <v>652</v>
      </c>
      <c r="F598" s="22">
        <v>13</v>
      </c>
      <c r="G598" s="23"/>
    </row>
    <row r="599" spans="1:7" x14ac:dyDescent="0.25">
      <c r="A599" s="24" t="s">
        <v>1293</v>
      </c>
      <c r="B599" s="25" t="s">
        <v>1255</v>
      </c>
      <c r="C599" s="20" t="s">
        <v>91</v>
      </c>
      <c r="D599" s="13" t="str">
        <f>IFERROR(VLOOKUP(C599,'📋 City-Tier Master'!$A$4:$B$628,2,0),"T4")</f>
        <v>T2</v>
      </c>
      <c r="E599" s="26" t="s">
        <v>652</v>
      </c>
      <c r="F599" s="27">
        <v>31</v>
      </c>
      <c r="G599" s="23"/>
    </row>
    <row r="600" spans="1:7" x14ac:dyDescent="0.25">
      <c r="A600" s="18" t="s">
        <v>1294</v>
      </c>
      <c r="B600" s="19" t="s">
        <v>1255</v>
      </c>
      <c r="C600" s="20" t="s">
        <v>109</v>
      </c>
      <c r="D600" s="13" t="str">
        <f>IFERROR(VLOOKUP(C600,'📋 City-Tier Master'!$A$4:$B$628,2,0),"T4")</f>
        <v>T2</v>
      </c>
      <c r="E600" s="21" t="s">
        <v>652</v>
      </c>
      <c r="F600" s="22">
        <v>51</v>
      </c>
      <c r="G600" s="23"/>
    </row>
    <row r="601" spans="1:7" x14ac:dyDescent="0.25">
      <c r="A601" s="24" t="s">
        <v>1295</v>
      </c>
      <c r="B601" s="25" t="s">
        <v>1255</v>
      </c>
      <c r="C601" s="20" t="s">
        <v>264</v>
      </c>
      <c r="D601" s="14" t="str">
        <f>IFERROR(VLOOKUP(C601,'📋 City-Tier Master'!$A$4:$B$628,2,0),"T4")</f>
        <v>T3</v>
      </c>
      <c r="E601" s="26" t="s">
        <v>652</v>
      </c>
      <c r="F601" s="27">
        <v>8</v>
      </c>
      <c r="G601" s="23"/>
    </row>
    <row r="602" spans="1:7" x14ac:dyDescent="0.25">
      <c r="A602" s="18" t="s">
        <v>1296</v>
      </c>
      <c r="B602" s="19" t="s">
        <v>1255</v>
      </c>
      <c r="C602" s="20" t="s">
        <v>33</v>
      </c>
      <c r="D602" s="12" t="str">
        <f>IFERROR(VLOOKUP(C602,'📋 City-Tier Master'!$A$4:$B$628,2,0),"T4")</f>
        <v>T1</v>
      </c>
      <c r="E602" s="21" t="s">
        <v>652</v>
      </c>
      <c r="F602" s="22">
        <v>1</v>
      </c>
      <c r="G602" s="23"/>
    </row>
    <row r="603" spans="1:7" x14ac:dyDescent="0.25">
      <c r="A603" s="24" t="s">
        <v>1297</v>
      </c>
      <c r="B603" s="25" t="s">
        <v>1255</v>
      </c>
      <c r="C603" s="20" t="s">
        <v>33</v>
      </c>
      <c r="D603" s="12" t="str">
        <f>IFERROR(VLOOKUP(C603,'📋 City-Tier Master'!$A$4:$B$628,2,0),"T4")</f>
        <v>T1</v>
      </c>
      <c r="E603" s="26" t="s">
        <v>652</v>
      </c>
      <c r="F603" s="27">
        <v>166</v>
      </c>
      <c r="G603" s="23"/>
    </row>
    <row r="604" spans="1:7" x14ac:dyDescent="0.25">
      <c r="A604" s="18" t="s">
        <v>1298</v>
      </c>
      <c r="B604" s="19" t="s">
        <v>1255</v>
      </c>
      <c r="C604" s="20" t="s">
        <v>90</v>
      </c>
      <c r="D604" s="13" t="str">
        <f>IFERROR(VLOOKUP(C604,'📋 City-Tier Master'!$A$4:$B$628,2,0),"T4")</f>
        <v>T2</v>
      </c>
      <c r="E604" s="21" t="s">
        <v>652</v>
      </c>
      <c r="F604" s="22">
        <v>1</v>
      </c>
      <c r="G604" s="23"/>
    </row>
    <row r="605" spans="1:7" x14ac:dyDescent="0.25">
      <c r="A605" s="24" t="s">
        <v>1299</v>
      </c>
      <c r="B605" s="25" t="s">
        <v>1255</v>
      </c>
      <c r="C605" s="20" t="s">
        <v>101</v>
      </c>
      <c r="D605" s="13" t="str">
        <f>IFERROR(VLOOKUP(C605,'📋 City-Tier Master'!$A$4:$B$628,2,0),"T4")</f>
        <v>T2</v>
      </c>
      <c r="E605" s="26" t="s">
        <v>652</v>
      </c>
      <c r="F605" s="27">
        <v>24</v>
      </c>
      <c r="G605" s="23"/>
    </row>
    <row r="606" spans="1:7" x14ac:dyDescent="0.25">
      <c r="A606" s="18" t="s">
        <v>1300</v>
      </c>
      <c r="B606" s="19" t="s">
        <v>1255</v>
      </c>
      <c r="C606" s="20" t="s">
        <v>68</v>
      </c>
      <c r="D606" s="13" t="str">
        <f>IFERROR(VLOOKUP(C606,'📋 City-Tier Master'!$A$4:$B$628,2,0),"T4")</f>
        <v>T2</v>
      </c>
      <c r="E606" s="21" t="s">
        <v>652</v>
      </c>
      <c r="F606" s="22">
        <v>17</v>
      </c>
      <c r="G606" s="23"/>
    </row>
    <row r="607" spans="1:7" x14ac:dyDescent="0.25">
      <c r="A607" s="24" t="s">
        <v>87</v>
      </c>
      <c r="B607" s="25" t="s">
        <v>1255</v>
      </c>
      <c r="C607" s="20" t="s">
        <v>87</v>
      </c>
      <c r="D607" s="13" t="str">
        <f>IFERROR(VLOOKUP(C607,'📋 City-Tier Master'!$A$4:$B$628,2,0),"T4")</f>
        <v>T2</v>
      </c>
      <c r="E607" s="26" t="s">
        <v>652</v>
      </c>
      <c r="F607" s="27">
        <v>8</v>
      </c>
      <c r="G607" s="23"/>
    </row>
    <row r="608" spans="1:7" x14ac:dyDescent="0.25">
      <c r="A608" s="18" t="s">
        <v>1301</v>
      </c>
      <c r="B608" s="19" t="s">
        <v>1255</v>
      </c>
      <c r="C608" s="20" t="s">
        <v>109</v>
      </c>
      <c r="D608" s="13" t="str">
        <f>IFERROR(VLOOKUP(C608,'📋 City-Tier Master'!$A$4:$B$628,2,0),"T4")</f>
        <v>T2</v>
      </c>
      <c r="E608" s="21" t="s">
        <v>652</v>
      </c>
      <c r="F608" s="22">
        <v>4</v>
      </c>
      <c r="G608" s="23"/>
    </row>
    <row r="609" spans="1:7" x14ac:dyDescent="0.25">
      <c r="A609" s="24" t="s">
        <v>1302</v>
      </c>
      <c r="B609" s="25" t="s">
        <v>1255</v>
      </c>
      <c r="C609" s="20" t="s">
        <v>35</v>
      </c>
      <c r="D609" s="12" t="str">
        <f>IFERROR(VLOOKUP(C609,'📋 City-Tier Master'!$A$4:$B$628,2,0),"T4")</f>
        <v>T1</v>
      </c>
      <c r="E609" s="26" t="s">
        <v>652</v>
      </c>
      <c r="F609" s="27">
        <v>612</v>
      </c>
      <c r="G609" s="23"/>
    </row>
    <row r="610" spans="1:7" x14ac:dyDescent="0.25">
      <c r="A610" s="18" t="s">
        <v>1303</v>
      </c>
      <c r="B610" s="19" t="s">
        <v>1255</v>
      </c>
      <c r="C610" s="20" t="s">
        <v>68</v>
      </c>
      <c r="D610" s="13" t="str">
        <f>IFERROR(VLOOKUP(C610,'📋 City-Tier Master'!$A$4:$B$628,2,0),"T4")</f>
        <v>T2</v>
      </c>
      <c r="E610" s="21" t="s">
        <v>652</v>
      </c>
      <c r="F610" s="22">
        <v>11</v>
      </c>
      <c r="G610" s="23"/>
    </row>
    <row r="611" spans="1:7" x14ac:dyDescent="0.25">
      <c r="A611" s="24" t="s">
        <v>1304</v>
      </c>
      <c r="B611" s="25" t="s">
        <v>1255</v>
      </c>
      <c r="C611" s="20" t="s">
        <v>267</v>
      </c>
      <c r="D611" s="14" t="str">
        <f>IFERROR(VLOOKUP(C611,'📋 City-Tier Master'!$A$4:$B$628,2,0),"T4")</f>
        <v>T3</v>
      </c>
      <c r="E611" s="26" t="s">
        <v>652</v>
      </c>
      <c r="F611" s="27">
        <v>5</v>
      </c>
      <c r="G611" s="23"/>
    </row>
    <row r="612" spans="1:7" x14ac:dyDescent="0.25">
      <c r="A612" s="18" t="s">
        <v>1305</v>
      </c>
      <c r="B612" s="19" t="s">
        <v>1255</v>
      </c>
      <c r="C612" s="20" t="s">
        <v>85</v>
      </c>
      <c r="D612" s="13" t="str">
        <f>IFERROR(VLOOKUP(C612,'📋 City-Tier Master'!$A$4:$B$628,2,0),"T4")</f>
        <v>T2</v>
      </c>
      <c r="E612" s="21" t="s">
        <v>652</v>
      </c>
      <c r="F612" s="22">
        <v>16</v>
      </c>
      <c r="G612" s="23"/>
    </row>
    <row r="613" spans="1:7" x14ac:dyDescent="0.25">
      <c r="A613" s="24" t="s">
        <v>1306</v>
      </c>
      <c r="B613" s="25" t="s">
        <v>1255</v>
      </c>
      <c r="C613" s="20" t="s">
        <v>108</v>
      </c>
      <c r="D613" s="13" t="str">
        <f>IFERROR(VLOOKUP(C613,'📋 City-Tier Master'!$A$4:$B$628,2,0),"T4")</f>
        <v>T2</v>
      </c>
      <c r="E613" s="26" t="s">
        <v>652</v>
      </c>
      <c r="F613" s="27">
        <v>36</v>
      </c>
      <c r="G613" s="23"/>
    </row>
    <row r="614" spans="1:7" x14ac:dyDescent="0.25">
      <c r="A614" s="18" t="s">
        <v>1307</v>
      </c>
      <c r="B614" s="19" t="s">
        <v>1255</v>
      </c>
      <c r="C614" s="20" t="s">
        <v>618</v>
      </c>
      <c r="D614" s="15" t="str">
        <f>IFERROR(VLOOKUP(C614,'📋 City-Tier Master'!$A$4:$B$628,2,0),"T4")</f>
        <v>T4</v>
      </c>
      <c r="E614" s="21" t="s">
        <v>876</v>
      </c>
      <c r="F614" s="22">
        <v>18</v>
      </c>
      <c r="G614" s="23"/>
    </row>
    <row r="615" spans="1:7" x14ac:dyDescent="0.25">
      <c r="A615" s="24" t="s">
        <v>1308</v>
      </c>
      <c r="B615" s="25" t="s">
        <v>1255</v>
      </c>
      <c r="C615" s="20" t="s">
        <v>97</v>
      </c>
      <c r="D615" s="13" t="str">
        <f>IFERROR(VLOOKUP(C615,'📋 City-Tier Master'!$A$4:$B$628,2,0),"T4")</f>
        <v>T2</v>
      </c>
      <c r="E615" s="26" t="s">
        <v>652</v>
      </c>
      <c r="F615" s="27">
        <v>106</v>
      </c>
      <c r="G615" s="23"/>
    </row>
    <row r="616" spans="1:7" x14ac:dyDescent="0.25">
      <c r="A616" s="18" t="s">
        <v>1309</v>
      </c>
      <c r="B616" s="19" t="s">
        <v>1255</v>
      </c>
      <c r="C616" s="20" t="s">
        <v>273</v>
      </c>
      <c r="D616" s="14" t="str">
        <f>IFERROR(VLOOKUP(C616,'📋 City-Tier Master'!$A$4:$B$628,2,0),"T4")</f>
        <v>T3</v>
      </c>
      <c r="E616" s="21" t="s">
        <v>652</v>
      </c>
      <c r="F616" s="22">
        <v>19</v>
      </c>
      <c r="G616" s="23"/>
    </row>
    <row r="617" spans="1:7" x14ac:dyDescent="0.25">
      <c r="A617" s="24" t="s">
        <v>1310</v>
      </c>
      <c r="B617" s="25" t="s">
        <v>1255</v>
      </c>
      <c r="C617" s="20" t="s">
        <v>96</v>
      </c>
      <c r="D617" s="13" t="str">
        <f>IFERROR(VLOOKUP(C617,'📋 City-Tier Master'!$A$4:$B$628,2,0),"T4")</f>
        <v>T2</v>
      </c>
      <c r="E617" s="26" t="s">
        <v>652</v>
      </c>
      <c r="F617" s="27">
        <v>59</v>
      </c>
      <c r="G617" s="23"/>
    </row>
    <row r="618" spans="1:7" x14ac:dyDescent="0.25">
      <c r="A618" s="18" t="s">
        <v>1311</v>
      </c>
      <c r="B618" s="19" t="s">
        <v>1255</v>
      </c>
      <c r="C618" s="20" t="s">
        <v>285</v>
      </c>
      <c r="D618" s="14" t="str">
        <f>IFERROR(VLOOKUP(C618,'📋 City-Tier Master'!$A$4:$B$628,2,0),"T4")</f>
        <v>T3</v>
      </c>
      <c r="E618" s="21" t="s">
        <v>652</v>
      </c>
      <c r="F618" s="22">
        <v>42</v>
      </c>
      <c r="G618" s="23"/>
    </row>
    <row r="619" spans="1:7" x14ac:dyDescent="0.25">
      <c r="A619" s="24" t="s">
        <v>1312</v>
      </c>
      <c r="B619" s="25" t="s">
        <v>1255</v>
      </c>
      <c r="C619" s="20" t="s">
        <v>102</v>
      </c>
      <c r="D619" s="13" t="str">
        <f>IFERROR(VLOOKUP(C619,'📋 City-Tier Master'!$A$4:$B$628,2,0),"T4")</f>
        <v>T2</v>
      </c>
      <c r="E619" s="26" t="s">
        <v>652</v>
      </c>
      <c r="F619" s="27">
        <v>22</v>
      </c>
      <c r="G619" s="23"/>
    </row>
    <row r="620" spans="1:7" x14ac:dyDescent="0.25">
      <c r="A620" s="18" t="s">
        <v>1163</v>
      </c>
      <c r="B620" s="19" t="s">
        <v>1255</v>
      </c>
      <c r="C620" s="20" t="s">
        <v>1164</v>
      </c>
      <c r="D620" s="14" t="str">
        <f>IFERROR(VLOOKUP(C620,'📋 City-Tier Master'!$A$4:$B$628,2,0),"T4")</f>
        <v>T4</v>
      </c>
      <c r="E620" s="21" t="s">
        <v>652</v>
      </c>
      <c r="F620" s="22">
        <v>26</v>
      </c>
      <c r="G620" s="23"/>
    </row>
    <row r="621" spans="1:7" x14ac:dyDescent="0.25">
      <c r="A621" s="24" t="s">
        <v>1313</v>
      </c>
      <c r="B621" s="25" t="s">
        <v>1255</v>
      </c>
      <c r="C621" s="20" t="s">
        <v>90</v>
      </c>
      <c r="D621" s="13" t="str">
        <f>IFERROR(VLOOKUP(C621,'📋 City-Tier Master'!$A$4:$B$628,2,0),"T4")</f>
        <v>T2</v>
      </c>
      <c r="E621" s="26" t="s">
        <v>652</v>
      </c>
      <c r="F621" s="27">
        <v>116</v>
      </c>
      <c r="G621" s="23"/>
    </row>
    <row r="622" spans="1:7" x14ac:dyDescent="0.25">
      <c r="A622" s="18" t="s">
        <v>1314</v>
      </c>
      <c r="B622" s="19" t="s">
        <v>1255</v>
      </c>
      <c r="C622" s="20" t="s">
        <v>272</v>
      </c>
      <c r="D622" s="14" t="str">
        <f>IFERROR(VLOOKUP(C622,'📋 City-Tier Master'!$A$4:$B$628,2,0),"T4")</f>
        <v>T3</v>
      </c>
      <c r="E622" s="21" t="s">
        <v>652</v>
      </c>
      <c r="F622" s="22">
        <v>35</v>
      </c>
      <c r="G622" s="23"/>
    </row>
    <row r="623" spans="1:7" x14ac:dyDescent="0.25">
      <c r="A623" s="24" t="s">
        <v>1315</v>
      </c>
      <c r="B623" s="25" t="s">
        <v>1255</v>
      </c>
      <c r="C623" s="20" t="s">
        <v>246</v>
      </c>
      <c r="D623" s="14" t="str">
        <f>IFERROR(VLOOKUP(C623,'📋 City-Tier Master'!$A$4:$B$628,2,0),"T4")</f>
        <v>T3</v>
      </c>
      <c r="E623" s="26" t="s">
        <v>652</v>
      </c>
      <c r="F623" s="27">
        <v>21</v>
      </c>
      <c r="G623" s="23"/>
    </row>
    <row r="624" spans="1:7" x14ac:dyDescent="0.25">
      <c r="A624" s="18" t="s">
        <v>1316</v>
      </c>
      <c r="B624" s="19" t="s">
        <v>1255</v>
      </c>
      <c r="C624" s="20" t="s">
        <v>98</v>
      </c>
      <c r="D624" s="13" t="str">
        <f>IFERROR(VLOOKUP(C624,'📋 City-Tier Master'!$A$4:$B$628,2,0),"T4")</f>
        <v>T2</v>
      </c>
      <c r="E624" s="21" t="s">
        <v>652</v>
      </c>
      <c r="F624" s="22">
        <v>44</v>
      </c>
      <c r="G624" s="23"/>
    </row>
    <row r="625" spans="1:7" x14ac:dyDescent="0.25">
      <c r="A625" s="24" t="s">
        <v>1317</v>
      </c>
      <c r="B625" s="25" t="s">
        <v>1255</v>
      </c>
      <c r="C625" s="20" t="s">
        <v>278</v>
      </c>
      <c r="D625" s="14" t="str">
        <f>IFERROR(VLOOKUP(C625,'📋 City-Tier Master'!$A$4:$B$628,2,0),"T4")</f>
        <v>T3</v>
      </c>
      <c r="E625" s="26" t="s">
        <v>652</v>
      </c>
      <c r="F625" s="27">
        <v>18</v>
      </c>
      <c r="G625" s="23"/>
    </row>
    <row r="626" spans="1:7" x14ac:dyDescent="0.25">
      <c r="A626" s="18" t="s">
        <v>1318</v>
      </c>
      <c r="B626" s="19" t="s">
        <v>1255</v>
      </c>
      <c r="C626" s="20" t="s">
        <v>68</v>
      </c>
      <c r="D626" s="13" t="str">
        <f>IFERROR(VLOOKUP(C626,'📋 City-Tier Master'!$A$4:$B$628,2,0),"T4")</f>
        <v>T2</v>
      </c>
      <c r="E626" s="21" t="s">
        <v>652</v>
      </c>
      <c r="F626" s="22">
        <v>10</v>
      </c>
      <c r="G626" s="23"/>
    </row>
    <row r="627" spans="1:7" x14ac:dyDescent="0.25">
      <c r="A627" s="24" t="s">
        <v>1319</v>
      </c>
      <c r="B627" s="25" t="s">
        <v>1255</v>
      </c>
      <c r="C627" s="20" t="s">
        <v>275</v>
      </c>
      <c r="D627" s="14" t="str">
        <f>IFERROR(VLOOKUP(C627,'📋 City-Tier Master'!$A$4:$B$628,2,0),"T4")</f>
        <v>T3</v>
      </c>
      <c r="E627" s="26" t="s">
        <v>652</v>
      </c>
      <c r="F627" s="27">
        <v>32</v>
      </c>
      <c r="G627" s="23"/>
    </row>
    <row r="628" spans="1:7" x14ac:dyDescent="0.25">
      <c r="A628" s="18" t="s">
        <v>1320</v>
      </c>
      <c r="B628" s="19" t="s">
        <v>1255</v>
      </c>
      <c r="C628" s="20" t="s">
        <v>285</v>
      </c>
      <c r="D628" s="14" t="str">
        <f>IFERROR(VLOOKUP(C628,'📋 City-Tier Master'!$A$4:$B$628,2,0),"T4")</f>
        <v>T3</v>
      </c>
      <c r="E628" s="21" t="s">
        <v>652</v>
      </c>
      <c r="F628" s="22">
        <v>4</v>
      </c>
      <c r="G628" s="23"/>
    </row>
    <row r="629" spans="1:7" x14ac:dyDescent="0.25">
      <c r="A629" s="24" t="s">
        <v>1321</v>
      </c>
      <c r="B629" s="25" t="s">
        <v>1255</v>
      </c>
      <c r="C629" s="20" t="s">
        <v>298</v>
      </c>
      <c r="D629" s="14" t="str">
        <f>IFERROR(VLOOKUP(C629,'📋 City-Tier Master'!$A$4:$B$628,2,0),"T4")</f>
        <v>T3</v>
      </c>
      <c r="E629" s="26" t="s">
        <v>652</v>
      </c>
      <c r="F629" s="27">
        <v>1</v>
      </c>
      <c r="G629" s="23"/>
    </row>
    <row r="630" spans="1:7" x14ac:dyDescent="0.25">
      <c r="A630" s="18" t="s">
        <v>1322</v>
      </c>
      <c r="B630" s="19" t="s">
        <v>1255</v>
      </c>
      <c r="C630" s="20" t="s">
        <v>106</v>
      </c>
      <c r="D630" s="13" t="str">
        <f>IFERROR(VLOOKUP(C630,'📋 City-Tier Master'!$A$4:$B$628,2,0),"T4")</f>
        <v>T2</v>
      </c>
      <c r="E630" s="21" t="s">
        <v>652</v>
      </c>
      <c r="F630" s="22">
        <v>12</v>
      </c>
      <c r="G630" s="23"/>
    </row>
    <row r="631" spans="1:7" x14ac:dyDescent="0.25">
      <c r="A631" s="24" t="s">
        <v>1323</v>
      </c>
      <c r="B631" s="25" t="s">
        <v>1255</v>
      </c>
      <c r="C631" s="20" t="s">
        <v>101</v>
      </c>
      <c r="D631" s="13" t="str">
        <f>IFERROR(VLOOKUP(C631,'📋 City-Tier Master'!$A$4:$B$628,2,0),"T4")</f>
        <v>T2</v>
      </c>
      <c r="E631" s="26" t="s">
        <v>652</v>
      </c>
      <c r="F631" s="27">
        <v>20</v>
      </c>
      <c r="G631" s="23"/>
    </row>
    <row r="632" spans="1:7" x14ac:dyDescent="0.25">
      <c r="A632" s="18" t="s">
        <v>1324</v>
      </c>
      <c r="B632" s="19" t="s">
        <v>1255</v>
      </c>
      <c r="C632" s="20" t="s">
        <v>273</v>
      </c>
      <c r="D632" s="14" t="str">
        <f>IFERROR(VLOOKUP(C632,'📋 City-Tier Master'!$A$4:$B$628,2,0),"T4")</f>
        <v>T3</v>
      </c>
      <c r="E632" s="21" t="s">
        <v>652</v>
      </c>
      <c r="F632" s="22">
        <v>20</v>
      </c>
      <c r="G632" s="23"/>
    </row>
    <row r="633" spans="1:7" x14ac:dyDescent="0.25">
      <c r="A633" s="24" t="s">
        <v>1325</v>
      </c>
      <c r="B633" s="25" t="s">
        <v>1255</v>
      </c>
      <c r="C633" s="20" t="s">
        <v>237</v>
      </c>
      <c r="D633" s="14" t="str">
        <f>IFERROR(VLOOKUP(C633,'📋 City-Tier Master'!$A$4:$B$628,2,0),"T4")</f>
        <v>T3</v>
      </c>
      <c r="E633" s="26" t="s">
        <v>652</v>
      </c>
      <c r="F633" s="27">
        <v>27</v>
      </c>
      <c r="G633" s="23"/>
    </row>
    <row r="634" spans="1:7" x14ac:dyDescent="0.25">
      <c r="A634" s="18" t="s">
        <v>1326</v>
      </c>
      <c r="B634" s="19" t="s">
        <v>1255</v>
      </c>
      <c r="C634" s="20" t="s">
        <v>88</v>
      </c>
      <c r="D634" s="13" t="str">
        <f>IFERROR(VLOOKUP(C634,'📋 City-Tier Master'!$A$4:$B$628,2,0),"T4")</f>
        <v>T2</v>
      </c>
      <c r="E634" s="21" t="s">
        <v>652</v>
      </c>
      <c r="F634" s="22">
        <v>17</v>
      </c>
      <c r="G634" s="23"/>
    </row>
    <row r="635" spans="1:7" x14ac:dyDescent="0.25">
      <c r="A635" s="24" t="s">
        <v>1327</v>
      </c>
      <c r="B635" s="25" t="s">
        <v>1255</v>
      </c>
      <c r="C635" s="20" t="s">
        <v>34</v>
      </c>
      <c r="D635" s="12" t="str">
        <f>IFERROR(VLOOKUP(C635,'📋 City-Tier Master'!$A$4:$B$628,2,0),"T4")</f>
        <v>T1</v>
      </c>
      <c r="E635" s="26" t="s">
        <v>652</v>
      </c>
      <c r="F635" s="27">
        <v>191</v>
      </c>
      <c r="G635" s="23"/>
    </row>
    <row r="636" spans="1:7" x14ac:dyDescent="0.25">
      <c r="A636" s="18" t="s">
        <v>1328</v>
      </c>
      <c r="B636" s="19" t="s">
        <v>1329</v>
      </c>
      <c r="C636" s="20" t="s">
        <v>296</v>
      </c>
      <c r="D636" s="14" t="str">
        <f>IFERROR(VLOOKUP(C636,'📋 City-Tier Master'!$A$4:$B$628,2,0),"T4")</f>
        <v>T3</v>
      </c>
      <c r="E636" s="21" t="s">
        <v>652</v>
      </c>
      <c r="F636" s="22">
        <v>10</v>
      </c>
      <c r="G636" s="23"/>
    </row>
    <row r="637" spans="1:7" x14ac:dyDescent="0.25">
      <c r="A637" s="24" t="s">
        <v>1330</v>
      </c>
      <c r="B637" s="25" t="s">
        <v>1329</v>
      </c>
      <c r="C637" s="20" t="s">
        <v>296</v>
      </c>
      <c r="D637" s="14" t="str">
        <f>IFERROR(VLOOKUP(C637,'📋 City-Tier Master'!$A$4:$B$628,2,0),"T4")</f>
        <v>T3</v>
      </c>
      <c r="E637" s="26" t="s">
        <v>652</v>
      </c>
      <c r="F637" s="27">
        <v>3</v>
      </c>
      <c r="G637" s="23"/>
    </row>
    <row r="638" spans="1:7" x14ac:dyDescent="0.25">
      <c r="A638" s="18" t="s">
        <v>1331</v>
      </c>
      <c r="B638" s="19" t="s">
        <v>1329</v>
      </c>
      <c r="C638" s="20" t="s">
        <v>104</v>
      </c>
      <c r="D638" s="13" t="str">
        <f>IFERROR(VLOOKUP(C638,'📋 City-Tier Master'!$A$4:$B$628,2,0),"T4")</f>
        <v>T2</v>
      </c>
      <c r="E638" s="21" t="s">
        <v>652</v>
      </c>
      <c r="F638" s="22">
        <v>3</v>
      </c>
      <c r="G638" s="23"/>
    </row>
    <row r="639" spans="1:7" x14ac:dyDescent="0.25">
      <c r="A639" s="24" t="s">
        <v>1332</v>
      </c>
      <c r="B639" s="25" t="s">
        <v>1329</v>
      </c>
      <c r="C639" s="20" t="s">
        <v>37</v>
      </c>
      <c r="D639" s="12" t="str">
        <f>IFERROR(VLOOKUP(C639,'📋 City-Tier Master'!$A$4:$B$628,2,0),"T4")</f>
        <v>T1</v>
      </c>
      <c r="E639" s="26" t="s">
        <v>652</v>
      </c>
      <c r="F639" s="27">
        <v>302</v>
      </c>
      <c r="G639" s="23"/>
    </row>
    <row r="640" spans="1:7" x14ac:dyDescent="0.25">
      <c r="A640" s="18" t="s">
        <v>1333</v>
      </c>
      <c r="B640" s="19" t="s">
        <v>1329</v>
      </c>
      <c r="C640" s="20" t="s">
        <v>99</v>
      </c>
      <c r="D640" s="13" t="str">
        <f>IFERROR(VLOOKUP(C640,'📋 City-Tier Master'!$A$4:$B$628,2,0),"T4")</f>
        <v>T2</v>
      </c>
      <c r="E640" s="21" t="s">
        <v>652</v>
      </c>
      <c r="F640" s="22">
        <v>80</v>
      </c>
      <c r="G640" s="23"/>
    </row>
    <row r="641" spans="1:7" x14ac:dyDescent="0.25">
      <c r="A641" s="24" t="s">
        <v>1334</v>
      </c>
      <c r="B641" s="25" t="s">
        <v>1329</v>
      </c>
      <c r="C641" s="20" t="s">
        <v>104</v>
      </c>
      <c r="D641" s="13" t="str">
        <f>IFERROR(VLOOKUP(C641,'📋 City-Tier Master'!$A$4:$B$628,2,0),"T4")</f>
        <v>T2</v>
      </c>
      <c r="E641" s="26" t="s">
        <v>652</v>
      </c>
      <c r="F641" s="27">
        <v>57</v>
      </c>
      <c r="G641" s="23"/>
    </row>
    <row r="642" spans="1:7" x14ac:dyDescent="0.25">
      <c r="A642" s="18" t="s">
        <v>1335</v>
      </c>
      <c r="B642" s="19" t="s">
        <v>1329</v>
      </c>
      <c r="C642" s="20" t="s">
        <v>281</v>
      </c>
      <c r="D642" s="14" t="str">
        <f>IFERROR(VLOOKUP(C642,'📋 City-Tier Master'!$A$4:$B$628,2,0),"T4")</f>
        <v>T3</v>
      </c>
      <c r="E642" s="21" t="s">
        <v>652</v>
      </c>
      <c r="F642" s="22">
        <v>17</v>
      </c>
      <c r="G642" s="23"/>
    </row>
    <row r="643" spans="1:7" x14ac:dyDescent="0.25">
      <c r="A643" s="24" t="s">
        <v>1336</v>
      </c>
      <c r="B643" s="25" t="s">
        <v>1329</v>
      </c>
      <c r="C643" s="20" t="s">
        <v>296</v>
      </c>
      <c r="D643" s="14" t="str">
        <f>IFERROR(VLOOKUP(C643,'📋 City-Tier Master'!$A$4:$B$628,2,0),"T4")</f>
        <v>T3</v>
      </c>
      <c r="E643" s="26" t="s">
        <v>652</v>
      </c>
      <c r="F643" s="27">
        <v>6</v>
      </c>
      <c r="G643" s="23"/>
    </row>
    <row r="644" spans="1:7" x14ac:dyDescent="0.25">
      <c r="A644" s="18" t="s">
        <v>1337</v>
      </c>
      <c r="B644" s="19" t="s">
        <v>1329</v>
      </c>
      <c r="C644" s="20" t="s">
        <v>37</v>
      </c>
      <c r="D644" s="12" t="str">
        <f>IFERROR(VLOOKUP(C644,'📋 City-Tier Master'!$A$4:$B$628,2,0),"T4")</f>
        <v>T1</v>
      </c>
      <c r="E644" s="21" t="s">
        <v>652</v>
      </c>
      <c r="F644" s="22">
        <v>3</v>
      </c>
      <c r="G644" s="23"/>
    </row>
    <row r="645" spans="1:7" x14ac:dyDescent="0.25">
      <c r="A645" s="24" t="s">
        <v>1338</v>
      </c>
      <c r="B645" s="25" t="s">
        <v>1329</v>
      </c>
      <c r="C645" s="20" t="s">
        <v>104</v>
      </c>
      <c r="D645" s="13" t="str">
        <f>IFERROR(VLOOKUP(C645,'📋 City-Tier Master'!$A$4:$B$628,2,0),"T4")</f>
        <v>T2</v>
      </c>
      <c r="E645" s="26" t="s">
        <v>652</v>
      </c>
      <c r="F645" s="27">
        <v>76</v>
      </c>
      <c r="G645" s="23"/>
    </row>
    <row r="646" spans="1:7" x14ac:dyDescent="0.25">
      <c r="A646" s="18" t="s">
        <v>1339</v>
      </c>
      <c r="B646" s="19" t="s">
        <v>1329</v>
      </c>
      <c r="C646" s="20" t="s">
        <v>37</v>
      </c>
      <c r="D646" s="12" t="str">
        <f>IFERROR(VLOOKUP(C646,'📋 City-Tier Master'!$A$4:$B$628,2,0),"T4")</f>
        <v>T1</v>
      </c>
      <c r="E646" s="21" t="s">
        <v>652</v>
      </c>
      <c r="F646" s="22">
        <v>3</v>
      </c>
      <c r="G646" s="23"/>
    </row>
    <row r="647" spans="1:7" x14ac:dyDescent="0.25">
      <c r="A647" s="24" t="s">
        <v>1340</v>
      </c>
      <c r="B647" s="25" t="s">
        <v>1341</v>
      </c>
      <c r="C647" s="20" t="s">
        <v>24</v>
      </c>
      <c r="D647" s="9" t="str">
        <f>IFERROR(VLOOKUP(C647,'📋 City-Tier Master'!$A$4:$B$628,2,0),"T4")</f>
        <v>Metro</v>
      </c>
      <c r="E647" s="26" t="s">
        <v>652</v>
      </c>
      <c r="F647" s="27">
        <v>370</v>
      </c>
      <c r="G647" s="23"/>
    </row>
    <row r="648" spans="1:7" x14ac:dyDescent="0.25">
      <c r="A648" s="18" t="s">
        <v>1342</v>
      </c>
      <c r="B648" s="19" t="s">
        <v>1341</v>
      </c>
      <c r="C648" s="20" t="s">
        <v>24</v>
      </c>
      <c r="D648" s="9" t="str">
        <f>IFERROR(VLOOKUP(C648,'📋 City-Tier Master'!$A$4:$B$628,2,0),"T4")</f>
        <v>Metro</v>
      </c>
      <c r="E648" s="21" t="s">
        <v>652</v>
      </c>
      <c r="F648" s="22">
        <v>58</v>
      </c>
      <c r="G648" s="23"/>
    </row>
    <row r="649" spans="1:7" x14ac:dyDescent="0.25">
      <c r="A649" s="24" t="s">
        <v>1343</v>
      </c>
      <c r="B649" s="25" t="s">
        <v>1341</v>
      </c>
      <c r="C649" s="20" t="s">
        <v>512</v>
      </c>
      <c r="D649" s="14" t="str">
        <f>IFERROR(VLOOKUP(C649,'📋 City-Tier Master'!$A$4:$B$628,2,0),"T4")</f>
        <v>T3</v>
      </c>
      <c r="E649" s="26" t="s">
        <v>652</v>
      </c>
      <c r="F649" s="27">
        <v>16</v>
      </c>
      <c r="G649" s="23"/>
    </row>
    <row r="650" spans="1:7" x14ac:dyDescent="0.25">
      <c r="A650" s="18" t="s">
        <v>1344</v>
      </c>
      <c r="B650" s="19" t="s">
        <v>1341</v>
      </c>
      <c r="C650" s="20" t="s">
        <v>497</v>
      </c>
      <c r="D650" s="14" t="str">
        <f>IFERROR(VLOOKUP(C650,'📋 City-Tier Master'!$A$4:$B$628,2,0),"T4")</f>
        <v>T3</v>
      </c>
      <c r="E650" s="21" t="s">
        <v>652</v>
      </c>
      <c r="F650" s="22">
        <v>10</v>
      </c>
      <c r="G650" s="23"/>
    </row>
    <row r="651" spans="1:7" x14ac:dyDescent="0.25">
      <c r="A651" s="24" t="s">
        <v>1345</v>
      </c>
      <c r="B651" s="25" t="s">
        <v>1341</v>
      </c>
      <c r="C651" s="20" t="s">
        <v>501</v>
      </c>
      <c r="D651" s="14" t="str">
        <f>IFERROR(VLOOKUP(C651,'📋 City-Tier Master'!$A$4:$B$628,2,0),"T4")</f>
        <v>T3</v>
      </c>
      <c r="E651" s="26" t="s">
        <v>652</v>
      </c>
      <c r="F651" s="27">
        <v>36</v>
      </c>
      <c r="G651" s="23"/>
    </row>
    <row r="652" spans="1:7" x14ac:dyDescent="0.25">
      <c r="A652" s="18" t="s">
        <v>1346</v>
      </c>
      <c r="B652" s="19" t="s">
        <v>1341</v>
      </c>
      <c r="C652" s="20" t="s">
        <v>192</v>
      </c>
      <c r="D652" s="13" t="str">
        <f>IFERROR(VLOOKUP(C652,'📋 City-Tier Master'!$A$4:$B$628,2,0),"T4")</f>
        <v>T2</v>
      </c>
      <c r="E652" s="21" t="s">
        <v>652</v>
      </c>
      <c r="F652" s="22">
        <v>30</v>
      </c>
      <c r="G652" s="23"/>
    </row>
    <row r="653" spans="1:7" x14ac:dyDescent="0.25">
      <c r="A653" s="24" t="s">
        <v>1347</v>
      </c>
      <c r="B653" s="25" t="s">
        <v>1341</v>
      </c>
      <c r="C653" s="20" t="s">
        <v>1348</v>
      </c>
      <c r="D653" s="14" t="str">
        <f>IFERROR(VLOOKUP(C653,'📋 City-Tier Master'!$A$4:$B$628,2,0),"T4")</f>
        <v>T4</v>
      </c>
      <c r="E653" s="26" t="s">
        <v>652</v>
      </c>
      <c r="F653" s="27">
        <v>157</v>
      </c>
      <c r="G653" s="23"/>
    </row>
    <row r="654" spans="1:7" x14ac:dyDescent="0.25">
      <c r="A654" s="18" t="s">
        <v>1349</v>
      </c>
      <c r="B654" s="19" t="s">
        <v>1341</v>
      </c>
      <c r="C654" s="20" t="s">
        <v>508</v>
      </c>
      <c r="D654" s="14" t="str">
        <f>IFERROR(VLOOKUP(C654,'📋 City-Tier Master'!$A$4:$B$628,2,0),"T4")</f>
        <v>T3</v>
      </c>
      <c r="E654" s="21" t="s">
        <v>652</v>
      </c>
      <c r="F654" s="22">
        <v>18</v>
      </c>
      <c r="G654" s="23"/>
    </row>
    <row r="655" spans="1:7" x14ac:dyDescent="0.25">
      <c r="A655" s="24" t="s">
        <v>1350</v>
      </c>
      <c r="B655" s="25" t="s">
        <v>1341</v>
      </c>
      <c r="C655" s="20" t="s">
        <v>508</v>
      </c>
      <c r="D655" s="14" t="str">
        <f>IFERROR(VLOOKUP(C655,'📋 City-Tier Master'!$A$4:$B$628,2,0),"T4")</f>
        <v>T3</v>
      </c>
      <c r="E655" s="26" t="s">
        <v>652</v>
      </c>
      <c r="F655" s="27">
        <v>20</v>
      </c>
      <c r="G655" s="23"/>
    </row>
    <row r="656" spans="1:7" x14ac:dyDescent="0.25">
      <c r="A656" s="18" t="s">
        <v>1351</v>
      </c>
      <c r="B656" s="19" t="s">
        <v>1341</v>
      </c>
      <c r="C656" s="20" t="s">
        <v>490</v>
      </c>
      <c r="D656" s="14" t="str">
        <f>IFERROR(VLOOKUP(C656,'📋 City-Tier Master'!$A$4:$B$628,2,0),"T4")</f>
        <v>T3</v>
      </c>
      <c r="E656" s="21" t="s">
        <v>652</v>
      </c>
      <c r="F656" s="22">
        <v>109</v>
      </c>
      <c r="G656" s="23"/>
    </row>
    <row r="657" spans="1:7" x14ac:dyDescent="0.25">
      <c r="A657" s="24" t="s">
        <v>1352</v>
      </c>
      <c r="B657" s="25" t="s">
        <v>1341</v>
      </c>
      <c r="C657" s="20" t="s">
        <v>24</v>
      </c>
      <c r="D657" s="9" t="str">
        <f>IFERROR(VLOOKUP(C657,'📋 City-Tier Master'!$A$4:$B$628,2,0),"T4")</f>
        <v>Metro</v>
      </c>
      <c r="E657" s="26" t="s">
        <v>652</v>
      </c>
      <c r="F657" s="27">
        <v>112</v>
      </c>
      <c r="G657" s="23"/>
    </row>
    <row r="658" spans="1:7" x14ac:dyDescent="0.25">
      <c r="A658" s="18" t="s">
        <v>1353</v>
      </c>
      <c r="B658" s="19" t="s">
        <v>1341</v>
      </c>
      <c r="C658" s="20" t="s">
        <v>1348</v>
      </c>
      <c r="D658" s="14" t="str">
        <f>IFERROR(VLOOKUP(C658,'📋 City-Tier Master'!$A$4:$B$628,2,0),"T4")</f>
        <v>T4</v>
      </c>
      <c r="E658" s="21" t="s">
        <v>652</v>
      </c>
      <c r="F658" s="22">
        <v>23</v>
      </c>
      <c r="G658" s="23"/>
    </row>
    <row r="659" spans="1:7" x14ac:dyDescent="0.25">
      <c r="A659" s="24" t="s">
        <v>1354</v>
      </c>
      <c r="B659" s="25" t="s">
        <v>1341</v>
      </c>
      <c r="C659" s="20" t="s">
        <v>495</v>
      </c>
      <c r="D659" s="14" t="str">
        <f>IFERROR(VLOOKUP(C659,'📋 City-Tier Master'!$A$4:$B$628,2,0),"T4")</f>
        <v>T3</v>
      </c>
      <c r="E659" s="26" t="s">
        <v>652</v>
      </c>
      <c r="F659" s="27">
        <v>4</v>
      </c>
      <c r="G659" s="23"/>
    </row>
    <row r="660" spans="1:7" x14ac:dyDescent="0.25">
      <c r="A660" s="18" t="s">
        <v>1355</v>
      </c>
      <c r="B660" s="19" t="s">
        <v>1341</v>
      </c>
      <c r="C660" s="20" t="s">
        <v>1348</v>
      </c>
      <c r="D660" s="14" t="str">
        <f>IFERROR(VLOOKUP(C660,'📋 City-Tier Master'!$A$4:$B$628,2,0),"T4")</f>
        <v>T4</v>
      </c>
      <c r="E660" s="21" t="s">
        <v>652</v>
      </c>
      <c r="F660" s="22">
        <v>3</v>
      </c>
      <c r="G660" s="23"/>
    </row>
    <row r="661" spans="1:7" x14ac:dyDescent="0.25">
      <c r="A661" s="24" t="s">
        <v>1356</v>
      </c>
      <c r="B661" s="25" t="s">
        <v>1341</v>
      </c>
      <c r="C661" s="20" t="s">
        <v>24</v>
      </c>
      <c r="D661" s="9" t="str">
        <f>IFERROR(VLOOKUP(C661,'📋 City-Tier Master'!$A$4:$B$628,2,0),"T4")</f>
        <v>Metro</v>
      </c>
      <c r="E661" s="26" t="s">
        <v>652</v>
      </c>
      <c r="F661" s="27">
        <v>383</v>
      </c>
      <c r="G661" s="23"/>
    </row>
    <row r="662" spans="1:7" x14ac:dyDescent="0.25">
      <c r="A662" s="18" t="s">
        <v>1357</v>
      </c>
      <c r="B662" s="19" t="s">
        <v>1341</v>
      </c>
      <c r="C662" s="20" t="s">
        <v>190</v>
      </c>
      <c r="D662" s="13" t="str">
        <f>IFERROR(VLOOKUP(C662,'📋 City-Tier Master'!$A$4:$B$628,2,0),"T4")</f>
        <v>T2</v>
      </c>
      <c r="E662" s="21" t="s">
        <v>652</v>
      </c>
      <c r="F662" s="22">
        <v>47</v>
      </c>
      <c r="G662" s="23"/>
    </row>
    <row r="663" spans="1:7" x14ac:dyDescent="0.25">
      <c r="A663" s="24" t="s">
        <v>1358</v>
      </c>
      <c r="B663" s="25" t="s">
        <v>1341</v>
      </c>
      <c r="C663" s="20" t="s">
        <v>496</v>
      </c>
      <c r="D663" s="14" t="str">
        <f>IFERROR(VLOOKUP(C663,'📋 City-Tier Master'!$A$4:$B$628,2,0),"T4")</f>
        <v>T3</v>
      </c>
      <c r="E663" s="26" t="s">
        <v>652</v>
      </c>
      <c r="F663" s="27">
        <v>31</v>
      </c>
      <c r="G663" s="23"/>
    </row>
    <row r="664" spans="1:7" x14ac:dyDescent="0.25">
      <c r="A664" s="18" t="s">
        <v>1359</v>
      </c>
      <c r="B664" s="19" t="s">
        <v>1341</v>
      </c>
      <c r="C664" s="20" t="s">
        <v>495</v>
      </c>
      <c r="D664" s="14" t="str">
        <f>IFERROR(VLOOKUP(C664,'📋 City-Tier Master'!$A$4:$B$628,2,0),"T4")</f>
        <v>T3</v>
      </c>
      <c r="E664" s="21" t="s">
        <v>652</v>
      </c>
      <c r="F664" s="22">
        <v>36</v>
      </c>
      <c r="G664" s="23"/>
    </row>
    <row r="665" spans="1:7" x14ac:dyDescent="0.25">
      <c r="A665" s="24" t="s">
        <v>1360</v>
      </c>
      <c r="B665" s="25" t="s">
        <v>1341</v>
      </c>
      <c r="C665" s="20" t="s">
        <v>515</v>
      </c>
      <c r="D665" s="14" t="str">
        <f>IFERROR(VLOOKUP(C665,'📋 City-Tier Master'!$A$4:$B$628,2,0),"T4")</f>
        <v>T3</v>
      </c>
      <c r="E665" s="26" t="s">
        <v>652</v>
      </c>
      <c r="F665" s="27">
        <v>62</v>
      </c>
      <c r="G665" s="23"/>
    </row>
    <row r="666" spans="1:7" x14ac:dyDescent="0.25">
      <c r="A666" s="18" t="s">
        <v>1361</v>
      </c>
      <c r="B666" s="19" t="s">
        <v>1341</v>
      </c>
      <c r="C666" s="20" t="s">
        <v>24</v>
      </c>
      <c r="D666" s="9" t="str">
        <f>IFERROR(VLOOKUP(C666,'📋 City-Tier Master'!$A$4:$B$628,2,0),"T4")</f>
        <v>Metro</v>
      </c>
      <c r="E666" s="21" t="s">
        <v>652</v>
      </c>
      <c r="F666" s="22">
        <v>59</v>
      </c>
      <c r="G666" s="23"/>
    </row>
    <row r="667" spans="1:7" x14ac:dyDescent="0.25">
      <c r="A667" s="24" t="s">
        <v>1362</v>
      </c>
      <c r="B667" s="25" t="s">
        <v>1341</v>
      </c>
      <c r="C667" s="20" t="s">
        <v>188</v>
      </c>
      <c r="D667" s="13" t="str">
        <f>IFERROR(VLOOKUP(C667,'📋 City-Tier Master'!$A$4:$B$628,2,0),"T4")</f>
        <v>T2</v>
      </c>
      <c r="E667" s="26" t="s">
        <v>652</v>
      </c>
      <c r="F667" s="27">
        <v>121</v>
      </c>
      <c r="G667" s="23"/>
    </row>
    <row r="668" spans="1:7" x14ac:dyDescent="0.25">
      <c r="A668" s="18" t="s">
        <v>1363</v>
      </c>
      <c r="B668" s="19" t="s">
        <v>1341</v>
      </c>
      <c r="C668" s="20" t="s">
        <v>493</v>
      </c>
      <c r="D668" s="14" t="str">
        <f>IFERROR(VLOOKUP(C668,'📋 City-Tier Master'!$A$4:$B$628,2,0),"T4")</f>
        <v>T3</v>
      </c>
      <c r="E668" s="21" t="s">
        <v>652</v>
      </c>
      <c r="F668" s="22">
        <v>53</v>
      </c>
      <c r="G668" s="23"/>
    </row>
    <row r="669" spans="1:7" x14ac:dyDescent="0.25">
      <c r="A669" s="24" t="s">
        <v>1364</v>
      </c>
      <c r="B669" s="25" t="s">
        <v>1341</v>
      </c>
      <c r="C669" s="20" t="s">
        <v>500</v>
      </c>
      <c r="D669" s="14" t="str">
        <f>IFERROR(VLOOKUP(C669,'📋 City-Tier Master'!$A$4:$B$628,2,0),"T4")</f>
        <v>T3</v>
      </c>
      <c r="E669" s="26" t="s">
        <v>652</v>
      </c>
      <c r="F669" s="27">
        <v>19</v>
      </c>
      <c r="G669" s="23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38F"/>
  </sheetPr>
  <dimension ref="A1:F19"/>
  <sheetViews>
    <sheetView zoomScaleNormal="100" workbookViewId="0">
      <selection activeCell="E7" sqref="E7"/>
    </sheetView>
  </sheetViews>
  <sheetFormatPr defaultColWidth="8.7109375" defaultRowHeight="15" x14ac:dyDescent="0.25"/>
  <cols>
    <col min="1" max="1" width="12" customWidth="1"/>
    <col min="2" max="2" width="20" customWidth="1"/>
    <col min="3" max="4" width="18" customWidth="1"/>
    <col min="5" max="5" width="16" customWidth="1"/>
    <col min="6" max="6" width="14" customWidth="1"/>
  </cols>
  <sheetData>
    <row r="1" spans="1:6" ht="27.75" customHeight="1" x14ac:dyDescent="0.3">
      <c r="A1" s="3" t="s">
        <v>1365</v>
      </c>
      <c r="B1" s="3"/>
      <c r="C1" s="3"/>
      <c r="D1" s="3"/>
      <c r="E1" s="3"/>
      <c r="F1" s="3"/>
    </row>
    <row r="2" spans="1:6" x14ac:dyDescent="0.25">
      <c r="A2" s="2" t="s">
        <v>1366</v>
      </c>
      <c r="B2" s="2"/>
      <c r="C2" s="2"/>
      <c r="D2" s="2"/>
      <c r="E2" s="2"/>
      <c r="F2" s="2"/>
    </row>
    <row r="4" spans="1:6" ht="19.5" customHeight="1" x14ac:dyDescent="0.25">
      <c r="A4" s="7" t="s">
        <v>2</v>
      </c>
      <c r="B4" s="7" t="s">
        <v>3</v>
      </c>
      <c r="C4" s="7" t="s">
        <v>1367</v>
      </c>
      <c r="D4" s="7" t="s">
        <v>1368</v>
      </c>
      <c r="E4" s="7" t="s">
        <v>648</v>
      </c>
      <c r="F4" s="7" t="s">
        <v>1369</v>
      </c>
    </row>
    <row r="5" spans="1:6" x14ac:dyDescent="0.25">
      <c r="A5" s="31" t="s">
        <v>6</v>
      </c>
      <c r="B5" s="32" t="s">
        <v>7</v>
      </c>
      <c r="C5" s="33">
        <v>17</v>
      </c>
      <c r="D5" s="33">
        <v>33</v>
      </c>
      <c r="E5" s="34">
        <f>SUMIF('🔗 District-City Map'!$D$4:$D$669,A5,'🔗 District-City Map'!$F$4:$F$669)</f>
        <v>8072</v>
      </c>
      <c r="F5" s="35">
        <f>IF(E10=0,"-",E5/E10)</f>
        <v>0.25427626397857933</v>
      </c>
    </row>
    <row r="6" spans="1:6" x14ac:dyDescent="0.25">
      <c r="A6" s="36" t="s">
        <v>26</v>
      </c>
      <c r="B6" s="32" t="s">
        <v>27</v>
      </c>
      <c r="C6" s="33">
        <v>34</v>
      </c>
      <c r="D6" s="33">
        <v>61</v>
      </c>
      <c r="E6" s="37">
        <f>SUMIF('🔗 District-City Map'!$D$4:$D$669,A6,'🔗 District-City Map'!$F$4:$F$669)</f>
        <v>7412</v>
      </c>
      <c r="F6" s="35">
        <f>IF(E10=0,"-",E6/E10)</f>
        <v>0.23348558828161917</v>
      </c>
    </row>
    <row r="7" spans="1:6" x14ac:dyDescent="0.25">
      <c r="A7" s="38" t="s">
        <v>62</v>
      </c>
      <c r="B7" s="32" t="s">
        <v>63</v>
      </c>
      <c r="C7" s="33">
        <v>147</v>
      </c>
      <c r="D7" s="33">
        <v>246</v>
      </c>
      <c r="E7" s="39">
        <f>SUMIF('🔗 District-City Map'!$D$4:$D$669,A7,'🔗 District-City Map'!$F$4:$F$669)</f>
        <v>9560</v>
      </c>
      <c r="F7" s="35">
        <f>IF(E10=0,"-",E7/E10)</f>
        <v>0.30114978736808945</v>
      </c>
    </row>
    <row r="8" spans="1:6" x14ac:dyDescent="0.25">
      <c r="A8" s="40" t="s">
        <v>211</v>
      </c>
      <c r="B8" s="32" t="s">
        <v>212</v>
      </c>
      <c r="C8" s="33">
        <v>386</v>
      </c>
      <c r="D8" s="33">
        <v>322</v>
      </c>
      <c r="E8" s="41">
        <f>SUMIF('🔗 District-City Map'!$D$4:$D$669,A8,'🔗 District-City Map'!$F$4:$F$669)</f>
        <v>5708</v>
      </c>
      <c r="F8" s="35">
        <f>IF(E10=0,"-",E8/E10)</f>
        <v>0.17980784375492204</v>
      </c>
    </row>
    <row r="9" spans="1:6" x14ac:dyDescent="0.25">
      <c r="A9" s="42" t="s">
        <v>599</v>
      </c>
      <c r="B9" s="32" t="s">
        <v>600</v>
      </c>
      <c r="C9" s="33">
        <v>41</v>
      </c>
      <c r="D9" s="33">
        <v>4</v>
      </c>
      <c r="E9" s="43">
        <f>SUMIF('🔗 District-City Map'!$D$4:$D$669,A9,'🔗 District-City Map'!$F$4:$F$669)</f>
        <v>993</v>
      </c>
      <c r="F9" s="35">
        <f>IF(E10=0,"-",E9/E10)</f>
        <v>3.1280516616790044E-2</v>
      </c>
    </row>
    <row r="10" spans="1:6" x14ac:dyDescent="0.25">
      <c r="A10" s="44" t="s">
        <v>1370</v>
      </c>
      <c r="B10" s="45" t="s">
        <v>1371</v>
      </c>
      <c r="C10" s="7">
        <f>SUM(C5:C9)</f>
        <v>625</v>
      </c>
      <c r="D10" s="7">
        <f>SUM(D5:D9)</f>
        <v>666</v>
      </c>
      <c r="E10" s="46">
        <f>SUM(E5:E9)</f>
        <v>31745</v>
      </c>
      <c r="F10" s="7" t="s">
        <v>1372</v>
      </c>
    </row>
    <row r="14" spans="1:6" x14ac:dyDescent="0.25">
      <c r="A14" s="30" t="s">
        <v>1373</v>
      </c>
    </row>
    <row r="15" spans="1:6" x14ac:dyDescent="0.25">
      <c r="A15" s="47" t="s">
        <v>6</v>
      </c>
      <c r="B15" s="47" t="s">
        <v>1374</v>
      </c>
    </row>
    <row r="16" spans="1:6" x14ac:dyDescent="0.25">
      <c r="A16" s="47" t="s">
        <v>26</v>
      </c>
      <c r="B16" s="47" t="s">
        <v>1375</v>
      </c>
    </row>
    <row r="17" spans="1:2" x14ac:dyDescent="0.25">
      <c r="A17" s="47" t="s">
        <v>62</v>
      </c>
      <c r="B17" s="47" t="s">
        <v>1376</v>
      </c>
    </row>
    <row r="18" spans="1:2" x14ac:dyDescent="0.25">
      <c r="A18" s="47" t="s">
        <v>211</v>
      </c>
      <c r="B18" s="47" t="s">
        <v>1377</v>
      </c>
    </row>
    <row r="19" spans="1:2" x14ac:dyDescent="0.25">
      <c r="A19" s="47" t="s">
        <v>599</v>
      </c>
      <c r="B19" s="47" t="s">
        <v>1378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C27"/>
  <sheetViews>
    <sheetView zoomScaleNormal="100" workbookViewId="0">
      <selection sqref="A1:C1"/>
    </sheetView>
  </sheetViews>
  <sheetFormatPr defaultColWidth="8.7109375" defaultRowHeight="15" x14ac:dyDescent="0.25"/>
  <cols>
    <col min="1" max="1" width="6" customWidth="1"/>
    <col min="2" max="2" width="32" customWidth="1"/>
    <col min="3" max="3" width="62" customWidth="1"/>
  </cols>
  <sheetData>
    <row r="1" spans="1:3" ht="36" customHeight="1" x14ac:dyDescent="0.25">
      <c r="A1" s="1" t="s">
        <v>1379</v>
      </c>
      <c r="B1" s="1"/>
      <c r="C1" s="1"/>
    </row>
    <row r="3" spans="1:3" ht="21.75" customHeight="1" x14ac:dyDescent="0.25">
      <c r="A3" s="48"/>
      <c r="B3" s="16" t="s">
        <v>1380</v>
      </c>
      <c r="C3" s="48"/>
    </row>
    <row r="4" spans="1:3" ht="19.5" customHeight="1" x14ac:dyDescent="0.25">
      <c r="B4" s="49" t="s">
        <v>1381</v>
      </c>
      <c r="C4" s="50" t="s">
        <v>1382</v>
      </c>
    </row>
    <row r="5" spans="1:3" ht="19.5" customHeight="1" x14ac:dyDescent="0.25">
      <c r="B5" s="51" t="s">
        <v>1383</v>
      </c>
      <c r="C5" s="52" t="s">
        <v>1384</v>
      </c>
    </row>
    <row r="6" spans="1:3" ht="19.5" customHeight="1" x14ac:dyDescent="0.25">
      <c r="B6" s="49" t="s">
        <v>1385</v>
      </c>
      <c r="C6" s="50" t="s">
        <v>1386</v>
      </c>
    </row>
    <row r="8" spans="1:3" ht="21.75" customHeight="1" x14ac:dyDescent="0.25">
      <c r="A8" s="48"/>
      <c r="B8" s="16" t="s">
        <v>1387</v>
      </c>
      <c r="C8" s="48"/>
    </row>
    <row r="9" spans="1:3" ht="19.5" customHeight="1" x14ac:dyDescent="0.25">
      <c r="B9" s="51" t="s">
        <v>1388</v>
      </c>
      <c r="C9" s="52" t="s">
        <v>1389</v>
      </c>
    </row>
    <row r="10" spans="1:3" ht="19.5" customHeight="1" x14ac:dyDescent="0.25">
      <c r="B10" s="49" t="s">
        <v>1390</v>
      </c>
      <c r="C10" s="50" t="s">
        <v>1391</v>
      </c>
    </row>
    <row r="11" spans="1:3" ht="19.5" customHeight="1" x14ac:dyDescent="0.25">
      <c r="B11" s="51" t="s">
        <v>1392</v>
      </c>
      <c r="C11" s="52" t="s">
        <v>1393</v>
      </c>
    </row>
    <row r="12" spans="1:3" ht="19.5" customHeight="1" x14ac:dyDescent="0.25">
      <c r="B12" s="49" t="s">
        <v>1394</v>
      </c>
      <c r="C12" s="50" t="s">
        <v>1395</v>
      </c>
    </row>
    <row r="13" spans="1:3" ht="19.5" customHeight="1" x14ac:dyDescent="0.25">
      <c r="B13" s="51" t="s">
        <v>1396</v>
      </c>
      <c r="C13" s="52" t="s">
        <v>1397</v>
      </c>
    </row>
    <row r="15" spans="1:3" ht="21.75" customHeight="1" x14ac:dyDescent="0.25">
      <c r="A15" s="48"/>
      <c r="B15" s="16" t="s">
        <v>1398</v>
      </c>
      <c r="C15" s="48"/>
    </row>
    <row r="16" spans="1:3" ht="19.5" customHeight="1" x14ac:dyDescent="0.25">
      <c r="B16" s="49" t="s">
        <v>1399</v>
      </c>
      <c r="C16" s="50" t="s">
        <v>1400</v>
      </c>
    </row>
    <row r="17" spans="1:3" ht="19.5" customHeight="1" x14ac:dyDescent="0.25">
      <c r="B17" s="51" t="s">
        <v>1401</v>
      </c>
      <c r="C17" s="52" t="s">
        <v>1402</v>
      </c>
    </row>
    <row r="18" spans="1:3" ht="19.5" customHeight="1" x14ac:dyDescent="0.25">
      <c r="B18" s="49" t="s">
        <v>1403</v>
      </c>
      <c r="C18" s="50" t="s">
        <v>1404</v>
      </c>
    </row>
    <row r="19" spans="1:3" ht="19.5" customHeight="1" x14ac:dyDescent="0.25">
      <c r="B19" s="51" t="s">
        <v>1405</v>
      </c>
      <c r="C19" s="52" t="s">
        <v>1406</v>
      </c>
    </row>
    <row r="21" spans="1:3" ht="21.75" customHeight="1" x14ac:dyDescent="0.25">
      <c r="A21" s="48"/>
      <c r="B21" s="16" t="s">
        <v>1407</v>
      </c>
      <c r="C21" s="48"/>
    </row>
    <row r="22" spans="1:3" ht="19.5" customHeight="1" x14ac:dyDescent="0.25">
      <c r="B22" s="49" t="s">
        <v>1408</v>
      </c>
      <c r="C22" s="50" t="s">
        <v>1409</v>
      </c>
    </row>
    <row r="23" spans="1:3" ht="19.5" customHeight="1" x14ac:dyDescent="0.25">
      <c r="B23" s="51" t="s">
        <v>1410</v>
      </c>
      <c r="C23" s="52" t="s">
        <v>1411</v>
      </c>
    </row>
    <row r="24" spans="1:3" ht="19.5" customHeight="1" x14ac:dyDescent="0.25">
      <c r="B24" s="49" t="s">
        <v>1412</v>
      </c>
      <c r="C24" s="50" t="s">
        <v>1413</v>
      </c>
    </row>
    <row r="25" spans="1:3" ht="19.5" customHeight="1" x14ac:dyDescent="0.25">
      <c r="B25" s="51" t="s">
        <v>1414</v>
      </c>
      <c r="C25" s="52" t="s">
        <v>1415</v>
      </c>
    </row>
    <row r="26" spans="1:3" ht="19.5" customHeight="1" x14ac:dyDescent="0.25">
      <c r="B26" s="49" t="s">
        <v>1416</v>
      </c>
      <c r="C26" s="50" t="s">
        <v>1417</v>
      </c>
    </row>
    <row r="27" spans="1:3" ht="19.5" customHeight="1" x14ac:dyDescent="0.25">
      <c r="B27" s="51" t="s">
        <v>1418</v>
      </c>
      <c r="C27" s="52" t="s">
        <v>1419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City-Tier Master</vt:lpstr>
      <vt:lpstr>🔗 District-City Map</vt:lpstr>
      <vt:lpstr>📊 Tier Stats</vt:lpstr>
      <vt:lpstr>ℹ️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priyanshu sengar</cp:lastModifiedBy>
  <cp:revision>0</cp:revision>
  <dcterms:created xsi:type="dcterms:W3CDTF">2026-06-05T11:36:08Z</dcterms:created>
  <dcterms:modified xsi:type="dcterms:W3CDTF">2026-06-05T12:22:51Z</dcterms:modified>
  <dc:language>en-US</dc:language>
</cp:coreProperties>
</file>