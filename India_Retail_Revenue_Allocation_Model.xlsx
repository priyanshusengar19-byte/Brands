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d1ddc38bd477b7ce/Desktop/"/>
    </mc:Choice>
  </mc:AlternateContent>
  <xr:revisionPtr revIDLastSave="0" documentId="8_{37582D60-EC21-4268-BC55-CD7580A34244}" xr6:coauthVersionLast="47" xr6:coauthVersionMax="47" xr10:uidLastSave="{00000000-0000-0000-0000-000000000000}"/>
  <bookViews>
    <workbookView xWindow="-105" yWindow="270" windowWidth="51810" windowHeight="20715" tabRatio="500" activeTab="5" xr2:uid="{00000000-000D-0000-FFFF-FFFF00000000}"/>
  </bookViews>
  <sheets>
    <sheet name="Master Summary" sheetId="1" r:id="rId1"/>
    <sheet name="Metro Brands" sheetId="2" r:id="rId2"/>
    <sheet name="Arvind Fashions" sheetId="3" r:id="rId3"/>
    <sheet name="Trent" sheetId="4" r:id="rId4"/>
    <sheet name="ABFRL" sheetId="5" r:id="rId5"/>
    <sheet name="Lifestyle International" sheetId="6" r:id="rId6"/>
    <sheet name="Assumptions &amp; Methodology" sheetId="7" r:id="rId7"/>
    <sheet name="Sources &amp; Data Quality"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51" i="6" l="1"/>
  <c r="C52" i="6" s="1"/>
  <c r="C45" i="6"/>
  <c r="C43" i="6"/>
  <c r="F51" i="6"/>
  <c r="B51" i="6" s="1"/>
  <c r="F50" i="6"/>
  <c r="C49" i="6"/>
  <c r="B49" i="6"/>
  <c r="B43" i="6" s="1"/>
  <c r="E52" i="6"/>
  <c r="E51" i="6"/>
  <c r="B44" i="6" s="1"/>
  <c r="E50" i="6"/>
  <c r="D50" i="6"/>
  <c r="C50" i="6"/>
  <c r="B50" i="6" s="1"/>
  <c r="C44" i="5"/>
  <c r="C43" i="5"/>
  <c r="D44" i="5"/>
  <c r="B39" i="5"/>
  <c r="D55" i="3"/>
  <c r="B55" i="3"/>
  <c r="B54" i="3"/>
  <c r="B52" i="3"/>
  <c r="B51" i="3"/>
  <c r="B50" i="3"/>
  <c r="D54" i="3"/>
  <c r="D53" i="3"/>
  <c r="B53" i="3" s="1"/>
  <c r="D52" i="3"/>
  <c r="D51" i="3"/>
  <c r="D50" i="3"/>
  <c r="B47" i="3"/>
  <c r="B44" i="3"/>
  <c r="D64" i="2"/>
  <c r="C64" i="2"/>
  <c r="B64" i="2"/>
  <c r="D63" i="2"/>
  <c r="C63" i="2"/>
  <c r="B63" i="2"/>
  <c r="G57" i="2"/>
  <c r="G55" i="2"/>
  <c r="F58" i="2"/>
  <c r="F56" i="2"/>
  <c r="D74" i="2"/>
  <c r="C74" i="2"/>
  <c r="B74" i="2"/>
  <c r="D71" i="2"/>
  <c r="D72" i="2" s="1"/>
  <c r="C71" i="2"/>
  <c r="C72" i="2" s="1"/>
  <c r="B71" i="2"/>
  <c r="B72" i="2" s="1"/>
  <c r="F38" i="6"/>
  <c r="F37" i="6"/>
  <c r="F36" i="6"/>
  <c r="F35" i="6"/>
  <c r="F34" i="6"/>
  <c r="F33" i="6"/>
  <c r="G30" i="5"/>
  <c r="F30" i="5"/>
  <c r="E30" i="5"/>
  <c r="G29" i="5"/>
  <c r="F29" i="5"/>
  <c r="E29" i="5"/>
  <c r="F28" i="5"/>
  <c r="E28" i="5"/>
  <c r="D24" i="5"/>
  <c r="C24" i="5"/>
  <c r="B24" i="5"/>
  <c r="F23" i="5"/>
  <c r="E23" i="5"/>
  <c r="F22" i="5"/>
  <c r="E22" i="5"/>
  <c r="F39" i="4"/>
  <c r="H39" i="4" s="1"/>
  <c r="D39" i="4"/>
  <c r="B39" i="4"/>
  <c r="I38" i="4"/>
  <c r="H38" i="4"/>
  <c r="I37" i="4"/>
  <c r="H37" i="4"/>
  <c r="I36" i="4"/>
  <c r="H36" i="4"/>
  <c r="I35" i="4"/>
  <c r="H35" i="4"/>
  <c r="F38" i="3"/>
  <c r="D38" i="3"/>
  <c r="B38" i="3"/>
  <c r="I37" i="3"/>
  <c r="H37" i="3"/>
  <c r="G37" i="3"/>
  <c r="E37" i="3"/>
  <c r="C37" i="3"/>
  <c r="I36" i="3"/>
  <c r="H36" i="3"/>
  <c r="G36" i="3"/>
  <c r="E36" i="3"/>
  <c r="C36" i="3"/>
  <c r="I35" i="3"/>
  <c r="H35" i="3"/>
  <c r="G35" i="3"/>
  <c r="E35" i="3"/>
  <c r="C35" i="3"/>
  <c r="I34" i="3"/>
  <c r="H34" i="3"/>
  <c r="G34" i="3"/>
  <c r="E34" i="3"/>
  <c r="C34" i="3"/>
  <c r="I33" i="3"/>
  <c r="H33" i="3"/>
  <c r="G33" i="3"/>
  <c r="E33" i="3"/>
  <c r="C33" i="3"/>
  <c r="I32" i="3"/>
  <c r="H32" i="3"/>
  <c r="G32" i="3"/>
  <c r="E32" i="3"/>
  <c r="C32" i="3"/>
  <c r="E27" i="3"/>
  <c r="B45" i="3" s="1"/>
  <c r="D27" i="3"/>
  <c r="C27" i="3"/>
  <c r="D40" i="2"/>
  <c r="D39" i="2"/>
  <c r="D38" i="2"/>
  <c r="G32" i="2"/>
  <c r="E32" i="2"/>
  <c r="C32" i="2"/>
  <c r="G31" i="2"/>
  <c r="E31" i="2"/>
  <c r="C31" i="2"/>
  <c r="G30" i="2"/>
  <c r="E30" i="2"/>
  <c r="C30" i="2"/>
  <c r="D25" i="2"/>
  <c r="C25" i="2"/>
  <c r="G24" i="2"/>
  <c r="F24" i="2"/>
  <c r="G23" i="2"/>
  <c r="F23" i="2"/>
  <c r="G22" i="2"/>
  <c r="F22" i="2"/>
  <c r="K28" i="1"/>
  <c r="K27" i="1"/>
  <c r="K26" i="1"/>
  <c r="K24" i="1"/>
  <c r="K23" i="1"/>
  <c r="K22" i="1"/>
  <c r="K21" i="1"/>
  <c r="K20" i="1"/>
  <c r="K18" i="1"/>
  <c r="K17" i="1"/>
  <c r="K16" i="1"/>
  <c r="K15" i="1"/>
  <c r="K14" i="1"/>
  <c r="K13" i="1"/>
  <c r="K12" i="1"/>
  <c r="K10" i="1"/>
  <c r="K9" i="1"/>
  <c r="K8" i="1"/>
  <c r="K7" i="1"/>
  <c r="K6" i="1"/>
  <c r="D51" i="6" l="1"/>
  <c r="B52" i="6"/>
  <c r="B45" i="6"/>
  <c r="B44" i="5"/>
  <c r="B43" i="5" s="1"/>
  <c r="D43" i="5" s="1"/>
  <c r="I38" i="3"/>
  <c r="B77" i="2"/>
  <c r="H57" i="2"/>
  <c r="D62" i="2" s="1"/>
  <c r="H55" i="2"/>
  <c r="B73" i="2"/>
  <c r="D73" i="2"/>
  <c r="C73" i="2"/>
  <c r="C33" i="2"/>
  <c r="H30" i="2" s="1"/>
  <c r="E33" i="2"/>
  <c r="I31" i="2" s="1"/>
  <c r="G33" i="2"/>
  <c r="H38" i="3"/>
  <c r="F52" i="6" l="1"/>
  <c r="D52" i="6"/>
  <c r="B62" i="2"/>
  <c r="C62" i="2"/>
  <c r="B80" i="2"/>
  <c r="B78" i="2"/>
  <c r="I30" i="2"/>
  <c r="I32" i="2"/>
  <c r="H32" i="2"/>
  <c r="H31" i="2"/>
  <c r="J32" i="2"/>
  <c r="J31" i="2"/>
  <c r="J30" i="2"/>
  <c r="B82" i="2" l="1"/>
  <c r="B84" i="2"/>
  <c r="I34" i="2"/>
  <c r="K30" i="2"/>
  <c r="K32" i="2"/>
  <c r="M55" i="2"/>
  <c r="M57" i="2" s="1"/>
  <c r="H34" i="2"/>
  <c r="K31" i="2"/>
  <c r="M32" i="2"/>
  <c r="L32" i="2"/>
  <c r="M30" i="2"/>
  <c r="J34" i="2"/>
  <c r="L30" i="2"/>
  <c r="M31" i="2"/>
  <c r="L31" i="2"/>
  <c r="K34" i="2" l="1"/>
  <c r="M34" i="2"/>
  <c r="L3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tc={2F3F0D30-38D9-4D4F-BA6A-2F6E6623BDA3}</author>
    <author>tc={45CC187C-F561-4F57-B9E4-61E794DFF4C8}</author>
  </authors>
  <commentList>
    <comment ref="I21" authorId="0" shapeId="0" xr:uid="{2F3F0D30-38D9-4D4F-BA6A-2F6E6623BDA3}">
      <text>
        <t>[Threaded comment]
Your version of Excel allows you to read this threaded comment; however, any edits to it will get removed if the file is opened in a newer version of Excel. Learn more: https://go.microsoft.com/fwlink/?linkid=870924
Comment:
    Don’t know what is this</t>
      </text>
    </comment>
    <comment ref="A80" authorId="1" shapeId="0" xr:uid="{45CC187C-F561-4F57-B9E4-61E794DFF4C8}">
      <text>
        <t xml:space="preserve">[Threaded comment]
Your version of Excel allows you to read this threaded comment; however, any edits to it will get removed if the file is opened in a newer version of Excel. Learn more: https://go.microsoft.com/fwlink/?linkid=870924
Comment:
    73% of total Revenue - Metro and Mochi Sum
</t>
      </text>
    </comment>
  </commentList>
</comments>
</file>

<file path=xl/sharedStrings.xml><?xml version="1.0" encoding="utf-8"?>
<sst xmlns="http://schemas.openxmlformats.org/spreadsheetml/2006/main" count="1147" uniqueCount="815">
  <si>
    <t>INDIA RETAIL REVENUE ALLOCATION MODEL — MASTER SUMMARY</t>
  </si>
  <si>
    <t>Revenue in ₹ Crore | Inputs in Blue | Formulas in Black | Yellow = Flagged/Estimate | Green = Confirmed</t>
  </si>
  <si>
    <t>Colour Key:</t>
  </si>
  <si>
    <t>Input (Blue)</t>
  </si>
  <si>
    <t>Formula (Black)</t>
  </si>
  <si>
    <t>Confirmed Source</t>
  </si>
  <si>
    <t>Estimate/Flag</t>
  </si>
  <si>
    <t>Data Quality Warning</t>
  </si>
  <si>
    <t>#</t>
  </si>
  <si>
    <t>Company</t>
  </si>
  <si>
    <t>Brand / Segment</t>
  </si>
  <si>
    <t>Format</t>
  </si>
  <si>
    <t>Brand Type</t>
  </si>
  <si>
    <t>Revenue Base</t>
  </si>
  <si>
    <t>Methodology</t>
  </si>
  <si>
    <t>FY24 Rev (₹ Cr)</t>
  </si>
  <si>
    <t>FY25 Rev (₹ Cr)</t>
  </si>
  <si>
    <t>FY26 Rev (₹ Cr)</t>
  </si>
  <si>
    <t>FY25→26 Growth</t>
  </si>
  <si>
    <t>FY24 Rev/Store (₹ Cr)</t>
  </si>
  <si>
    <t>FY25 Rev/Store (₹ Cr)</t>
  </si>
  <si>
    <t>FY26 Rev/Store (₹ Cr)</t>
  </si>
  <si>
    <t>FY26 Stores</t>
  </si>
  <si>
    <t>Data Source / Confidence</t>
  </si>
  <si>
    <t>Metro Brands</t>
  </si>
  <si>
    <t>Metro</t>
  </si>
  <si>
    <t>MBO</t>
  </si>
  <si>
    <t>Own Brand</t>
  </si>
  <si>
    <t>EBO Revenue</t>
  </si>
  <si>
    <t>Wtd sq ft × density index</t>
  </si>
  <si>
    <t>Q4 FY26 Earnings PDF (May 2026) — CONFIRMED</t>
  </si>
  <si>
    <t>Mochi</t>
  </si>
  <si>
    <t>Crocs</t>
  </si>
  <si>
    <t>EBO</t>
  </si>
  <si>
    <t>Licensed</t>
  </si>
  <si>
    <t>OTHER (Walkway/FL/etc)</t>
  </si>
  <si>
    <t>—</t>
  </si>
  <si>
    <t>Mixed</t>
  </si>
  <si>
    <t>Residual</t>
  </si>
  <si>
    <t>Company total – 3-brand</t>
  </si>
  <si>
    <t>Derived: MBL standalone total minus 3-brand</t>
  </si>
  <si>
    <t>MBL TOTAL STANDALONE</t>
  </si>
  <si>
    <t>Standalone Total</t>
  </si>
  <si>
    <t>Disclosed</t>
  </si>
  <si>
    <t>Q4 FY26 Earnings PDF — CONFIRMED</t>
  </si>
  <si>
    <t>Arvind Fashions</t>
  </si>
  <si>
    <t>Arrow</t>
  </si>
  <si>
    <t>EBO Only</t>
  </si>
  <si>
    <t>Screener / Annual Report — Mar 25 CONFIRMED</t>
  </si>
  <si>
    <t>USPA</t>
  </si>
  <si>
    <t>⚠ Scraped FY26=329 vs official Mar25=377 — DATA ANOMALY</t>
  </si>
  <si>
    <t>Flying Machine</t>
  </si>
  <si>
    <t>Confirmed declining — Mar 24/25 from Annual Report</t>
  </si>
  <si>
    <t>Tommy Hilfiger</t>
  </si>
  <si>
    <t>Mar 24/25 Annual Report, FY26 scraped</t>
  </si>
  <si>
    <t>Calvin Klein</t>
  </si>
  <si>
    <t>Mar 24/25 Annual Report, FY26 scraped — CK rationalising EBOs</t>
  </si>
  <si>
    <t>Arvind Fashion Brand</t>
  </si>
  <si>
    <t>Area residual; implied sqft ~2,300</t>
  </si>
  <si>
    <t>FY26 stores: 1025 total − 868 other scraped; sqft implied from area lock</t>
  </si>
  <si>
    <t>AFL TOTAL EBO</t>
  </si>
  <si>
    <t>EBO Total</t>
  </si>
  <si>
    <t>Disclosed (company)</t>
  </si>
  <si>
    <t>Arvind Fashions Annual Report — CONFIRMED</t>
  </si>
  <si>
    <t>Trent</t>
  </si>
  <si>
    <t>Westside</t>
  </si>
  <si>
    <t>All-channel</t>
  </si>
  <si>
    <t>3.3× per-store ratio vs Zudio</t>
  </si>
  <si>
    <t>Screener data; FY26 corrected by user to ₹16,580 total</t>
  </si>
  <si>
    <t>Zudio</t>
  </si>
  <si>
    <t>3.3× per-store ratio base</t>
  </si>
  <si>
    <t>Screener data; FY26 corrected by user</t>
  </si>
  <si>
    <t>Samoh + Utsa</t>
  </si>
  <si>
    <t>Per-store estimate ~₹2 Cr</t>
  </si>
  <si>
    <t>Combined small brands; nascent</t>
  </si>
  <si>
    <t>Star Bazaar</t>
  </si>
  <si>
    <t>Hypermarket</t>
  </si>
  <si>
    <t>JV</t>
  </si>
  <si>
    <t>Confirmed standalone</t>
  </si>
  <si>
    <t>Star Bazaar FY25 Annual Filing + CRISIL; FY26 Analyst report</t>
  </si>
  <si>
    <t>TRENT TOTAL</t>
  </si>
  <si>
    <t>Consolidated</t>
  </si>
  <si>
    <t>Disclosed (user-corrected FY26)</t>
  </si>
  <si>
    <t>⚠ FY26 total corrected by user to 16580 (FY25/24 from screener)</t>
  </si>
  <si>
    <t>ABFRL</t>
  </si>
  <si>
    <t>Pantaloons</t>
  </si>
  <si>
    <t>Dept Store</t>
  </si>
  <si>
    <t>2.69× per-store ratio vs OWND!</t>
  </si>
  <si>
    <t>ABFRL P&amp;L; combined from screener — CONFIRMED</t>
  </si>
  <si>
    <t>OWND!</t>
  </si>
  <si>
    <t>2.69× per-store ratio (base)</t>
  </si>
  <si>
    <t>New brand FY25 launch; FY24 pre-launch</t>
  </si>
  <si>
    <t>COMBINED TOTAL</t>
  </si>
  <si>
    <t>Total</t>
  </si>
  <si>
    <t>ABFRL Segment reporting — CONFIRMED</t>
  </si>
  <si>
    <t>Lifestyle Intl</t>
  </si>
  <si>
    <t>Lifestyle Stores</t>
  </si>
  <si>
    <t>Group Revenue</t>
  </si>
  <si>
    <t>CRISIL segment %: 41%</t>
  </si>
  <si>
    <t>N/A</t>
  </si>
  <si>
    <t>CRISIL Rating Rationale Mar 2025; segment mix FY24 confirmed</t>
  </si>
  <si>
    <t>Max Fashion (System)</t>
  </si>
  <si>
    <t>CRISIL segment %: ~43%; 89% franchise</t>
  </si>
  <si>
    <t>CRISIL 48% (Max+EB); split by store-count ratio</t>
  </si>
  <si>
    <t>Max COCO only</t>
  </si>
  <si>
    <t>COCO only</t>
  </si>
  <si>
    <t>Tracxn entity = COCO only</t>
  </si>
  <si>
    <t>Tracxn entity data — matches ~57 COCO stores × system rate</t>
  </si>
  <si>
    <t>Easy Buy</t>
  </si>
  <si>
    <t>CRISIL segment %: ~5%</t>
  </si>
  <si>
    <t>CRISIL 48% (Max+EB) residual after Max</t>
  </si>
  <si>
    <t>Home Centre</t>
  </si>
  <si>
    <t>Home Furn</t>
  </si>
  <si>
    <t>CRISIL segment %: 11%</t>
  </si>
  <si>
    <t>CRISIL Rating Rationale Mar 2025</t>
  </si>
  <si>
    <t>LIPL GROUP TOTAL</t>
  </si>
  <si>
    <t>Group Total</t>
  </si>
  <si>
    <t>CRISIL FY24; Tracxn FY25</t>
  </si>
  <si>
    <t>CRISIL: ₹11,239 Cr FY24 | Tracxn: ₹11,619 Cr FY25</t>
  </si>
  <si>
    <t>METRO BRANDS LIMITED — Revenue Allocation Model</t>
  </si>
  <si>
    <t>Revenue Base: 3-Brand EBO (Metro + Mochi + Crocs) | Methodology: Weighted sq ft × Revenue Density Index</t>
  </si>
  <si>
    <t>A. COMPANY CONTEXT &amp; CONFIRMED DATA POINTS</t>
  </si>
  <si>
    <t>MBL Standalone Revenue FY26</t>
  </si>
  <si>
    <t>₹2,797 Cr</t>
  </si>
  <si>
    <t>Q4 FY26 Earnings Presentation — CONFIRMED</t>
  </si>
  <si>
    <t>MBL Standalone Revenue FY25</t>
  </si>
  <si>
    <t>₹2,450 Cr</t>
  </si>
  <si>
    <t>MBL Standalone Revenue FY24</t>
  </si>
  <si>
    <t>~₹2,357 Cr</t>
  </si>
  <si>
    <t>Derived from disclosed rev/sqft data</t>
  </si>
  <si>
    <t>3-Brand Revenue FY26 (Metro+Mochi+Crocs)</t>
  </si>
  <si>
    <t>₹2,461.4 Cr</t>
  </si>
  <si>
    <t>User data / Company disclosure — CONFIRMED</t>
  </si>
  <si>
    <t>3-Brand Revenue FY25</t>
  </si>
  <si>
    <t>₹2,156 Cr</t>
  </si>
  <si>
    <t>CONFIRMED</t>
  </si>
  <si>
    <t>3-Brand Revenue FY24</t>
  </si>
  <si>
    <t>₹2,047.5 Cr</t>
  </si>
  <si>
    <t>E-Commerce % of Revenue FY26</t>
  </si>
  <si>
    <t>12.9% (incl. omnichannel)</t>
  </si>
  <si>
    <t>Q4 FY26 PDF — CONFIRMED</t>
  </si>
  <si>
    <t>E-Commerce % of Revenue FY25</t>
  </si>
  <si>
    <t>10.6%</t>
  </si>
  <si>
    <t>Rev/sqft — ALL 1,032 stores — FY26</t>
  </si>
  <si>
    <t>₹17,300/sqft</t>
  </si>
  <si>
    <t>Rev/sqft — ALL 1,032 stores — FY25</t>
  </si>
  <si>
    <t>₹18,200/sqft</t>
  </si>
  <si>
    <t>Rev/sqft — 3 brands only — FY26</t>
  </si>
  <si>
    <t>₹20,033/sqft</t>
  </si>
  <si>
    <t>Calculated: ₹2,461.4 Cr / 1,228,700 sqft</t>
  </si>
  <si>
    <t>Note on Rev/sqft drop FY25→FY26</t>
  </si>
  <si>
    <t>NOT productivity decline — area dilution from Foot Locker (6k sqft × 6 stores) + MetroActiv additions</t>
  </si>
  <si>
    <t>Analysis</t>
  </si>
  <si>
    <t>Own brands at MBOs (Metro/Mochi/Walkway)</t>
  </si>
  <si>
    <t>73% FY26, 74% FY25</t>
  </si>
  <si>
    <t>Total MBL stores FY26</t>
  </si>
  <si>
    <t>1,032 across 9 formats</t>
  </si>
  <si>
    <t>B. STORE COUNTS (All confirmed from Q4 FY26 Earnings Presentation)</t>
  </si>
  <si>
    <t>Brand</t>
  </si>
  <si>
    <t>FY24 Stores</t>
  </si>
  <si>
    <t>FY25 Stores</t>
  </si>
  <si>
    <t>FY24→25 Δ</t>
  </si>
  <si>
    <t>FY25→26 Δ</t>
  </si>
  <si>
    <t>Avg Store Size (sqft)</t>
  </si>
  <si>
    <t>Density Weight</t>
  </si>
  <si>
    <t>Source</t>
  </si>
  <si>
    <t>3-Brand Total</t>
  </si>
  <si>
    <t>C. WEIGHTED AREA CALCULATION &amp; REVENUE ALLOCATION</t>
  </si>
  <si>
    <t>FY24 Raw Area (sqft)</t>
  </si>
  <si>
    <t>FY24 Wtd Area</t>
  </si>
  <si>
    <t>FY25 Raw Area (sqft)</t>
  </si>
  <si>
    <t>FY25 Wtd Area</t>
  </si>
  <si>
    <t>FY26 Raw Area (sqft)</t>
  </si>
  <si>
    <t>FY26 Wtd Area</t>
  </si>
  <si>
    <t>FY24 Rev Alloc (₹Cr)</t>
  </si>
  <si>
    <t>FY25 Rev Alloc (₹Cr)</t>
  </si>
  <si>
    <t>FY26 Rev Alloc (₹Cr)</t>
  </si>
  <si>
    <t>FY24→25 Growth</t>
  </si>
  <si>
    <t>2-yr CAGR</t>
  </si>
  <si>
    <t>3-Brand Revenue Totals (₹ Cr) — CONFIRMED INPUTS</t>
  </si>
  <si>
    <t>Confirmed</t>
  </si>
  <si>
    <t>Total Weighted Area</t>
  </si>
  <si>
    <t>Total 3-Brand Revenue</t>
  </si>
  <si>
    <t>D. REVENUE PER STORE &amp; REV/SQFT (FY26)</t>
  </si>
  <si>
    <t>FY26 Rev (₹Cr)</t>
  </si>
  <si>
    <t>Rev/Store (₹Cr)</t>
  </si>
  <si>
    <t>Avg Sqft</t>
  </si>
  <si>
    <t>Rev/Sqft (₹)</t>
  </si>
  <si>
    <t>Rev/Sqft (selling area basis)</t>
  </si>
  <si>
    <t>Note</t>
  </si>
  <si>
    <t>MBO — sells own &amp; 3rd party brands</t>
  </si>
  <si>
    <t>EBO — sells Crocs products exclusively</t>
  </si>
  <si>
    <t>ARVIND FASHIONS LIMITED — EBO Revenue Allocation Model</t>
  </si>
  <si>
    <t>Revenue Base: EBO-Only | Methodology: Weighted sq ft × Revenue Density Index | All revenue ₹ Crore</t>
  </si>
  <si>
    <t>A. KEY DATA &amp; AREA RECONCILIATION</t>
  </si>
  <si>
    <t>Total EBO Retail Area FY26</t>
  </si>
  <si>
    <t>1.337 Mn sqft</t>
  </si>
  <si>
    <t>CONFIRMED — Annual Report</t>
  </si>
  <si>
    <t>Total EBO Retail Area FY25</t>
  </si>
  <si>
    <t>1.194 Mn sqft</t>
  </si>
  <si>
    <t>Total EBO Retail Area FY24</t>
  </si>
  <si>
    <t>~1.115 Mn sqft (estimated)</t>
  </si>
  <si>
    <t>ESTIMATED — back-calculated from brand store counts × sqft</t>
  </si>
  <si>
    <t>Total EBO Revenue FY26</t>
  </si>
  <si>
    <t>₹2,211.7 Cr</t>
  </si>
  <si>
    <t>CONFIRMED — Arvind Fashions Annual Report</t>
  </si>
  <si>
    <t>Total EBO Revenue FY25</t>
  </si>
  <si>
    <t>₹1,986.6 Cr</t>
  </si>
  <si>
    <t>Total EBO Revenue FY24</t>
  </si>
  <si>
    <t>₹1,788.8 Cr</t>
  </si>
  <si>
    <t>Total Company Stores FY26</t>
  </si>
  <si>
    <t>~1,025 stores</t>
  </si>
  <si>
    <t>Derived: screened brands sum = 996; official total ~1,025</t>
  </si>
  <si>
    <t>Arvind Fashion Brand — implied store size</t>
  </si>
  <si>
    <t>~2,300 sqft (FY25: 2,316; FY26: 2,301)</t>
  </si>
  <si>
    <t>DERIVED: Total area − 5 other brand areas / brand store count</t>
  </si>
  <si>
    <t>USPA Anomaly</t>
  </si>
  <si>
    <t>Scraped FY26 = 329 vs official Mar25 = 377 (−48 stores)</t>
  </si>
  <si>
    <t>⚠ DATA FLAG — Store locator may undercount OR genuine rationalization</t>
  </si>
  <si>
    <t>CK Stores declining</t>
  </si>
  <si>
    <t>Mar25 = 80 → Scraped FY26 = 53 (−27); EBO-to-LFS shift</t>
  </si>
  <si>
    <t>CK India moving from EBO format to LFS/MBO channels</t>
  </si>
  <si>
    <t>Flying Machine — Managed wind-down</t>
  </si>
  <si>
    <t>FY24: −108 stores; FY25: −12; FY26: −12 est.</t>
  </si>
  <si>
    <t>Arvind deprioritizing Flying Machine brand</t>
  </si>
  <si>
    <t>Calvin Klein FY26 Source</t>
  </si>
  <si>
    <t>Mar 24 = 77, Mar 25 = 80 (Confirmed), Scraped = 53</t>
  </si>
  <si>
    <t>Annual Report for Mar24/25; scraping for FY26 proxy</t>
  </si>
  <si>
    <t>B. STORE COUNTS &amp; METHODOLOGY INPUTS</t>
  </si>
  <si>
    <t>FY24 Official</t>
  </si>
  <si>
    <t>FY25 Official</t>
  </si>
  <si>
    <t>FY26 (Scraped/Est)</t>
  </si>
  <si>
    <t>Weight Rationale</t>
  </si>
  <si>
    <t>FY24 Area</t>
  </si>
  <si>
    <t>FY25 Area</t>
  </si>
  <si>
    <t>FY26 Area</t>
  </si>
  <si>
    <t>Data Source</t>
  </si>
  <si>
    <t>Arrow premium Indian formal; 1.83× vs FM base</t>
  </si>
  <si>
    <t>Annual Report</t>
  </si>
  <si>
    <t>Mid-premium polo; 1.5× vs FM base</t>
  </si>
  <si>
    <t>Annual Report + ⚠ Scrape anomaly</t>
  </si>
  <si>
    <t>BASE brand — youth casual, value segment</t>
  </si>
  <si>
    <t>Premium international; highest ASP ₹5k–25k</t>
  </si>
  <si>
    <t>Premium international; 2nd highest; shifting to LFS</t>
  </si>
  <si>
    <t>Annual Report Mar24/25 + Scrape FY26</t>
  </si>
  <si>
    <t>Multi-category lifestyle; ~2,300 sqft DERIVED</t>
  </si>
  <si>
    <t>Official FY24/25; FY26 = 1025 − 868 scraped</t>
  </si>
  <si>
    <t>C. REVENUE ALLOCATION — WEIGHTED AREA MODEL</t>
  </si>
  <si>
    <t>FY24 Rev (₹Cr)</t>
  </si>
  <si>
    <t>FY24 %</t>
  </si>
  <si>
    <t>FY25 Rev (₹Cr)</t>
  </si>
  <si>
    <t>FY25 %</t>
  </si>
  <si>
    <t>FY26 %</t>
  </si>
  <si>
    <t>Rev/Store FY26</t>
  </si>
  <si>
    <t>Rev/Sqft FY26 (₹)</t>
  </si>
  <si>
    <t>Flag</t>
  </si>
  <si>
    <t>Total EBO Revenue (₹ Cr)</t>
  </si>
  <si>
    <t>⚠ Scrape anomaly: check store count</t>
  </si>
  <si>
    <t>AFL Total EBO</t>
  </si>
  <si>
    <t>TRENT LIMITED — Revenue Allocation Model</t>
  </si>
  <si>
    <t>Revenue Base: Consolidated (incl. Star Bazaar JV) | Methodology: Per-store ratio (Westside = 3.3× Zudio/store) | All ₹ Crore</t>
  </si>
  <si>
    <t>A. KEY CONFIRMED DATA &amp; CORRECTIONS</t>
  </si>
  <si>
    <t>Trent FY26 Total Revenue (user-corrected)</t>
  </si>
  <si>
    <t>₹16,580 Cr</t>
  </si>
  <si>
    <t>⚠ USER CORRECTION — Original screener showed ₹20,074 Cr; user confirmed correct figure is ₹16,580 Cr including Star</t>
  </si>
  <si>
    <t>Trent FY25 Total Revenue</t>
  </si>
  <si>
    <t>₹16,873.7 Cr</t>
  </si>
  <si>
    <t>Screener data — user said 'similarly follow' but exact corrected FY25 not provided; may need verification</t>
  </si>
  <si>
    <t>Trent FY24 Total Revenue</t>
  </si>
  <si>
    <t>₹12,205.3 Cr</t>
  </si>
  <si>
    <t>Screener data — FY24 to be verified with same correction</t>
  </si>
  <si>
    <t>Star Bazaar FY26 Revenue</t>
  </si>
  <si>
    <t>₹3,494 Cr</t>
  </si>
  <si>
    <t>CONFIRMED — Analyst report; up from FY25</t>
  </si>
  <si>
    <t>Star Bazaar FY25 Revenue</t>
  </si>
  <si>
    <t>₹3,517 Cr</t>
  </si>
  <si>
    <t>CONFIRMED — Trent Hypermarket filing; up from ₹2,832 Cr in FY24</t>
  </si>
  <si>
    <t>Star Bazaar FY24 Revenue</t>
  </si>
  <si>
    <t>₹2,832 Cr</t>
  </si>
  <si>
    <t>CONFIRMED — Trent Hypermarket filing</t>
  </si>
  <si>
    <t>Star entity</t>
  </si>
  <si>
    <t>Trent Hypermarket Pvt Ltd (JV: Tata + Tesco)</t>
  </si>
  <si>
    <t>Star Bazaar is consolidated into Trent's P&amp;L</t>
  </si>
  <si>
    <t>Westside: FY26 area</t>
  </si>
  <si>
    <t>7.260 Mn sqft (300 stores)</t>
  </si>
  <si>
    <t>CONFIRMED — Company disclosure</t>
  </si>
  <si>
    <t>Zudio: FY26 area</t>
  </si>
  <si>
    <t>10.380 Mn sqft (963 stores)</t>
  </si>
  <si>
    <t>Combined stores (excl. Star) FY26</t>
  </si>
  <si>
    <t>1,286 stores = W(300)+Z(963)+Samoh+Utsa(23)</t>
  </si>
  <si>
    <t>CONFIRMED — FY26 combined area excludes Star</t>
  </si>
  <si>
    <t>Samoh+Utsa stores FY26</t>
  </si>
  <si>
    <t>~27 (Samoh 6-8, Utsa 20)</t>
  </si>
  <si>
    <t>User data — nascent brands</t>
  </si>
  <si>
    <t>Star stores FY26</t>
  </si>
  <si>
    <t>84 stores (incl. Zudio SIS) across ~1.44 Mn sqft</t>
  </si>
  <si>
    <t>Analyst report — includes Zudio Shop-in-Shops</t>
  </si>
  <si>
    <t>Westside scraping miss</t>
  </si>
  <si>
    <t>Scraped = 217 vs official FY26 = 300 (83 stores / 27.7% miss)</t>
  </si>
  <si>
    <t>⚠ Critical — never use scraped Westside count for area/revenue</t>
  </si>
  <si>
    <t>Westside/Zudio per-store ratio</t>
  </si>
  <si>
    <t>3.3× (Westside store = 3.3× Zudio per-store revenue)</t>
  </si>
  <si>
    <t>Derived from store sizes (1.76×) × ASP differential (~2×)</t>
  </si>
  <si>
    <t>Rev/store FY26 (revised): Westside</t>
  </si>
  <si>
    <t>~₹22 Cr/store</t>
  </si>
  <si>
    <t>Computed from corrected FY26 non-Star revenue</t>
  </si>
  <si>
    <t>Rev/store FY26 (revised): Zudio</t>
  </si>
  <si>
    <t>~₹6.67 Cr/store</t>
  </si>
  <si>
    <t>Rev/sqft FY26 (all combined, mixed metric)</t>
  </si>
  <si>
    <t>₹11,341/sqft</t>
  </si>
  <si>
    <t>⚠ MIXED METRIC — numerator includes Star revenue; denominator (17.7 Mn) excludes Star area. Not directly comparable.</t>
  </si>
  <si>
    <t>B. STORE COUNTS</t>
  </si>
  <si>
    <t>FY26 Area (Mn sqft)</t>
  </si>
  <si>
    <t>Avg Sqft (selling)</t>
  </si>
  <si>
    <t>Notes</t>
  </si>
  <si>
    <t>CONFIRMED all years from Trent disclosures</t>
  </si>
  <si>
    <t>User data — FY24:32, FY25:30, FY26:~27; nascent brands</t>
  </si>
  <si>
    <t>CONFIRMED — Sep format; FY26 includes Zudio SIS; ~53k sqft avg in FY25 (hypermarkets)</t>
  </si>
  <si>
    <t>COMBINED</t>
  </si>
  <si>
    <t>FY26 excl. Star; FY24/FY25 combined may include Star in count</t>
  </si>
  <si>
    <t>C. REVENUE ALLOCATION (₹ Crore)</t>
  </si>
  <si>
    <t>FY24 Total</t>
  </si>
  <si>
    <t>FY24 Star-excl</t>
  </si>
  <si>
    <t>FY25 Total</t>
  </si>
  <si>
    <t>FY25 Star-excl</t>
  </si>
  <si>
    <t>FY26 Total</t>
  </si>
  <si>
    <t>FY26 Star-excl</t>
  </si>
  <si>
    <t>Rev/Sqft FY26</t>
  </si>
  <si>
    <t>TRENT GROUP TOTAL</t>
  </si>
  <si>
    <t>FY26 user-confirmed; FY24/FY25 from screener — may need same correction</t>
  </si>
  <si>
    <t>Star Bazaar (separate entity)</t>
  </si>
  <si>
    <t>JV entity — Trent Hypermarket Pvt Ltd. Filing + analyst report. FY26 incl. Zudio SIS revenue</t>
  </si>
  <si>
    <t>FY26 corrected; 3.3× per-store ratio</t>
  </si>
  <si>
    <t>FY26 corrected; base in 3.3× ratio</t>
  </si>
  <si>
    <t>Estimated ~₹2 Cr/store; nascent brands</t>
  </si>
  <si>
    <t>Fashion Brands (ex-Star) Total</t>
  </si>
  <si>
    <t>ADITYA BIRLA FASHION &amp; RETAIL — Pantaloons &amp; OWND! Revenue Model</t>
  </si>
  <si>
    <t>Revenue Base: Combined Pantaloons + OWND! segment | Methodology: Per-store revenue ratio constraint | All ₹ Crore</t>
  </si>
  <si>
    <t>A. KEY DATA &amp; METHODOLOGY</t>
  </si>
  <si>
    <t>Combined total FY26</t>
  </si>
  <si>
    <t>₹4,560 Cr</t>
  </si>
  <si>
    <t>CONFIRMED — ABFRL segment reporting</t>
  </si>
  <si>
    <t>Combined total FY25</t>
  </si>
  <si>
    <t>₹4,373 Cr</t>
  </si>
  <si>
    <t>Combined total FY24</t>
  </si>
  <si>
    <t>₹4,328 Cr</t>
  </si>
  <si>
    <t>Total retail area FY26 (combined)</t>
  </si>
  <si>
    <t>5.713 Mn sqft</t>
  </si>
  <si>
    <t>Pantaloons avg store size (implied)</t>
  </si>
  <si>
    <t>~13,000 sqft</t>
  </si>
  <si>
    <t>DERIVED: 399×13,000 + 79×6,650 = 5.712 Mn ≈ 5.713 Mn ✓</t>
  </si>
  <si>
    <t>OWND! avg store size (implied)</t>
  </si>
  <si>
    <t>~6,650 sqft</t>
  </si>
  <si>
    <t>DERIVED: area reconciliation with confirmed total</t>
  </si>
  <si>
    <t>Pantaloons/OWND! per-store ratio</t>
  </si>
  <si>
    <t>2.69×</t>
  </si>
  <si>
    <t>From disclosed format benchmarks: Pantaloons ₹11.43 Cr (given) / OWND! mid ₹4.25 Cr = 2.69×</t>
  </si>
  <si>
    <t>OWND! launch year</t>
  </si>
  <si>
    <t>FY25 (46 stores)</t>
  </si>
  <si>
    <t>FY24 = pre-launch / pilot; no revenue attributed</t>
  </si>
  <si>
    <t>Pantaloons trend</t>
  </si>
  <si>
    <t>417 (FY24) → 405 (FY25) → 399 (FY26) — structured rationalization</t>
  </si>
  <si>
    <t>Closing unproductive stores; per-store revenue rising</t>
  </si>
  <si>
    <t>Pantaloons ASP</t>
  </si>
  <si>
    <t>₹900–₹1,200</t>
  </si>
  <si>
    <t>User-provided format specs</t>
  </si>
  <si>
    <t>OWND! ASP</t>
  </si>
  <si>
    <t>₹450–₹650 (Gen Z fast fashion)</t>
  </si>
  <si>
    <t>Pantaloons rev/store FY26</t>
  </si>
  <si>
    <t>₹10.64 Cr/store</t>
  </si>
  <si>
    <t>Derived from model</t>
  </si>
  <si>
    <t>OWND! rev/store FY26</t>
  </si>
  <si>
    <t>₹3.96 Cr/store</t>
  </si>
  <si>
    <t>Within disclosed ₹3.5–5 Cr range ✓</t>
  </si>
  <si>
    <t>B. STORE COUNTS &amp; AREA RECONCILIATION</t>
  </si>
  <si>
    <t>FY26 Area (sqft)</t>
  </si>
  <si>
    <t>Area %</t>
  </si>
  <si>
    <t>DERIVED from area reconciliation</t>
  </si>
  <si>
    <t>TOTAL</t>
  </si>
  <si>
    <t>≈ 5.713 Mn sqft ✓</t>
  </si>
  <si>
    <t>C. REVENUE ALLOCATION — PER-STORE RATIO CONSTRAINT</t>
  </si>
  <si>
    <t>Rev/Store FY24</t>
  </si>
  <si>
    <t>Rev/Store FY25</t>
  </si>
  <si>
    <t>Combined Total</t>
  </si>
  <si>
    <t>Declining store count; per-store rising — healthy rationalization</t>
  </si>
  <si>
    <t>FY24 pre-launch; within disclosed ₹3.5-5 Cr/store range</t>
  </si>
  <si>
    <t>LIFESTYLE INTERNATIONAL PVT LTD (LIPL) — Revenue Allocation Model</t>
  </si>
  <si>
    <t>Revenue Base: LIPL Group Consolidated | Methodology: CRISIL-confirmed segment % (FY24) extended proportionally | All ₹ Crore</t>
  </si>
  <si>
    <t>A. CONFIRMED DATA (CRISIL Rating Rationale, March 13 2025)</t>
  </si>
  <si>
    <t>LIPL FY24 Revenue</t>
  </si>
  <si>
    <t>₹11,239 Cr</t>
  </si>
  <si>
    <t>CONFIRMED — CRISIL Rating Rationale (Mar 2025): 'Revenue fell 4% on-year to Rs 11,239 crore during fiscal 2024'</t>
  </si>
  <si>
    <t>LIPL FY25 Revenue</t>
  </si>
  <si>
    <t>₹11,619 Cr (Tracxn); CRISIL expected ₹12,082 Cr (7-8% growth)</t>
  </si>
  <si>
    <t>Actual +3.4% YoY — below CRISIL's forecast; 8-month FY25 actuals = ₹7,979 Cr (CRISIL)</t>
  </si>
  <si>
    <t>LIPL FY23 Revenue</t>
  </si>
  <si>
    <t>~₹11,707 Cr (derived)</t>
  </si>
  <si>
    <t>CRISIL: FY24 fell 4% from FY23 → FY23 = 11,239/0.96</t>
  </si>
  <si>
    <t>Segment Mix FY24 — Lifestyle Stores</t>
  </si>
  <si>
    <t>~41% of revenue</t>
  </si>
  <si>
    <t>CONFIRMED — CRISIL Rating Rationale Mar 2025</t>
  </si>
  <si>
    <t>Segment Mix FY24 — Max + Easy Buy</t>
  </si>
  <si>
    <t>~48% of revenue</t>
  </si>
  <si>
    <t>Segment Mix FY24 — Home Centre</t>
  </si>
  <si>
    <t>~11% of revenue</t>
  </si>
  <si>
    <t>Total stores as of Nov 2024</t>
  </si>
  <si>
    <t>869 stores</t>
  </si>
  <si>
    <t>Private label share</t>
  </si>
  <si>
    <t>65-70% blended (higher in Max/Easy Buy)</t>
  </si>
  <si>
    <t>CONFIRMED — CRISIL</t>
  </si>
  <si>
    <t>Pre-Ind AS Operating Margin FY24</t>
  </si>
  <si>
    <t>7.7%</t>
  </si>
  <si>
    <t>Post-Ind AS EBITDA Margin FY24</t>
  </si>
  <si>
    <t>16.6%</t>
  </si>
  <si>
    <t>Cash reserves (March 2024)</t>
  </si>
  <si>
    <t>₹914 Cr</t>
  </si>
  <si>
    <t>CONFIRMED — CRISIL (debt-free ex-lease)</t>
  </si>
  <si>
    <t>CRISIL Rating</t>
  </si>
  <si>
    <t>AA+/Stable / A1+</t>
  </si>
  <si>
    <t>CONFIRMED — Reaffirmed March 2025</t>
  </si>
  <si>
    <t>Max Fashion: franchise model</t>
  </si>
  <si>
    <t>~89% franchise, ~11% COCO (~57 stores)</t>
  </si>
  <si>
    <t>DERIVED — Tracxn entity (₹606.7 Cr) = COCO only; system rev = ₹5,019 Cr → 11% coverage → ~57 COCO</t>
  </si>
  <si>
    <t>Max Tracxn entity (FY25)</t>
  </si>
  <si>
    <t>₹606.7 Cr</t>
  </si>
  <si>
    <t>Tracxn — Max Fashion India entity (COCO only)</t>
  </si>
  <si>
    <t>Max Tracxn entity (FY24)</t>
  </si>
  <si>
    <t>₹539.2 Cr</t>
  </si>
  <si>
    <t>Home Centre segment</t>
  </si>
  <si>
    <t>~11% of LIPL group revenue</t>
  </si>
  <si>
    <t>CONFIRMED — CRISIL; ~65 stores est. at ~₹19-20 Cr/store</t>
  </si>
  <si>
    <t>Segment</t>
  </si>
  <si>
    <t>Stores (current)</t>
  </si>
  <si>
    <t>% of Total Stores</t>
  </si>
  <si>
    <t>Revenue Mix FY24 (CRISIL)</t>
  </si>
  <si>
    <t>Franchise %</t>
  </si>
  <si>
    <t>Lifestyle Stores (Dept)</t>
  </si>
  <si>
    <t>~25,000-35,000</t>
  </si>
  <si>
    <t>41%</t>
  </si>
  <si>
    <t>0% (COCO)</t>
  </si>
  <si>
    <t>Premium apparel dept stores; comparable to Shoppers Stop ₹55 Cr/store</t>
  </si>
  <si>
    <t>Max Fashion (Full System)</t>
  </si>
  <si>
    <t>~8,000</t>
  </si>
  <si>
    <t>~43%</t>
  </si>
  <si>
    <t>~89% franchise</t>
  </si>
  <si>
    <t>Value fashion; 511 total; Tracxn entity = ~57 COCO stores only</t>
  </si>
  <si>
    <t>~7,800</t>
  </si>
  <si>
    <t>~5%</t>
  </si>
  <si>
    <t>Unknown</t>
  </si>
  <si>
    <t>Budget fashion; within Max+EB combined 48% (CRISIL)</t>
  </si>
  <si>
    <t>~15,000-25,000</t>
  </si>
  <si>
    <t>11%</t>
  </si>
  <si>
    <t>0% (est.)</t>
  </si>
  <si>
    <t>Furniture/home; ~65 stores estimated; not in user store data</t>
  </si>
  <si>
    <t>Other (Splash/etc.)</t>
  </si>
  <si>
    <t>~1%</t>
  </si>
  <si>
    <t>Splash, Centrepoint etc.; residual from 869−760 stores</t>
  </si>
  <si>
    <t>C. REVENUE ALLOCATION (₹ Crore) — CRISIL SEGMENT % ANCHORED</t>
  </si>
  <si>
    <t>FY25→24 Growth</t>
  </si>
  <si>
    <t>Rev/Sqft FY24 (₹)</t>
  </si>
  <si>
    <t>Data Quality</t>
  </si>
  <si>
    <t>FY24: CRISIL-confirmed | FY25: Tracxn actual (actual growth 3.4% vs CRISIL forecast 7-8%)</t>
  </si>
  <si>
    <t>CONFIRMED — CRISIL 41% FY24</t>
  </si>
  <si>
    <t>Used in total</t>
  </si>
  <si>
    <t>CRISIL 48% less Easy Buy; store-count proportional</t>
  </si>
  <si>
    <t>Max COCO (Tracxn)  [not in total]</t>
  </si>
  <si>
    <t>ENTITY level only — ~57 COCO stores; NOT in total</t>
  </si>
  <si>
    <t>Reference</t>
  </si>
  <si>
    <t>Residual within CRISIL 48% (Max+EB)</t>
  </si>
  <si>
    <t>CRISIL 11% directly</t>
  </si>
  <si>
    <t>Sum Check (excl. Max COCO)</t>
  </si>
  <si>
    <t>FY24 check: 11239 vs LIPL 11239 (diff = 0)</t>
  </si>
  <si>
    <t>ASSUMPTIONS &amp; METHODOLOGY DOCUMENTATION</t>
  </si>
  <si>
    <t>All density weights, store sizes, and per-store ratios with rationale</t>
  </si>
  <si>
    <t>METRO BRANDS — Revenue Density Weights</t>
  </si>
  <si>
    <t>Parameter</t>
  </si>
  <si>
    <t>Value / Assumption</t>
  </si>
  <si>
    <t>Rationale / Source</t>
  </si>
  <si>
    <t>Base methodology</t>
  </si>
  <si>
    <t>Weighted sq ft model: Brand revenue = (stores × sqft × density_idx / total_weighted_sqft) × total_revenue</t>
  </si>
  <si>
    <t>Standard retail productivity allocation</t>
  </si>
  <si>
    <t>Metro density weight</t>
  </si>
  <si>
    <t>1.11×</t>
  </si>
  <si>
    <t>Metro stores carry a higher share of premium footwear vs Mochi; MBO format with higher-value SKUs</t>
  </si>
  <si>
    <t>Mochi density weight</t>
  </si>
  <si>
    <t>1.00× (BASE)</t>
  </si>
  <si>
    <t>Reference brand; youth-oriented premium footwear with similar ASP to Metro</t>
  </si>
  <si>
    <t>Crocs density weight</t>
  </si>
  <si>
    <t>1.39×</t>
  </si>
  <si>
    <t>Single-brand EBO; compact store (650 sqft) with very high inventory concentration → higher rev/sqft</t>
  </si>
  <si>
    <t>Metro store size</t>
  </si>
  <si>
    <t>1,650 sqft</t>
  </si>
  <si>
    <t>CONFIRMED — Q4 FY26 Earnings Presentation</t>
  </si>
  <si>
    <t>Mochi store size</t>
  </si>
  <si>
    <t>1,600 sqft</t>
  </si>
  <si>
    <t>Crocs store size</t>
  </si>
  <si>
    <t>650 sqft</t>
  </si>
  <si>
    <t>Revenue base</t>
  </si>
  <si>
    <t>3-brand EBO only; excludes Walkway, Fitflop, Foot Locker, Fila, New Era, MetroActiv</t>
  </si>
  <si>
    <t>These brands = smaller/newer formats with different productivity profiles</t>
  </si>
  <si>
    <t>ARVIND FASHIONS — Revenue Density Weights</t>
  </si>
  <si>
    <t>Weighted sq ft model; areas lock to disclosed total (FY25: 1.194 Mn, FY26: 1.337 Mn sqft)</t>
  </si>
  <si>
    <t>Area reconciliation validates AF Brand store size as ~2,300 sqft</t>
  </si>
  <si>
    <t>2.5×</t>
  </si>
  <si>
    <t>Highest ASP (₹5k–25k+); premium international brand; high brand equity in India</t>
  </si>
  <si>
    <t>2.2×</t>
  </si>
  <si>
    <t>Premium international; slightly below TH in India positioning; CK shifting to LFS from EBO</t>
  </si>
  <si>
    <t>1.833×</t>
  </si>
  <si>
    <t>Established Indian premium formal wear; ASP ₹1,500–5,000; strong corporate gifting</t>
  </si>
  <si>
    <t>USPA (US Polo)</t>
  </si>
  <si>
    <t>1.5×</t>
  </si>
  <si>
    <t>Mid-premium polo; broad appeal; ASP ₹1,000–3,500; mass-premium</t>
  </si>
  <si>
    <t>1.1×</t>
  </si>
  <si>
    <t>Multi-category lifestyle; medium-range ASP; newer format at larger ~2,300 sqft stores</t>
  </si>
  <si>
    <t>Youth casual/denim; lowest ASP (₹700–2,000); brand in managed wind-down</t>
  </si>
  <si>
    <t>AF Brand sqft (FY26)</t>
  </si>
  <si>
    <t>~2,300 sqft (derived)</t>
  </si>
  <si>
    <t>FY26: (1,337,000 – 975,750 non-AF) / 157 stores = 2,301 sqft; FY25: (1,194,000 – 1,008,700) / 80 = 2,316 sqft</t>
  </si>
  <si>
    <t>EBO-only across all brands; all channels 100% EBO (no online breakdown)</t>
  </si>
  <si>
    <t>User confirmed: 'revenue number is through EBOs only'</t>
  </si>
  <si>
    <t>TRENT — Per-Store Ratio Methodology</t>
  </si>
  <si>
    <t>Westside per-store revenue = 3.3× Zudio per-store revenue</t>
  </si>
  <si>
    <t>Constraint-based: given total = W×stores + Z×stores × ratio, solve for Z, then scale</t>
  </si>
  <si>
    <t>Westside/Zudio ratio: 3.3×</t>
  </si>
  <si>
    <t>Store size ratio 1.76× (17,600 / 10,000) × ASP differential ~2× = ~3.3× per-store</t>
  </si>
  <si>
    <t>Premium dept store vs value fashion; Westside sells ₹1k–5k, Zudio ₹200–1k</t>
  </si>
  <si>
    <t>Deducted first from total before W/Z split</t>
  </si>
  <si>
    <t>JV entity; revenue confirmed separately from Trent Hypermarket filings</t>
  </si>
  <si>
    <t>FY26 revenue correction</t>
  </si>
  <si>
    <t>Total = ₹16,580 Cr (user-confirmed); original screener showed ₹20,074</t>
  </si>
  <si>
    <t>⚠ FY25/FY24 correction not confirmed by user — may need same adjustment</t>
  </si>
  <si>
    <t>Westside area (GLA)</t>
  </si>
  <si>
    <t>7.260 Mn sqft / 300 stores = 24,200 sqft GLA; selling = ~17,600 sqft</t>
  </si>
  <si>
    <t>GLA/selling ratio 1.375× for large-format fashion (fitting rooms, stockrooms)</t>
  </si>
  <si>
    <t>Zudio area (GLA)</t>
  </si>
  <si>
    <t>10.380 Mn sqft / 963 stores = 10,778 sqft GLA; selling = ~10,000 sqft</t>
  </si>
  <si>
    <t>GLA/selling ratio 1.078× for smaller high-street format</t>
  </si>
  <si>
    <t>~₹2 Cr/store estimate; FY26: 27 stores, ~₹63 Cr</t>
  </si>
  <si>
    <t>Nascent brands; combined area 0.060 Mn sqft (~2,300 sqft/store implied)</t>
  </si>
  <si>
    <t>ABFRL — Per-Store Ratio</t>
  </si>
  <si>
    <t>Pantaloons per-store = 2.69× OWND! per-store; constraint: P×399 + O×79 = ₹4,560 Cr</t>
  </si>
  <si>
    <t>Ratio from given benchmarks: Pantaloons ₹11.43 Cr (given) / OWND! mid ₹4.25 Cr = 2.69×</t>
  </si>
  <si>
    <t>OWND! launch</t>
  </si>
  <si>
    <t>FY25 commercial launch (46 stores); FY24 pre-launch = ₹0 attributed</t>
  </si>
  <si>
    <t>User confirmed: no FY24 store count data for OWND!</t>
  </si>
  <si>
    <t>Pantaloons area</t>
  </si>
  <si>
    <t>~13,000 sqft per store</t>
  </si>
  <si>
    <t>DERIVED: 399×13,000 + 79×6,650 = 5,712,350 ≈ 5.713 Mn sqft confirmed total</t>
  </si>
  <si>
    <t>OWND! area</t>
  </si>
  <si>
    <t>~6,650 sqft per store</t>
  </si>
  <si>
    <t>DERIVED: area reconciliation; within user-disclosed 5,900–9,700 sqft range ✓</t>
  </si>
  <si>
    <t>Revenue per store check</t>
  </si>
  <si>
    <t>OWND! FY26: ₹3.96 Cr/store — within disclosed ₹3.5–5 Cr range ✓</t>
  </si>
  <si>
    <t>Validates the 2.69× ratio assumption</t>
  </si>
  <si>
    <t>LIFESTYLE INTERNATIONAL — Segment % Methodology</t>
  </si>
  <si>
    <t>Primary anchor</t>
  </si>
  <si>
    <t>CRISIL Rating Rationale (March 13, 2025): Lifestyle 41%, Max+EasyBuy 48%, HomeCentre 11%</t>
  </si>
  <si>
    <t>STRONGEST source — auditor-grade rating document based on FY24 actuals</t>
  </si>
  <si>
    <t>FY25 extension</t>
  </si>
  <si>
    <t>Same segment percentages applied to FY25 Tracxn total (₹11,619 Cr)</t>
  </si>
  <si>
    <t>Assumption: segment mix stable FY24→FY25; no disclosed FY25 breakdown</t>
  </si>
  <si>
    <t>Max vs Easy Buy split</t>
  </si>
  <si>
    <t>Store-count proportional within 48%: Max (511) × ₹9.5/store vs Easy Buy (118) × ₹4.6/store</t>
  </si>
  <si>
    <t>Format ASP rationale; Max is mid-value (₹500–2,500), Easy Buy is budget (₹300–800)</t>
  </si>
  <si>
    <t>Max Tracxn interpretation</t>
  </si>
  <si>
    <t>₹606.7 Cr (FY25) = COCO stores only (~57 stores × ~₹10.6 Cr = ₹604 Cr ≈ confirmed)</t>
  </si>
  <si>
    <t>Validates: Max is ~89% franchise model; COCO matches at ~₹9.5-10.6 Cr/store</t>
  </si>
  <si>
    <t>CRISIL-confirmed 11%; ~65 stores est. at ~₹19-20 Cr/store</t>
  </si>
  <si>
    <t>Home Centre number of stores estimated; not in user-provided store data</t>
  </si>
  <si>
    <t>Total stores reconciliation</t>
  </si>
  <si>
    <t>Lifestyle(131)+Max(511)+EasyBuy(118) = 760 stores; CRISIL says 869 total → gap=109 for HomeCentre(~65)+Splash/other(~44)</t>
  </si>
  <si>
    <t>Consistent — confirms Home Centre etc. not in user store counts</t>
  </si>
  <si>
    <t>SOURCES, DATA QUALITY FLAGS &amp; OPEN ITEMS</t>
  </si>
  <si>
    <t>All data provenance and data quality issues documented here</t>
  </si>
  <si>
    <t>A. PRIMARY DATA SOURCES</t>
  </si>
  <si>
    <t>Data Provided</t>
  </si>
  <si>
    <t>FY Coverage</t>
  </si>
  <si>
    <t>Confidence</t>
  </si>
  <si>
    <t>URL / Reference</t>
  </si>
  <si>
    <t>Q4 FY26 Earnings Presentation (May 2026)</t>
  </si>
  <si>
    <t>Metro Brands Ltd</t>
  </si>
  <si>
    <t>Store counts, store sizes, rev/sqft, channel split, EBITDA, e-commerce %</t>
  </si>
  <si>
    <t>FY24-FY26</t>
  </si>
  <si>
    <t>HIGH (Primary)</t>
  </si>
  <si>
    <t>BSE filing; PDF uploaded by user</t>
  </si>
  <si>
    <t>CRISIL Rating Rationale</t>
  </si>
  <si>
    <t>Lifestyle Intl Pvt Ltd</t>
  </si>
  <si>
    <t>Revenue ₹11,239 Cr FY24; segment mix (Lifestyle 41%, Max+EB 48%, HC 11%); 8M FY25 = ₹7,979 Cr; 869 stores; margins</t>
  </si>
  <si>
    <t>FY24, FY25 (partial)</t>
  </si>
  <si>
    <t>https://www.crisilratings.com — HTML uploaded by user (March 13, 2025)</t>
  </si>
  <si>
    <t>Tracxn Company Database</t>
  </si>
  <si>
    <t>Max Fashion India / Lifestyle Intl</t>
  </si>
  <si>
    <t>Max entity: ₹539.2 Cr (FY24), ₹606.7 Cr (FY25); LIPL: ₹11,083 Cr (FY24), ₹11,619 Cr (FY25)</t>
  </si>
  <si>
    <t>FY24, FY25</t>
  </si>
  <si>
    <t>MEDIUM (Entity-level only; note CRISIL FY24 = ₹11,239 Cr vs Tracxn ₹11,083)</t>
  </si>
  <si>
    <t>User provided from Tracxn platform</t>
  </si>
  <si>
    <t>Annual Reports / Screener.in</t>
  </si>
  <si>
    <t>Arvind Fashions Ltd</t>
  </si>
  <si>
    <t>EBO revenue: ₹1,788.8 Cr (FY24), ₹1,986.6 Cr (FY25), ₹2,211.7 Cr (FY26); Retail area FY25/FY26</t>
  </si>
  <si>
    <t>HIGH (Confirmed by user)</t>
  </si>
  <si>
    <t>User provided</t>
  </si>
  <si>
    <t>Screener.in / Company filings</t>
  </si>
  <si>
    <t>Trent Ltd</t>
  </si>
  <si>
    <t>Revenue ₹16,873.7 Cr (FY25), ₹12,205.3 Cr (FY24); Star Bazaar store count history</t>
  </si>
  <si>
    <t>MEDIUM (FY26 corrected by user)</t>
  </si>
  <si>
    <t>User provided; FY26 corrected to ₹16,580 Cr</t>
  </si>
  <si>
    <t>User correction</t>
  </si>
  <si>
    <t>FY26 total revenue = ₹16,580 Cr (incl. Star ₹3,494 Cr)</t>
  </si>
  <si>
    <t>FY26</t>
  </si>
  <si>
    <t>HIGH (User-confirmed)</t>
  </si>
  <si>
    <t>Direct user input in conversation</t>
  </si>
  <si>
    <t>Trent Hypermarket Pvt Ltd filings</t>
  </si>
  <si>
    <t>FY24: ₹2,832 Cr; FY25: ₹3,517 Cr</t>
  </si>
  <si>
    <t>HIGH (Filing)</t>
  </si>
  <si>
    <t>User provided from company filing</t>
  </si>
  <si>
    <t>Analyst report</t>
  </si>
  <si>
    <t>FY26: ₹3,494 Cr; Q4 FY26: ₹850 Cr; 84 stores; 1.44 Mn sqft</t>
  </si>
  <si>
    <t>User shared from analyst report</t>
  </si>
  <si>
    <t>ABFRL Segment reporting</t>
  </si>
  <si>
    <t>Pantaloons + OWND!</t>
  </si>
  <si>
    <t>Combined: ₹4,328 Cr (FY24), ₹4,373 Cr (FY25), ₹4,560 Cr (FY26); store counts</t>
  </si>
  <si>
    <t>HIGH (Confirmed)</t>
  </si>
  <si>
    <t>User provided from ABFRL disclosures</t>
  </si>
  <si>
    <t>Store scraping (web locator)</t>
  </si>
  <si>
    <t>All companies</t>
  </si>
  <si>
    <t>Current store counts as proxies for FY26; see anomalies below</t>
  </si>
  <si>
    <t>FY26 (approx)</t>
  </si>
  <si>
    <t>LOW–MEDIUM (see anomalies)</t>
  </si>
  <si>
    <t>User ran store locator scraping</t>
  </si>
  <si>
    <t>ABFRL, Lifestyle</t>
  </si>
  <si>
    <t>Store sizes, ASP ranges, rev/store estimates (given in conversation)</t>
  </si>
  <si>
    <t>Current</t>
  </si>
  <si>
    <t>MEDIUM</t>
  </si>
  <si>
    <t>Directly stated by user</t>
  </si>
  <si>
    <t>B. DATA QUALITY FLAGS &amp; ANOMALIES</t>
  </si>
  <si>
    <t>Company/Brand</t>
  </si>
  <si>
    <t>Flag Type</t>
  </si>
  <si>
    <t>Issue</t>
  </si>
  <si>
    <t>Severity</t>
  </si>
  <si>
    <t>Impact on Model</t>
  </si>
  <si>
    <t>Recommendation</t>
  </si>
  <si>
    <t>USPA (Arvind)</t>
  </si>
  <si>
    <t>SCRAPING ANOMALY</t>
  </si>
  <si>
    <t>Scraped FY26 = 329 stores vs official Mar25 = 377 (−48 stores). Uncertain if genuine rationalization or locator miss.</t>
  </si>
  <si>
    <t>HIGH</t>
  </si>
  <si>
    <t>USPA FY26 revenue understated if true count &gt; 329 (by ~14% if actual = 377)</t>
  </si>
  <si>
    <t>Verify from Arvind FY26 Annual Report / quarterly commentary</t>
  </si>
  <si>
    <t>Trent FY26 total</t>
  </si>
  <si>
    <t>DATA CORRECTION</t>
  </si>
  <si>
    <t>Original screener FY26 = ₹20,074 Cr; user corrected to ₹16,580 Cr. FY25/FY24 correction not provided.</t>
  </si>
  <si>
    <t>FY25→FY26 non-Star growth may be distorted by inconsistent base years</t>
  </si>
  <si>
    <t>Obtain confirmed FY25 and FY24 totals under same accounting basis as FY26</t>
  </si>
  <si>
    <t>Westside scraping</t>
  </si>
  <si>
    <t>SCRAPING MISS</t>
  </si>
  <si>
    <t>Scraped = 217 stores vs official FY26 = 300 (83-store miss = 27.7%)</t>
  </si>
  <si>
    <t>If scrape used for area calc, Westside area would be understated by 27%; always use official count</t>
  </si>
  <si>
    <t>Always use official company disclosure (300 stores); never scrape-derived for Westside</t>
  </si>
  <si>
    <t>Arvind FY24 retail area</t>
  </si>
  <si>
    <t>ESTIMATION</t>
  </si>
  <si>
    <t>FY24 area not disclosed; estimated at ~1.115 Mn sqft from brand store counts × sqft</t>
  </si>
  <si>
    <t>LOW-MEDIUM</t>
  </si>
  <si>
    <t>FY24 rev/sqft is estimated (not confirmed)</t>
  </si>
  <si>
    <t>Seek Arvind FY24 Annual Report area disclosure</t>
  </si>
  <si>
    <t>Lifestyle FY25 below forecast</t>
  </si>
  <si>
    <t>DATA NOTE</t>
  </si>
  <si>
    <t>CRISIL expected 7-8% growth for FY25; actual (Tracxn) = +3.4%. Possible definitional difference (CRISIL ₹11,239 vs Tracxn ₹11,083 for FY24)</t>
  </si>
  <si>
    <t>LOW</t>
  </si>
  <si>
    <t>FY24 base may differ between sources; FY25 segment mix assumed same as FY24</t>
  </si>
  <si>
    <t>Obtain CRISIL FY25 rating rationale for confirmed segment mix</t>
  </si>
  <si>
    <t>Max Fashion franchise model</t>
  </si>
  <si>
    <t>ASSUMPTION</t>
  </si>
  <si>
    <t>Max COCO ~57 stores (~11% of 511) derived from Tracxn entity / system revenue ratio; not company-disclosed</t>
  </si>
  <si>
    <t>If Max has more COCO stores, the Tracxn entity may include different entity than assumed</t>
  </si>
  <si>
    <t>Seek Max Fashion India franchise count from Landmark Group India disclosures</t>
  </si>
  <si>
    <t>Trent Zudio FY25→26 per-store</t>
  </si>
  <si>
    <t>Revised model shows Zudio FY26 per-store = ₹6.67 vs FY25 = ₹8.41 (−21%). Driven by lower FY26 total (₹16,580 corrected) vs FY25 original (₹16,874 uncorrected)</t>
  </si>
  <si>
    <t>Zudio per-store decline with +198 stores is implausible — likely a base-year correction issue</t>
  </si>
  <si>
    <t>Needs FY25 corrected total to make model consistent</t>
  </si>
  <si>
    <t>Calvin Klein FY26</t>
  </si>
  <si>
    <t>SCRAPING</t>
  </si>
  <si>
    <t>Scraped = 53 vs Mar25 official = 80 (−27). May be real decline (CK moving to LFS) or locator miss.</t>
  </si>
  <si>
    <t>CK FY26 revenue at ₹130 Cr (−31%); confirms EBO rationalization narrative but magnitude uncertain</t>
  </si>
  <si>
    <t>Cross-check with Arvind FY26 Annual Report CK EBO count</t>
  </si>
  <si>
    <t>Home Centre stores</t>
  </si>
  <si>
    <t>~65 Home Centre stores estimated; not provided in user data; CRISIL confirms 11% revenue share</t>
  </si>
  <si>
    <t>Revenue allocation to Home Centre is accurate (CRISIL %) but store count is estimated</t>
  </si>
  <si>
    <t>Seek Landmark Group / Home Centre India store count</t>
  </si>
  <si>
    <t>Trent Star store count FY24</t>
  </si>
  <si>
    <t>INTERPRETATION</t>
  </si>
  <si>
    <t>FY24 combined (875) = W(232)+Z(545)+S+U(32)+Star(66?). 875−232−545−32=66 unaccounted stores in FY24 combined count</t>
  </si>
  <si>
    <t>Star likely included in FY24 combined reporting (66 stores); separated in FY26 reporting</t>
  </si>
  <si>
    <t>Confirm methodology in Trent FY24 Annual Report</t>
  </si>
  <si>
    <t>C. OPEN ITEMS / TO-DO FOR VERIFICATION</t>
  </si>
  <si>
    <t>Item</t>
  </si>
  <si>
    <t>Where to Find</t>
  </si>
  <si>
    <t>Action</t>
  </si>
  <si>
    <t>1</t>
  </si>
  <si>
    <t>Arvind Fashions FY24 Annual Report</t>
  </si>
  <si>
    <t>Confirm FY24 area to remove estimation flag</t>
  </si>
  <si>
    <t>2</t>
  </si>
  <si>
    <t>USPA actual Mar-26 store count</t>
  </si>
  <si>
    <t>Arvind FY26 Annual Report / Q4 earnings</t>
  </si>
  <si>
    <t>Resolve USPA anomaly (329 scraped vs 377 official Mar-25)</t>
  </si>
  <si>
    <t>3</t>
  </si>
  <si>
    <t>Trent FY25 and FY24 correct totals</t>
  </si>
  <si>
    <t>Trent FY24/FY25 Annual Reports (same basis as FY26 ₹16,580)</t>
  </si>
  <si>
    <t>Fix inconsistent YoY trends in non-Star revenue</t>
  </si>
  <si>
    <t>4</t>
  </si>
  <si>
    <t>CK EBO count March 2026</t>
  </si>
  <si>
    <t>Arvind Fashions FY26 Annual Report</t>
  </si>
  <si>
    <t>Confirm CK reduction from 80→53 is real vs scraping miss</t>
  </si>
  <si>
    <t>5</t>
  </si>
  <si>
    <t>LIPL FY25 segment breakdown</t>
  </si>
  <si>
    <t>CRISIL or LIPL FY25 rating rationale (not yet available)</t>
  </si>
  <si>
    <t>Confirm segment mix is stable FY24→FY25</t>
  </si>
  <si>
    <t>6</t>
  </si>
  <si>
    <t>Max Fashion franchise count</t>
  </si>
  <si>
    <t>Landmark Group / Max Fashion India press releases</t>
  </si>
  <si>
    <t>Confirm ~89% franchise assumption</t>
  </si>
  <si>
    <t>7</t>
  </si>
  <si>
    <t>Home Centre store count</t>
  </si>
  <si>
    <t>Landmark Group India / LIPL Annual Report</t>
  </si>
  <si>
    <t>Replace ~65 estimate with actual count</t>
  </si>
  <si>
    <t>8</t>
  </si>
  <si>
    <t>Trent FY24 Annual Report</t>
  </si>
  <si>
    <t>Confirm whether 66 unaccounted stores = Star in FY24 combined</t>
  </si>
  <si>
    <t>9</t>
  </si>
  <si>
    <t>Arvind Fashion Brand — verify sqft</t>
  </si>
  <si>
    <t>Arvind Fashions Investor Presentation</t>
  </si>
  <si>
    <t>Confirm implied ~2,300 sqft per store for AF Brand</t>
  </si>
  <si>
    <t>10</t>
  </si>
  <si>
    <t>OWND! FY24 pilot store count</t>
  </si>
  <si>
    <t>ABFRL FY24 Annual Report</t>
  </si>
  <si>
    <t>Confirm if OWND! had any stores in FY24 or was truly pre-launch</t>
  </si>
  <si>
    <t>Colouring Sources green once confirmed</t>
  </si>
  <si>
    <t>Walkway</t>
  </si>
  <si>
    <t>Fitflop</t>
  </si>
  <si>
    <t>Fila</t>
  </si>
  <si>
    <t>27% Revenue</t>
  </si>
  <si>
    <t>Stores</t>
  </si>
  <si>
    <t>Data diya nhi h</t>
  </si>
  <si>
    <t>In-House Brands</t>
  </si>
  <si>
    <t>Partner Brands</t>
  </si>
  <si>
    <t>Average Store Size</t>
  </si>
  <si>
    <t>Total Stores</t>
  </si>
  <si>
    <t>Revenue FY 26</t>
  </si>
  <si>
    <t>Sum of Metro and Mochi</t>
  </si>
  <si>
    <t>Total Revenue</t>
  </si>
  <si>
    <t>%</t>
  </si>
  <si>
    <t>Walkway Revenue</t>
  </si>
  <si>
    <t>Rev/Store</t>
  </si>
  <si>
    <t>Revenue/Store</t>
  </si>
  <si>
    <t>Rev/Sq.ft</t>
  </si>
  <si>
    <t>Average Sq.ft</t>
  </si>
  <si>
    <t>Other</t>
  </si>
  <si>
    <t>Revenue % of total</t>
  </si>
  <si>
    <t>Store % of total</t>
  </si>
  <si>
    <t># 18 % Total Revenue from 35 Stores</t>
  </si>
  <si>
    <t>Crocs ka Revenue/Sq.ft must be high</t>
  </si>
  <si>
    <t>Average Revenue/Sq.ft</t>
  </si>
  <si>
    <t>Red- Assumed</t>
  </si>
  <si>
    <t>Green- Given</t>
  </si>
  <si>
    <t>Black- Calculated</t>
  </si>
  <si>
    <t>73% revenue</t>
  </si>
  <si>
    <t>Revenue</t>
  </si>
  <si>
    <t>Revenue/store</t>
  </si>
  <si>
    <t>Given Data-</t>
  </si>
  <si>
    <t>Average Store Size for All Metro Brands</t>
  </si>
  <si>
    <t>Our approach (To be followed)</t>
  </si>
  <si>
    <t>Total Revenue and Split across Inhouse and Partner Brands</t>
  </si>
  <si>
    <t>Stores Count</t>
  </si>
  <si>
    <t>Average Revenue/Sq.ft for Al l Brands</t>
  </si>
  <si>
    <t>Approach-</t>
  </si>
  <si>
    <t>Since, we have 9+ Brands within Metro Brands, so going by Revenue /Sq.ft will create a lot of assumptions and all the brands are not of the same segment(ASP wise)</t>
  </si>
  <si>
    <t>We are following revenue/store method for Partner and inhouse brands  separately as we have store count and total revenue from both kind of brands. Metro and Mochi come under Inhouse brands and Only walkway is there whose Data we have to assume and in case of crocs, it has around 85% stores among all the Partner brands</t>
  </si>
  <si>
    <t>Also We have no data about MBO EBO Split</t>
  </si>
  <si>
    <t>Data we have-</t>
  </si>
  <si>
    <t>Walkway Financials (Derived from average revenue per store Model)</t>
  </si>
  <si>
    <t xml:space="preserve">Wrong Approach below leading to crocs revenue/store to be 1.12 cr/store but this is wrong as for such brands revenue /sq.ft cannot be same </t>
  </si>
  <si>
    <t>Triangulation for average revenue/sq.ft method</t>
  </si>
  <si>
    <t>The Bottleneck for this method-</t>
  </si>
  <si>
    <t>Rev/Store(in Cr)</t>
  </si>
  <si>
    <t>Derived from Average Rev/Store method for FY 26</t>
  </si>
  <si>
    <t>Revenue(cr)</t>
  </si>
  <si>
    <t>Rev/store(cr)</t>
  </si>
  <si>
    <t>Rev from EBOs(This goes as the input in Brand financials)</t>
  </si>
  <si>
    <t>5266 Cr</t>
  </si>
  <si>
    <t>From EBOS</t>
  </si>
  <si>
    <t>Multiplier</t>
  </si>
  <si>
    <t>New Stores</t>
  </si>
  <si>
    <t>150+</t>
  </si>
  <si>
    <t>From Bernstein Model</t>
  </si>
  <si>
    <t>Revenue(in Cr)</t>
  </si>
  <si>
    <t>Our Approach</t>
  </si>
  <si>
    <t>Total Store</t>
  </si>
  <si>
    <t>OWND</t>
  </si>
  <si>
    <t>Total Revenue(Cr)</t>
  </si>
  <si>
    <t>All the revenue is from ebos</t>
  </si>
  <si>
    <t>Lifestyle</t>
  </si>
  <si>
    <t>FY 25 Revenue</t>
  </si>
  <si>
    <t>FY25--&gt;FY26</t>
  </si>
  <si>
    <t>Increase Revenue by 4.90%</t>
  </si>
  <si>
    <t>% of Total Revenue</t>
  </si>
  <si>
    <t>Stores(FY 26)</t>
  </si>
  <si>
    <t>MAX Fashion</t>
  </si>
  <si>
    <t>Max and Easy buy combined revenue is 48% of total</t>
  </si>
  <si>
    <t>CAGR%</t>
  </si>
  <si>
    <t>Lifestyle (Total)</t>
  </si>
  <si>
    <t>Combined Revenue of Max and EasyBuy</t>
  </si>
  <si>
    <t>Combined Stores of max and easybuy</t>
  </si>
  <si>
    <t>Avg Rev/Store</t>
  </si>
  <si>
    <t>FY26 Revenue</t>
  </si>
  <si>
    <t>Fy26</t>
  </si>
  <si>
    <t xml:space="preserve">Fy 25 </t>
  </si>
  <si>
    <t>Rev/Store(FY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</si>
</sst>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0.0%"/>
    <numFmt numFmtId="166" formatCode="0.00\x"/>
    <numFmt numFmtId="167" formatCode="0.000\x"/>
    <numFmt numFmtId="168" formatCode="#,##0.000"/>
  </numFmts>
  <fonts count="15" x14ac:knownFonts="1">
    <font>
      <sz val="11"/>
      <color theme="1"/>
      <name val="Calibri"/>
      <family val="2"/>
      <charset val="1"/>
    </font>
    <font>
      <b/>
      <sz val="10"/>
      <color rgb="FFFFFFFF"/>
      <name val="Arial"/>
      <family val="2"/>
    </font>
    <font>
      <b/>
      <sz val="10"/>
      <color rgb="FF000000"/>
      <name val="Arial"/>
      <family val="2"/>
    </font>
    <font>
      <sz val="9"/>
      <color rgb="FF0000FF"/>
      <name val="Arial"/>
      <family val="2"/>
    </font>
    <font>
      <sz val="9"/>
      <color rgb="FF000000"/>
      <name val="Arial"/>
      <family val="2"/>
    </font>
    <font>
      <sz val="10"/>
      <color rgb="FF000000"/>
      <name val="Arial"/>
      <family val="2"/>
    </font>
    <font>
      <sz val="10"/>
      <color rgb="FF0000FF"/>
      <name val="Arial"/>
      <family val="2"/>
    </font>
    <font>
      <i/>
      <sz val="9"/>
      <color rgb="FF595959"/>
      <name val="Arial"/>
      <family val="2"/>
    </font>
    <font>
      <b/>
      <sz val="10"/>
      <color rgb="FF1F4E79"/>
      <name val="Arial"/>
      <family val="2"/>
    </font>
    <font>
      <i/>
      <sz val="9"/>
      <name val="Arial"/>
      <family val="2"/>
    </font>
    <font>
      <sz val="9"/>
      <color indexed="81"/>
      <name val="Tahoma"/>
      <family val="2"/>
    </font>
    <font>
      <sz val="11"/>
      <color rgb="FF00B050"/>
      <name val="Calibri"/>
      <family val="2"/>
      <charset val="1"/>
    </font>
    <font>
      <sz val="11"/>
      <color rgb="FFFF0000"/>
      <name val="Calibri"/>
      <family val="2"/>
      <charset val="1"/>
    </font>
    <font>
      <sz val="11"/>
      <color theme="0"/>
      <name val="Calibri"/>
      <family val="2"/>
      <charset val="1"/>
    </font>
    <font>
      <sz val="11"/>
      <color rgb="FFC00000"/>
      <name val="Calibri"/>
      <family val="2"/>
      <charset val="1"/>
    </font>
  </fonts>
  <fills count="18">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FFFFFF"/>
        <bgColor rgb="FFF2F2F2"/>
      </patternFill>
    </fill>
    <fill>
      <patternFill patternType="solid">
        <fgColor rgb="FFE2EFDA"/>
        <bgColor rgb="FFF2F2F2"/>
      </patternFill>
    </fill>
    <fill>
      <patternFill patternType="solid">
        <fgColor rgb="FFFFFF00"/>
        <bgColor rgb="FFFFFF00"/>
      </patternFill>
    </fill>
    <fill>
      <patternFill patternType="solid">
        <fgColor rgb="FFFCE4D6"/>
        <bgColor rgb="FFF2F2F2"/>
      </patternFill>
    </fill>
    <fill>
      <patternFill patternType="solid">
        <fgColor rgb="FFEBF3FB"/>
        <bgColor rgb="FFF2F2F2"/>
      </patternFill>
    </fill>
    <fill>
      <patternFill patternType="solid">
        <fgColor rgb="FFBDD7EE"/>
        <bgColor rgb="FF99CCFF"/>
      </patternFill>
    </fill>
    <fill>
      <patternFill patternType="solid">
        <fgColor rgb="FFF2F2F2"/>
        <bgColor rgb="FFEBF3FB"/>
      </patternFill>
    </fill>
    <fill>
      <patternFill patternType="solid">
        <fgColor rgb="FFC00000"/>
        <bgColor rgb="FFF2F2F2"/>
      </patternFill>
    </fill>
    <fill>
      <patternFill patternType="solid">
        <fgColor rgb="FFFF0000"/>
        <bgColor rgb="FF0066CC"/>
      </patternFill>
    </fill>
    <fill>
      <patternFill patternType="solid">
        <fgColor rgb="FFFF0000"/>
        <bgColor rgb="FFF2F2F2"/>
      </patternFill>
    </fill>
    <fill>
      <patternFill patternType="solid">
        <fgColor theme="3" tint="-0.249977111117893"/>
        <bgColor indexed="64"/>
      </patternFill>
    </fill>
    <fill>
      <patternFill patternType="solid">
        <fgColor theme="5"/>
        <bgColor indexed="64"/>
      </patternFill>
    </fill>
    <fill>
      <patternFill patternType="solid">
        <fgColor rgb="FF92D050"/>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133">
    <xf numFmtId="0" fontId="0" fillId="0" borderId="0" xfId="0"/>
    <xf numFmtId="0" fontId="7" fillId="9"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6" fillId="7" borderId="1" xfId="0" applyFont="1" applyFill="1" applyBorder="1" applyAlignment="1">
      <alignment horizontal="right" vertical="center"/>
    </xf>
    <xf numFmtId="0" fontId="6" fillId="6" borderId="1" xfId="0" applyFont="1" applyFill="1" applyBorder="1" applyAlignment="1">
      <alignment horizontal="right" vertical="center"/>
    </xf>
    <xf numFmtId="0" fontId="6" fillId="5" borderId="1" xfId="0" applyFont="1" applyFill="1" applyBorder="1" applyAlignment="1">
      <alignment horizontal="right" vertical="center"/>
    </xf>
    <xf numFmtId="0" fontId="7" fillId="4" borderId="1" xfId="0" applyFont="1" applyFill="1" applyBorder="1" applyAlignment="1">
      <alignment horizontal="left" vertical="center" wrapText="1"/>
    </xf>
    <xf numFmtId="0" fontId="7" fillId="8" borderId="1" xfId="0" applyFont="1" applyFill="1" applyBorder="1" applyAlignment="1">
      <alignment horizontal="left" vertical="center" wrapText="1"/>
    </xf>
    <xf numFmtId="0" fontId="8" fillId="9" borderId="1" xfId="0" applyFont="1" applyFill="1" applyBorder="1" applyAlignment="1">
      <alignment horizontal="center" vertical="center" wrapText="1"/>
    </xf>
    <xf numFmtId="3" fontId="5" fillId="9" borderId="1" xfId="0" applyNumberFormat="1" applyFont="1" applyFill="1" applyBorder="1" applyAlignment="1">
      <alignment horizontal="right" vertical="center"/>
    </xf>
    <xf numFmtId="0" fontId="7" fillId="10"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0" xfId="0" applyFont="1"/>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164" fontId="6" fillId="4" borderId="1" xfId="0" applyNumberFormat="1" applyFont="1" applyFill="1" applyBorder="1" applyAlignment="1">
      <alignment horizontal="right" vertical="center"/>
    </xf>
    <xf numFmtId="165" fontId="5" fillId="4" borderId="1" xfId="0" applyNumberFormat="1" applyFont="1" applyFill="1" applyBorder="1" applyAlignment="1">
      <alignment horizontal="right" vertical="center"/>
    </xf>
    <xf numFmtId="4" fontId="5" fillId="4" borderId="1" xfId="0" applyNumberFormat="1" applyFont="1" applyFill="1" applyBorder="1" applyAlignment="1">
      <alignment horizontal="right" vertical="center"/>
    </xf>
    <xf numFmtId="3" fontId="5" fillId="4" borderId="1" xfId="0" applyNumberFormat="1" applyFont="1" applyFill="1" applyBorder="1" applyAlignment="1">
      <alignment horizontal="right" vertical="center" wrapText="1"/>
    </xf>
    <xf numFmtId="0" fontId="7" fillId="5"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164" fontId="6" fillId="8" borderId="1" xfId="0" applyNumberFormat="1" applyFont="1" applyFill="1" applyBorder="1" applyAlignment="1">
      <alignment horizontal="right" vertical="center"/>
    </xf>
    <xf numFmtId="4" fontId="5" fillId="8" borderId="1" xfId="0" applyNumberFormat="1" applyFont="1" applyFill="1" applyBorder="1" applyAlignment="1">
      <alignment horizontal="right" vertical="center"/>
    </xf>
    <xf numFmtId="3" fontId="5" fillId="8" borderId="1"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0" fontId="2" fillId="9" borderId="1" xfId="0" applyFont="1" applyFill="1" applyBorder="1" applyAlignment="1">
      <alignment horizontal="left" vertical="center" wrapText="1"/>
    </xf>
    <xf numFmtId="0" fontId="5" fillId="9" borderId="1" xfId="0" applyFont="1" applyFill="1" applyBorder="1" applyAlignment="1">
      <alignment horizontal="left" vertical="center" wrapText="1"/>
    </xf>
    <xf numFmtId="164" fontId="6" fillId="5" borderId="1" xfId="0" applyNumberFormat="1" applyFont="1" applyFill="1" applyBorder="1" applyAlignment="1">
      <alignment horizontal="right" vertical="center"/>
    </xf>
    <xf numFmtId="0" fontId="0" fillId="9" borderId="1" xfId="0" applyFill="1" applyBorder="1" applyAlignment="1">
      <alignment horizontal="center" vertical="center" wrapText="1"/>
    </xf>
    <xf numFmtId="3" fontId="5" fillId="9" borderId="1" xfId="0" applyNumberFormat="1" applyFont="1" applyFill="1" applyBorder="1" applyAlignment="1">
      <alignment horizontal="right" vertical="center" wrapText="1"/>
    </xf>
    <xf numFmtId="0" fontId="0" fillId="0" borderId="1" xfId="0" applyBorder="1"/>
    <xf numFmtId="164" fontId="6" fillId="6" borderId="1" xfId="0" applyNumberFormat="1" applyFont="1" applyFill="1" applyBorder="1" applyAlignment="1">
      <alignment horizontal="right" vertical="center"/>
    </xf>
    <xf numFmtId="0" fontId="7" fillId="7"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0" fillId="8" borderId="1" xfId="0" applyFill="1" applyBorder="1" applyAlignment="1">
      <alignment horizontal="center" vertical="center" wrapText="1"/>
    </xf>
    <xf numFmtId="0" fontId="0" fillId="4" borderId="1" xfId="0" applyFill="1" applyBorder="1" applyAlignment="1">
      <alignment horizontal="center" vertical="center" wrapText="1"/>
    </xf>
    <xf numFmtId="164" fontId="6" fillId="9" borderId="1" xfId="0" applyNumberFormat="1" applyFont="1" applyFill="1" applyBorder="1" applyAlignment="1">
      <alignment horizontal="right" vertical="center"/>
    </xf>
    <xf numFmtId="0" fontId="6" fillId="5" borderId="1" xfId="0" applyFont="1" applyFill="1" applyBorder="1" applyAlignment="1">
      <alignment horizontal="right" vertical="center"/>
    </xf>
    <xf numFmtId="0" fontId="7" fillId="10" borderId="1" xfId="0" applyFont="1" applyFill="1" applyBorder="1" applyAlignment="1">
      <alignment horizontal="left" vertical="center" wrapText="1"/>
    </xf>
    <xf numFmtId="0" fontId="2" fillId="8" borderId="1" xfId="0" applyFont="1" applyFill="1" applyBorder="1" applyAlignment="1">
      <alignment horizontal="left" vertical="center" wrapText="1"/>
    </xf>
    <xf numFmtId="3" fontId="6" fillId="5" borderId="1" xfId="0" applyNumberFormat="1" applyFont="1" applyFill="1" applyBorder="1" applyAlignment="1">
      <alignment horizontal="right" vertical="center"/>
    </xf>
    <xf numFmtId="3" fontId="5" fillId="8" borderId="1" xfId="0" applyNumberFormat="1" applyFont="1" applyFill="1" applyBorder="1" applyAlignment="1">
      <alignment horizontal="right" vertical="center"/>
    </xf>
    <xf numFmtId="3" fontId="5" fillId="4" borderId="1" xfId="0" applyNumberFormat="1" applyFont="1" applyFill="1" applyBorder="1" applyAlignment="1">
      <alignment horizontal="right" vertical="center"/>
    </xf>
    <xf numFmtId="3" fontId="5" fillId="9" borderId="1" xfId="0" applyNumberFormat="1" applyFont="1" applyFill="1" applyBorder="1" applyAlignment="1">
      <alignment horizontal="right" vertical="center"/>
    </xf>
    <xf numFmtId="0" fontId="8" fillId="9" borderId="1" xfId="0" applyFont="1" applyFill="1" applyBorder="1" applyAlignment="1">
      <alignment horizontal="center" vertical="center" wrapText="1"/>
    </xf>
    <xf numFmtId="3" fontId="6" fillId="8" borderId="1" xfId="0" applyNumberFormat="1" applyFont="1" applyFill="1" applyBorder="1" applyAlignment="1">
      <alignment horizontal="right" vertical="center"/>
    </xf>
    <xf numFmtId="164" fontId="5" fillId="4" borderId="1" xfId="0" applyNumberFormat="1" applyFont="1" applyFill="1" applyBorder="1" applyAlignment="1">
      <alignment horizontal="right" vertical="center"/>
    </xf>
    <xf numFmtId="3" fontId="6" fillId="4" borderId="1" xfId="0" applyNumberFormat="1" applyFont="1" applyFill="1" applyBorder="1" applyAlignment="1">
      <alignment horizontal="right" vertical="center"/>
    </xf>
    <xf numFmtId="0" fontId="0" fillId="9" borderId="1" xfId="0" applyFill="1" applyBorder="1"/>
    <xf numFmtId="164" fontId="5" fillId="9" borderId="1" xfId="0" applyNumberFormat="1" applyFont="1" applyFill="1" applyBorder="1" applyAlignment="1">
      <alignment horizontal="right" vertical="center"/>
    </xf>
    <xf numFmtId="165" fontId="5" fillId="9" borderId="1" xfId="0" applyNumberFormat="1" applyFont="1" applyFill="1" applyBorder="1" applyAlignment="1">
      <alignment horizontal="right" vertical="center"/>
    </xf>
    <xf numFmtId="167" fontId="6" fillId="8" borderId="1" xfId="0" applyNumberFormat="1" applyFont="1" applyFill="1" applyBorder="1" applyAlignment="1">
      <alignment horizontal="right" vertical="center"/>
    </xf>
    <xf numFmtId="3" fontId="6" fillId="7" borderId="1" xfId="0" applyNumberFormat="1" applyFont="1" applyFill="1" applyBorder="1" applyAlignment="1">
      <alignment horizontal="right" vertical="center"/>
    </xf>
    <xf numFmtId="167" fontId="6" fillId="4" borderId="1" xfId="0" applyNumberFormat="1" applyFont="1" applyFill="1" applyBorder="1" applyAlignment="1">
      <alignment horizontal="right" vertical="center"/>
    </xf>
    <xf numFmtId="165" fontId="5" fillId="8" borderId="1" xfId="0" applyNumberFormat="1" applyFont="1" applyFill="1" applyBorder="1" applyAlignment="1">
      <alignment horizontal="right" vertical="center"/>
    </xf>
    <xf numFmtId="4" fontId="0" fillId="8" borderId="1" xfId="0" applyNumberFormat="1" applyFill="1" applyBorder="1"/>
    <xf numFmtId="3" fontId="0" fillId="8" borderId="1" xfId="0" applyNumberFormat="1" applyFill="1" applyBorder="1"/>
    <xf numFmtId="164" fontId="6" fillId="7" borderId="1" xfId="0" applyNumberFormat="1" applyFont="1" applyFill="1" applyBorder="1" applyAlignment="1">
      <alignment horizontal="right" vertical="center"/>
    </xf>
    <xf numFmtId="165" fontId="5" fillId="7" borderId="1" xfId="0" applyNumberFormat="1" applyFont="1" applyFill="1" applyBorder="1" applyAlignment="1">
      <alignment horizontal="right" vertical="center"/>
    </xf>
    <xf numFmtId="4" fontId="0" fillId="4" borderId="1" xfId="0" applyNumberFormat="1" applyFill="1" applyBorder="1"/>
    <xf numFmtId="3" fontId="0" fillId="4" borderId="1" xfId="0" applyNumberFormat="1" applyFill="1" applyBorder="1"/>
    <xf numFmtId="168" fontId="6" fillId="5" borderId="1" xfId="0" applyNumberFormat="1" applyFont="1" applyFill="1" applyBorder="1" applyAlignment="1">
      <alignment horizontal="right" vertical="center"/>
    </xf>
    <xf numFmtId="168" fontId="6" fillId="6" borderId="1" xfId="0" applyNumberFormat="1" applyFont="1" applyFill="1" applyBorder="1" applyAlignment="1">
      <alignment horizontal="right" vertical="center"/>
    </xf>
    <xf numFmtId="0" fontId="7" fillId="6" borderId="1" xfId="0" applyFont="1" applyFill="1" applyBorder="1" applyAlignment="1">
      <alignment horizontal="left" vertical="center" wrapText="1"/>
    </xf>
    <xf numFmtId="3" fontId="6" fillId="9" borderId="1" xfId="0" applyNumberFormat="1" applyFont="1" applyFill="1" applyBorder="1" applyAlignment="1">
      <alignment horizontal="right" vertical="center"/>
    </xf>
    <xf numFmtId="0" fontId="7" fillId="9" borderId="1" xfId="0" applyFont="1" applyFill="1" applyBorder="1" applyAlignment="1">
      <alignment horizontal="left" vertical="center" wrapText="1"/>
    </xf>
    <xf numFmtId="0" fontId="0" fillId="8" borderId="1" xfId="0" applyFill="1" applyBorder="1"/>
    <xf numFmtId="4" fontId="0" fillId="0" borderId="1" xfId="0" applyNumberFormat="1" applyBorder="1"/>
    <xf numFmtId="164" fontId="5" fillId="8" borderId="1" xfId="0" applyNumberFormat="1" applyFont="1" applyFill="1" applyBorder="1" applyAlignment="1">
      <alignment horizontal="right" vertical="center"/>
    </xf>
    <xf numFmtId="0" fontId="0" fillId="4" borderId="1" xfId="0" applyFill="1" applyBorder="1"/>
    <xf numFmtId="164" fontId="5" fillId="6" borderId="1" xfId="0" applyNumberFormat="1" applyFont="1" applyFill="1" applyBorder="1" applyAlignment="1">
      <alignment horizontal="right" vertical="center"/>
    </xf>
    <xf numFmtId="164" fontId="5" fillId="5" borderId="1" xfId="0" applyNumberFormat="1" applyFont="1" applyFill="1" applyBorder="1" applyAlignment="1">
      <alignment horizontal="right" vertical="center"/>
    </xf>
    <xf numFmtId="165" fontId="0" fillId="8" borderId="1" xfId="0" applyNumberFormat="1" applyFill="1" applyBorder="1"/>
    <xf numFmtId="3" fontId="6" fillId="6" borderId="1" xfId="0" applyNumberFormat="1" applyFont="1" applyFill="1" applyBorder="1" applyAlignment="1">
      <alignment horizontal="right" vertical="center"/>
    </xf>
    <xf numFmtId="165" fontId="0" fillId="4" borderId="1" xfId="0" applyNumberFormat="1" applyFill="1" applyBorder="1"/>
    <xf numFmtId="0" fontId="5" fillId="5"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164" fontId="0" fillId="8" borderId="1" xfId="0" applyNumberFormat="1" applyFill="1" applyBorder="1"/>
    <xf numFmtId="164" fontId="0" fillId="4" borderId="1" xfId="0" applyNumberFormat="1" applyFill="1" applyBorder="1"/>
    <xf numFmtId="0" fontId="5" fillId="10" borderId="1" xfId="0" applyFont="1" applyFill="1" applyBorder="1" applyAlignment="1">
      <alignment horizontal="left" vertical="center" wrapText="1"/>
    </xf>
    <xf numFmtId="0" fontId="0" fillId="10" borderId="1" xfId="0" applyFill="1" applyBorder="1"/>
    <xf numFmtId="165" fontId="5" fillId="10" borderId="1" xfId="0" applyNumberFormat="1" applyFont="1" applyFill="1" applyBorder="1" applyAlignment="1">
      <alignment horizontal="right" vertical="center"/>
    </xf>
    <xf numFmtId="164" fontId="0" fillId="10" borderId="1" xfId="0" applyNumberFormat="1" applyFill="1" applyBorder="1"/>
    <xf numFmtId="3" fontId="6" fillId="10" borderId="1" xfId="0" applyNumberFormat="1" applyFont="1" applyFill="1" applyBorder="1" applyAlignment="1">
      <alignment horizontal="right" vertical="center"/>
    </xf>
    <xf numFmtId="3" fontId="0" fillId="10" borderId="1" xfId="0" applyNumberFormat="1" applyFill="1" applyBorder="1"/>
    <xf numFmtId="0" fontId="2" fillId="5"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6" fillId="8" borderId="1" xfId="0" applyFont="1" applyFill="1" applyBorder="1" applyAlignment="1">
      <alignment horizontal="right" vertical="center"/>
    </xf>
    <xf numFmtId="0" fontId="6" fillId="4" borderId="1" xfId="0" applyFont="1" applyFill="1" applyBorder="1" applyAlignment="1">
      <alignment horizontal="right" vertical="center"/>
    </xf>
    <xf numFmtId="0" fontId="9" fillId="10" borderId="2" xfId="0" applyFont="1" applyFill="1" applyBorder="1" applyAlignment="1">
      <alignment horizontal="left" vertical="center" wrapText="1"/>
    </xf>
    <xf numFmtId="0" fontId="7" fillId="11" borderId="1" xfId="0" applyFont="1" applyFill="1" applyBorder="1" applyAlignment="1">
      <alignment horizontal="left" vertical="center" wrapText="1"/>
    </xf>
    <xf numFmtId="0" fontId="1" fillId="12" borderId="1" xfId="0" applyFont="1" applyFill="1" applyBorder="1" applyAlignment="1">
      <alignment horizontal="center" vertical="center" wrapText="1"/>
    </xf>
    <xf numFmtId="166" fontId="6" fillId="13" borderId="1" xfId="0" applyNumberFormat="1" applyFont="1" applyFill="1" applyBorder="1" applyAlignment="1">
      <alignment horizontal="right" vertical="center"/>
    </xf>
    <xf numFmtId="0" fontId="7" fillId="11" borderId="1" xfId="0" applyFont="1" applyFill="1" applyBorder="1" applyAlignment="1">
      <alignment horizontal="left" vertical="center" wrapText="1"/>
    </xf>
    <xf numFmtId="1" fontId="0" fillId="0" borderId="0" xfId="0" applyNumberFormat="1"/>
    <xf numFmtId="9" fontId="0" fillId="0" borderId="0" xfId="0" applyNumberFormat="1"/>
    <xf numFmtId="2" fontId="0" fillId="0" borderId="0" xfId="0" applyNumberFormat="1"/>
    <xf numFmtId="0" fontId="11" fillId="0" borderId="0" xfId="0" applyFont="1"/>
    <xf numFmtId="0" fontId="12" fillId="0" borderId="0" xfId="0" applyFont="1"/>
    <xf numFmtId="0" fontId="0" fillId="14" borderId="0" xfId="0" applyFill="1"/>
    <xf numFmtId="0" fontId="1" fillId="0" borderId="0" xfId="0" applyFont="1" applyFill="1" applyBorder="1" applyAlignment="1">
      <alignment horizontal="center" vertical="center" wrapText="1"/>
    </xf>
    <xf numFmtId="0" fontId="0" fillId="0" borderId="0" xfId="0" applyFill="1"/>
    <xf numFmtId="9" fontId="13" fillId="15" borderId="0" xfId="0" applyNumberFormat="1" applyFont="1" applyFill="1"/>
    <xf numFmtId="0" fontId="13" fillId="15" borderId="0" xfId="0" applyFont="1" applyFill="1"/>
    <xf numFmtId="3" fontId="0" fillId="0" borderId="0" xfId="0" applyNumberFormat="1"/>
    <xf numFmtId="2" fontId="0" fillId="0" borderId="0" xfId="0" applyNumberFormat="1" applyFill="1"/>
    <xf numFmtId="0" fontId="2" fillId="0" borderId="0" xfId="0" applyFont="1" applyFill="1" applyBorder="1" applyAlignment="1">
      <alignment horizontal="left" vertical="center" wrapText="1"/>
    </xf>
    <xf numFmtId="2" fontId="0" fillId="0" borderId="0" xfId="0" applyNumberFormat="1" applyFill="1" applyBorder="1"/>
    <xf numFmtId="3" fontId="6" fillId="0" borderId="0" xfId="0" applyNumberFormat="1" applyFont="1" applyFill="1" applyBorder="1" applyAlignment="1">
      <alignment horizontal="right" vertical="center"/>
    </xf>
    <xf numFmtId="0" fontId="14" fillId="0" borderId="0" xfId="0" applyFont="1" applyFill="1"/>
    <xf numFmtId="164" fontId="0" fillId="0" borderId="0" xfId="0" applyNumberFormat="1"/>
    <xf numFmtId="10" fontId="0" fillId="0" borderId="0" xfId="0" applyNumberFormat="1"/>
    <xf numFmtId="0" fontId="0" fillId="16" borderId="0" xfId="0" applyFill="1"/>
    <xf numFmtId="2" fontId="0" fillId="16" borderId="0" xfId="0" applyNumberFormat="1" applyFill="1"/>
    <xf numFmtId="3" fontId="0" fillId="16" borderId="0" xfId="0" applyNumberFormat="1" applyFill="1"/>
    <xf numFmtId="164" fontId="0" fillId="16" borderId="0" xfId="0" applyNumberFormat="1" applyFill="1"/>
    <xf numFmtId="165" fontId="0" fillId="16" borderId="0" xfId="0" applyNumberFormat="1" applyFill="1"/>
    <xf numFmtId="0" fontId="0" fillId="17" borderId="0" xfId="0" applyFill="1"/>
    <xf numFmtId="2" fontId="0" fillId="17" borderId="0" xfId="0" applyNumberFormat="1" applyFill="1"/>
    <xf numFmtId="9" fontId="0" fillId="17" borderId="0" xfId="0" applyNumberFormat="1" applyFill="1"/>
    <xf numFmtId="3" fontId="0" fillId="17" borderId="0" xfId="0" applyNumberFormat="1" applyFill="1"/>
    <xf numFmtId="4" fontId="0" fillId="17" borderId="0" xfId="0" applyNumberFormat="1" applyFill="1"/>
  </cellXfs>
  <cellStyles count="1">
    <cellStyle name="Normal" xfId="0" builtinId="0"/>
  </cellStyles>
  <dxfs count="0"/>
  <tableStyles count="1" defaultTableStyle="TableStyleMedium2" defaultPivotStyle="PivotStyleLight16">
    <tableStyle name="Invisible" pivot="0" table="0" count="0" xr9:uid="{36D2AE40-C774-4A29-82F6-820753EED7F3}"/>
  </table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7030A0"/>
      <rgbColor rgb="FFF2F2F2"/>
      <rgbColor rgb="FFEBF3FB"/>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2E75B6"/>
      <rgbColor rgb="FF33CCCC"/>
      <rgbColor rgb="FF99CC00"/>
      <rgbColor rgb="FFFFCC00"/>
      <rgbColor rgb="FFFF9900"/>
      <rgbColor rgb="FFFF6600"/>
      <rgbColor rgb="FF595959"/>
      <rgbColor rgb="FF969696"/>
      <rgbColor rgb="FF003366"/>
      <rgbColor rgb="FF339966"/>
      <rgbColor rgb="FF003300"/>
      <rgbColor rgb="FF333300"/>
      <rgbColor rgb="FF833C00"/>
      <rgbColor rgb="FF993366"/>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476250</xdr:colOff>
      <xdr:row>69</xdr:row>
      <xdr:rowOff>19050</xdr:rowOff>
    </xdr:from>
    <xdr:to>
      <xdr:col>12</xdr:col>
      <xdr:colOff>682613</xdr:colOff>
      <xdr:row>83</xdr:row>
      <xdr:rowOff>34663</xdr:rowOff>
    </xdr:to>
    <xdr:pic>
      <xdr:nvPicPr>
        <xdr:cNvPr id="2" name="Picture 1">
          <a:extLst>
            <a:ext uri="{FF2B5EF4-FFF2-40B4-BE49-F238E27FC236}">
              <a16:creationId xmlns:a16="http://schemas.microsoft.com/office/drawing/2014/main" id="{F3FBD67E-4251-9C87-B7B8-DC4A0917F0E7}"/>
            </a:ext>
          </a:extLst>
        </xdr:cNvPr>
        <xdr:cNvPicPr>
          <a:picLocks noChangeAspect="1"/>
        </xdr:cNvPicPr>
      </xdr:nvPicPr>
      <xdr:blipFill>
        <a:blip xmlns:r="http://schemas.openxmlformats.org/officeDocument/2006/relationships" r:embed="rId1"/>
        <a:stretch>
          <a:fillRect/>
        </a:stretch>
      </xdr:blipFill>
      <xdr:spPr>
        <a:xfrm>
          <a:off x="10344150" y="12182475"/>
          <a:ext cx="4467849" cy="26768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333375</xdr:colOff>
      <xdr:row>39</xdr:row>
      <xdr:rowOff>47625</xdr:rowOff>
    </xdr:from>
    <xdr:to>
      <xdr:col>21</xdr:col>
      <xdr:colOff>410234</xdr:colOff>
      <xdr:row>59</xdr:row>
      <xdr:rowOff>181525</xdr:rowOff>
    </xdr:to>
    <xdr:pic>
      <xdr:nvPicPr>
        <xdr:cNvPr id="2" name="Picture 1">
          <a:extLst>
            <a:ext uri="{FF2B5EF4-FFF2-40B4-BE49-F238E27FC236}">
              <a16:creationId xmlns:a16="http://schemas.microsoft.com/office/drawing/2014/main" id="{DBCF3EC0-29F3-4ADE-C551-F877F98781C4}"/>
            </a:ext>
          </a:extLst>
        </xdr:cNvPr>
        <xdr:cNvPicPr>
          <a:picLocks noChangeAspect="1"/>
        </xdr:cNvPicPr>
      </xdr:nvPicPr>
      <xdr:blipFill>
        <a:blip xmlns:r="http://schemas.openxmlformats.org/officeDocument/2006/relationships" r:embed="rId1"/>
        <a:stretch>
          <a:fillRect/>
        </a:stretch>
      </xdr:blipFill>
      <xdr:spPr>
        <a:xfrm>
          <a:off x="14458950" y="10163175"/>
          <a:ext cx="4725059" cy="39439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priyanshu sengar" id="{889D6383-6BC9-4121-86CF-8AC3570FB0E0}" userId="d1ddc38bd477b7ce" providerId="Windows Live"/>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21" dT="2026-06-22T09:17:35.27" personId="{889D6383-6BC9-4121-86CF-8AC3570FB0E0}" id="{2F3F0D30-38D9-4D4F-BA6A-2F6E6623BDA3}">
    <text>Don’t know what is this</text>
  </threadedComment>
  <threadedComment ref="A80" dT="2026-06-22T09:28:11.75" personId="{889D6383-6BC9-4121-86CF-8AC3570FB0E0}" id="{45CC187C-F561-4F57-B9E4-61E794DFF4C8}">
    <text xml:space="preserve">73% of total Revenue - Metro and Mochi Sum
</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1"/>
  <sheetViews>
    <sheetView zoomScaleNormal="100" workbookViewId="0">
      <pane ySplit="5" topLeftCell="A22" activePane="bottomLeft" state="frozen"/>
      <selection sqref="A1:P1"/>
      <selection pane="bottomLeft" activeCell="I6" sqref="I6"/>
    </sheetView>
  </sheetViews>
  <sheetFormatPr defaultColWidth="8.7109375" defaultRowHeight="15" x14ac:dyDescent="0.25"/>
  <cols>
    <col min="1" max="1" width="4" customWidth="1"/>
    <col min="2" max="2" width="20" customWidth="1"/>
    <col min="3" max="3" width="26" customWidth="1"/>
    <col min="4" max="4" width="12" customWidth="1"/>
    <col min="5" max="5" width="14" customWidth="1"/>
    <col min="6" max="6" width="16" customWidth="1"/>
    <col min="7" max="7" width="32" customWidth="1"/>
    <col min="8" max="10" width="14" customWidth="1"/>
    <col min="11" max="11" width="12" customWidth="1"/>
    <col min="12" max="14" width="16" customWidth="1"/>
    <col min="15" max="15" width="10" customWidth="1"/>
    <col min="16" max="16" width="48" customWidth="1"/>
  </cols>
  <sheetData>
    <row r="1" spans="1:16" ht="19.5" customHeight="1" x14ac:dyDescent="0.25">
      <c r="A1" s="14" t="s">
        <v>0</v>
      </c>
      <c r="B1" s="14"/>
      <c r="C1" s="14"/>
      <c r="D1" s="14"/>
      <c r="E1" s="14"/>
      <c r="F1" s="14"/>
      <c r="G1" s="14"/>
      <c r="H1" s="14"/>
      <c r="I1" s="14"/>
      <c r="J1" s="14"/>
      <c r="K1" s="14"/>
      <c r="L1" s="14"/>
      <c r="M1" s="14"/>
      <c r="N1" s="14"/>
      <c r="O1" s="14"/>
      <c r="P1" s="14"/>
    </row>
    <row r="2" spans="1:16" ht="15" customHeight="1" x14ac:dyDescent="0.25">
      <c r="A2" s="13" t="s">
        <v>1</v>
      </c>
      <c r="B2" s="13"/>
      <c r="C2" s="13"/>
      <c r="D2" s="13"/>
      <c r="E2" s="13"/>
      <c r="F2" s="13"/>
      <c r="G2" s="13"/>
      <c r="H2" s="13"/>
      <c r="I2" s="13"/>
      <c r="J2" s="13"/>
      <c r="K2" s="13"/>
      <c r="L2" s="13"/>
      <c r="M2" s="13"/>
      <c r="N2" s="13"/>
      <c r="O2" s="13"/>
      <c r="P2" s="13"/>
    </row>
    <row r="3" spans="1:16" ht="24" x14ac:dyDescent="0.25">
      <c r="A3" s="16" t="s">
        <v>2</v>
      </c>
      <c r="B3" s="17" t="s">
        <v>3</v>
      </c>
      <c r="C3" s="18" t="s">
        <v>4</v>
      </c>
      <c r="D3" s="19" t="s">
        <v>5</v>
      </c>
      <c r="E3" s="20" t="s">
        <v>6</v>
      </c>
      <c r="F3" s="21" t="s">
        <v>7</v>
      </c>
    </row>
    <row r="5" spans="1:16" ht="25.5" x14ac:dyDescent="0.25">
      <c r="A5" s="15" t="s">
        <v>8</v>
      </c>
      <c r="B5" s="15" t="s">
        <v>9</v>
      </c>
      <c r="C5" s="15" t="s">
        <v>10</v>
      </c>
      <c r="D5" s="15" t="s">
        <v>11</v>
      </c>
      <c r="E5" s="15" t="s">
        <v>12</v>
      </c>
      <c r="F5" s="15" t="s">
        <v>13</v>
      </c>
      <c r="G5" s="15" t="s">
        <v>14</v>
      </c>
      <c r="H5" s="15" t="s">
        <v>15</v>
      </c>
      <c r="I5" s="15" t="s">
        <v>16</v>
      </c>
      <c r="J5" s="15" t="s">
        <v>17</v>
      </c>
      <c r="K5" s="15" t="s">
        <v>18</v>
      </c>
      <c r="L5" s="15" t="s">
        <v>19</v>
      </c>
      <c r="M5" s="15" t="s">
        <v>20</v>
      </c>
      <c r="N5" s="15" t="s">
        <v>21</v>
      </c>
      <c r="O5" s="15" t="s">
        <v>22</v>
      </c>
      <c r="P5" s="15" t="s">
        <v>23</v>
      </c>
    </row>
    <row r="6" spans="1:16" x14ac:dyDescent="0.25">
      <c r="A6" s="22">
        <v>1</v>
      </c>
      <c r="B6" s="23" t="s">
        <v>24</v>
      </c>
      <c r="C6" s="22" t="s">
        <v>25</v>
      </c>
      <c r="D6" s="22" t="s">
        <v>26</v>
      </c>
      <c r="E6" s="22" t="s">
        <v>27</v>
      </c>
      <c r="F6" s="22" t="s">
        <v>28</v>
      </c>
      <c r="G6" s="22" t="s">
        <v>29</v>
      </c>
      <c r="H6" s="24">
        <v>1036</v>
      </c>
      <c r="I6" s="24">
        <v>1099</v>
      </c>
      <c r="J6" s="24">
        <v>1244</v>
      </c>
      <c r="K6" s="25">
        <f>IF(AND(ISNUMBER(J6),ISNUMBER(I6),I6&lt;&gt;0),(J6-I6)/I6,"—")</f>
        <v>0.13193812556869883</v>
      </c>
      <c r="L6" s="26">
        <v>3.2681388012618302</v>
      </c>
      <c r="M6" s="26">
        <v>3.1855072463768099</v>
      </c>
      <c r="N6" s="26">
        <v>3.3262032085561501</v>
      </c>
      <c r="O6" s="27">
        <v>374</v>
      </c>
      <c r="P6" s="28" t="s">
        <v>30</v>
      </c>
    </row>
    <row r="7" spans="1:16" x14ac:dyDescent="0.25">
      <c r="A7" s="29">
        <v>2</v>
      </c>
      <c r="B7" s="29"/>
      <c r="C7" s="29" t="s">
        <v>31</v>
      </c>
      <c r="D7" s="29" t="s">
        <v>26</v>
      </c>
      <c r="E7" s="29" t="s">
        <v>27</v>
      </c>
      <c r="F7" s="29" t="s">
        <v>28</v>
      </c>
      <c r="G7" s="29" t="s">
        <v>29</v>
      </c>
      <c r="H7" s="30">
        <v>676</v>
      </c>
      <c r="I7" s="30">
        <v>713</v>
      </c>
      <c r="J7" s="30">
        <v>837</v>
      </c>
      <c r="K7" s="25">
        <f>IF(AND(ISNUMBER(J7),ISNUMBER(I7),I7&lt;&gt;0),(J7-I7)/I7,"—")</f>
        <v>0.17391304347826086</v>
      </c>
      <c r="L7" s="31">
        <v>2.8523206751054899</v>
      </c>
      <c r="M7" s="31">
        <v>2.78515625</v>
      </c>
      <c r="N7" s="31">
        <v>2.90625</v>
      </c>
      <c r="O7" s="32">
        <v>288</v>
      </c>
      <c r="P7" s="28" t="s">
        <v>30</v>
      </c>
    </row>
    <row r="8" spans="1:16" x14ac:dyDescent="0.25">
      <c r="A8" s="22">
        <v>3</v>
      </c>
      <c r="B8" s="22"/>
      <c r="C8" s="22" t="s">
        <v>32</v>
      </c>
      <c r="D8" s="22" t="s">
        <v>33</v>
      </c>
      <c r="E8" s="22" t="s">
        <v>34</v>
      </c>
      <c r="F8" s="22" t="s">
        <v>28</v>
      </c>
      <c r="G8" s="22" t="s">
        <v>29</v>
      </c>
      <c r="H8" s="24">
        <v>335</v>
      </c>
      <c r="I8" s="24">
        <v>344</v>
      </c>
      <c r="J8" s="24">
        <v>381</v>
      </c>
      <c r="K8" s="25">
        <f>IF(AND(ISNUMBER(J8),ISNUMBER(I8),I8&lt;&gt;0),(J8-I8)/I8,"—")</f>
        <v>0.10755813953488372</v>
      </c>
      <c r="L8" s="26">
        <v>1.61057692307692</v>
      </c>
      <c r="M8" s="26">
        <v>1.57077625570776</v>
      </c>
      <c r="N8" s="26">
        <v>1.6422413793103501</v>
      </c>
      <c r="O8" s="27">
        <v>232</v>
      </c>
      <c r="P8" s="28" t="s">
        <v>30</v>
      </c>
    </row>
    <row r="9" spans="1:16" x14ac:dyDescent="0.25">
      <c r="A9" s="29">
        <v>4</v>
      </c>
      <c r="B9" s="29"/>
      <c r="C9" s="29" t="s">
        <v>35</v>
      </c>
      <c r="D9" s="29" t="s">
        <v>36</v>
      </c>
      <c r="E9" s="29" t="s">
        <v>37</v>
      </c>
      <c r="F9" s="29" t="s">
        <v>38</v>
      </c>
      <c r="G9" s="29" t="s">
        <v>39</v>
      </c>
      <c r="H9" s="30">
        <v>310</v>
      </c>
      <c r="I9" s="30">
        <v>294</v>
      </c>
      <c r="J9" s="30">
        <v>336</v>
      </c>
      <c r="K9" s="25">
        <f>IF(AND(ISNUMBER(J9),ISNUMBER(I9),I9&lt;&gt;0),(J9-I9)/I9,"—")</f>
        <v>0.14285714285714285</v>
      </c>
      <c r="L9" s="31">
        <v>4.1891891891891904</v>
      </c>
      <c r="M9" s="31">
        <v>3.3409090909090899</v>
      </c>
      <c r="N9" s="31">
        <v>2.4347826086956501</v>
      </c>
      <c r="O9" s="32">
        <v>138</v>
      </c>
      <c r="P9" s="33" t="s">
        <v>40</v>
      </c>
    </row>
    <row r="10" spans="1:16" x14ac:dyDescent="0.25">
      <c r="A10" s="34">
        <v>5</v>
      </c>
      <c r="B10" s="35"/>
      <c r="C10" s="34" t="s">
        <v>41</v>
      </c>
      <c r="D10" s="35" t="s">
        <v>36</v>
      </c>
      <c r="E10" s="35" t="s">
        <v>36</v>
      </c>
      <c r="F10" s="35" t="s">
        <v>42</v>
      </c>
      <c r="G10" s="35" t="s">
        <v>43</v>
      </c>
      <c r="H10" s="36">
        <v>2357</v>
      </c>
      <c r="I10" s="36">
        <v>2450</v>
      </c>
      <c r="J10" s="36">
        <v>2797</v>
      </c>
      <c r="K10" s="25">
        <f>IF(AND(ISNUMBER(J10),ISNUMBER(I10),I10&lt;&gt;0),(J10-I10)/I10,"—")</f>
        <v>0.14163265306122449</v>
      </c>
      <c r="L10" s="37" t="s">
        <v>36</v>
      </c>
      <c r="M10" s="37" t="s">
        <v>36</v>
      </c>
      <c r="N10" s="37" t="s">
        <v>36</v>
      </c>
      <c r="O10" s="38">
        <v>1032</v>
      </c>
      <c r="P10" s="28" t="s">
        <v>44</v>
      </c>
    </row>
    <row r="11" spans="1:16" x14ac:dyDescent="0.25">
      <c r="K11" s="39" t="s">
        <v>36</v>
      </c>
    </row>
    <row r="12" spans="1:16" x14ac:dyDescent="0.25">
      <c r="A12" s="22">
        <v>7</v>
      </c>
      <c r="B12" s="23" t="s">
        <v>45</v>
      </c>
      <c r="C12" s="22" t="s">
        <v>46</v>
      </c>
      <c r="D12" s="22" t="s">
        <v>33</v>
      </c>
      <c r="E12" s="22" t="s">
        <v>27</v>
      </c>
      <c r="F12" s="22" t="s">
        <v>47</v>
      </c>
      <c r="G12" s="22" t="s">
        <v>29</v>
      </c>
      <c r="H12" s="24">
        <v>378.6</v>
      </c>
      <c r="I12" s="24">
        <v>403.8</v>
      </c>
      <c r="J12" s="24">
        <v>550.70000000000005</v>
      </c>
      <c r="K12" s="25">
        <f t="shared" ref="K12:K18" si="0">IF(AND(ISNUMBER(J12),ISNUMBER(I12),I12&lt;&gt;0),(J12-I12)/I12,"—")</f>
        <v>0.36379395740465587</v>
      </c>
      <c r="L12" s="26">
        <v>1.9926315789473701</v>
      </c>
      <c r="M12" s="26">
        <v>2.0707692307692298</v>
      </c>
      <c r="N12" s="26">
        <v>2.1428015564202298</v>
      </c>
      <c r="O12" s="27">
        <v>257</v>
      </c>
      <c r="P12" s="28" t="s">
        <v>48</v>
      </c>
    </row>
    <row r="13" spans="1:16" ht="24" x14ac:dyDescent="0.25">
      <c r="A13" s="29">
        <v>8</v>
      </c>
      <c r="B13" s="29"/>
      <c r="C13" s="29" t="s">
        <v>49</v>
      </c>
      <c r="D13" s="29" t="s">
        <v>33</v>
      </c>
      <c r="E13" s="29" t="s">
        <v>34</v>
      </c>
      <c r="F13" s="29" t="s">
        <v>47</v>
      </c>
      <c r="G13" s="29" t="s">
        <v>29</v>
      </c>
      <c r="H13" s="40">
        <v>624.1</v>
      </c>
      <c r="I13" s="40">
        <v>697</v>
      </c>
      <c r="J13" s="40">
        <v>629.20000000000005</v>
      </c>
      <c r="K13" s="25">
        <f t="shared" si="0"/>
        <v>-9.7274031563844982E-2</v>
      </c>
      <c r="L13" s="31">
        <v>1.77806267806268</v>
      </c>
      <c r="M13" s="31">
        <v>1.8488063660477501</v>
      </c>
      <c r="N13" s="31">
        <v>1.9124620060790301</v>
      </c>
      <c r="O13" s="32">
        <v>329</v>
      </c>
      <c r="P13" s="41" t="s">
        <v>50</v>
      </c>
    </row>
    <row r="14" spans="1:16" x14ac:dyDescent="0.25">
      <c r="A14" s="22">
        <v>9</v>
      </c>
      <c r="B14" s="22"/>
      <c r="C14" s="22" t="s">
        <v>51</v>
      </c>
      <c r="D14" s="22" t="s">
        <v>33</v>
      </c>
      <c r="E14" s="22" t="s">
        <v>27</v>
      </c>
      <c r="F14" s="22" t="s">
        <v>47</v>
      </c>
      <c r="G14" s="22" t="s">
        <v>29</v>
      </c>
      <c r="H14" s="24">
        <v>121.7</v>
      </c>
      <c r="I14" s="24">
        <v>116.6</v>
      </c>
      <c r="J14" s="24">
        <v>110.4</v>
      </c>
      <c r="K14" s="25">
        <f t="shared" si="0"/>
        <v>-5.3173241852487042E-2</v>
      </c>
      <c r="L14" s="26">
        <v>0.79025974025974</v>
      </c>
      <c r="M14" s="26">
        <v>0.82112676056337996</v>
      </c>
      <c r="N14" s="26">
        <v>0.84923076923076901</v>
      </c>
      <c r="O14" s="27">
        <v>130</v>
      </c>
      <c r="P14" s="42" t="s">
        <v>52</v>
      </c>
    </row>
    <row r="15" spans="1:16" x14ac:dyDescent="0.25">
      <c r="A15" s="29">
        <v>10</v>
      </c>
      <c r="B15" s="29"/>
      <c r="C15" s="29" t="s">
        <v>53</v>
      </c>
      <c r="D15" s="29" t="s">
        <v>33</v>
      </c>
      <c r="E15" s="29" t="s">
        <v>34</v>
      </c>
      <c r="F15" s="29" t="s">
        <v>47</v>
      </c>
      <c r="G15" s="29" t="s">
        <v>29</v>
      </c>
      <c r="H15" s="30">
        <v>328.5</v>
      </c>
      <c r="I15" s="30">
        <v>370.3</v>
      </c>
      <c r="J15" s="30">
        <v>368.2</v>
      </c>
      <c r="K15" s="25">
        <f t="shared" si="0"/>
        <v>-5.671077504725959E-3</v>
      </c>
      <c r="L15" s="31">
        <v>3.45789473684211</v>
      </c>
      <c r="M15" s="31">
        <v>3.5951456310679601</v>
      </c>
      <c r="N15" s="31">
        <v>3.7191919191919198</v>
      </c>
      <c r="O15" s="32">
        <v>99</v>
      </c>
      <c r="P15" s="33" t="s">
        <v>54</v>
      </c>
    </row>
    <row r="16" spans="1:16" ht="24" x14ac:dyDescent="0.25">
      <c r="A16" s="22">
        <v>11</v>
      </c>
      <c r="B16" s="22"/>
      <c r="C16" s="22" t="s">
        <v>55</v>
      </c>
      <c r="D16" s="22" t="s">
        <v>33</v>
      </c>
      <c r="E16" s="22" t="s">
        <v>34</v>
      </c>
      <c r="F16" s="22" t="s">
        <v>47</v>
      </c>
      <c r="G16" s="22" t="s">
        <v>29</v>
      </c>
      <c r="H16" s="24">
        <v>175.7</v>
      </c>
      <c r="I16" s="24">
        <v>189.8</v>
      </c>
      <c r="J16" s="24">
        <v>130.1</v>
      </c>
      <c r="K16" s="25">
        <f t="shared" si="0"/>
        <v>-0.31454162276080089</v>
      </c>
      <c r="L16" s="26">
        <v>2.28181818181818</v>
      </c>
      <c r="M16" s="26">
        <v>2.3725000000000001</v>
      </c>
      <c r="N16" s="26">
        <v>2.4547169811320799</v>
      </c>
      <c r="O16" s="27">
        <v>53</v>
      </c>
      <c r="P16" s="42" t="s">
        <v>56</v>
      </c>
    </row>
    <row r="17" spans="1:16" ht="24" x14ac:dyDescent="0.25">
      <c r="A17" s="29">
        <v>12</v>
      </c>
      <c r="B17" s="29"/>
      <c r="C17" s="29" t="s">
        <v>57</v>
      </c>
      <c r="D17" s="29" t="s">
        <v>33</v>
      </c>
      <c r="E17" s="29" t="s">
        <v>27</v>
      </c>
      <c r="F17" s="29" t="s">
        <v>47</v>
      </c>
      <c r="G17" s="29" t="s">
        <v>58</v>
      </c>
      <c r="H17" s="30">
        <v>161.1</v>
      </c>
      <c r="I17" s="30">
        <v>209.4</v>
      </c>
      <c r="J17" s="30">
        <v>423.3</v>
      </c>
      <c r="K17" s="25">
        <f t="shared" si="0"/>
        <v>1.0214899713467049</v>
      </c>
      <c r="L17" s="31">
        <v>2.5171874999999999</v>
      </c>
      <c r="M17" s="31">
        <v>2.6175000000000002</v>
      </c>
      <c r="N17" s="31">
        <v>2.6961783439490499</v>
      </c>
      <c r="O17" s="32">
        <v>157</v>
      </c>
      <c r="P17" s="33" t="s">
        <v>59</v>
      </c>
    </row>
    <row r="18" spans="1:16" x14ac:dyDescent="0.25">
      <c r="A18" s="34">
        <v>13</v>
      </c>
      <c r="B18" s="35"/>
      <c r="C18" s="34" t="s">
        <v>60</v>
      </c>
      <c r="D18" s="35" t="s">
        <v>36</v>
      </c>
      <c r="E18" s="35" t="s">
        <v>36</v>
      </c>
      <c r="F18" s="35" t="s">
        <v>61</v>
      </c>
      <c r="G18" s="35" t="s">
        <v>62</v>
      </c>
      <c r="H18" s="36">
        <v>1788.8</v>
      </c>
      <c r="I18" s="36">
        <v>1986.6</v>
      </c>
      <c r="J18" s="36">
        <v>2211.6999999999998</v>
      </c>
      <c r="K18" s="25">
        <f t="shared" si="0"/>
        <v>0.11330917144870629</v>
      </c>
      <c r="L18" s="37" t="s">
        <v>36</v>
      </c>
      <c r="M18" s="37" t="s">
        <v>36</v>
      </c>
      <c r="N18" s="37" t="s">
        <v>36</v>
      </c>
      <c r="O18" s="38">
        <v>1025</v>
      </c>
      <c r="P18" s="28" t="s">
        <v>63</v>
      </c>
    </row>
    <row r="19" spans="1:16" x14ac:dyDescent="0.25">
      <c r="K19" s="39" t="s">
        <v>36</v>
      </c>
    </row>
    <row r="20" spans="1:16" x14ac:dyDescent="0.25">
      <c r="A20" s="22">
        <v>15</v>
      </c>
      <c r="B20" s="23" t="s">
        <v>64</v>
      </c>
      <c r="C20" s="22" t="s">
        <v>65</v>
      </c>
      <c r="D20" s="22" t="s">
        <v>26</v>
      </c>
      <c r="E20" s="22" t="s">
        <v>27</v>
      </c>
      <c r="F20" s="22" t="s">
        <v>66</v>
      </c>
      <c r="G20" s="22" t="s">
        <v>67</v>
      </c>
      <c r="H20" s="24">
        <v>5457</v>
      </c>
      <c r="I20" s="24">
        <v>6882</v>
      </c>
      <c r="J20" s="24">
        <v>6600</v>
      </c>
      <c r="K20" s="25">
        <f>IF(AND(ISNUMBER(J20),ISNUMBER(I20),I20&lt;&gt;0),(J20-I20)/I20,"—")</f>
        <v>-4.0976460331299043E-2</v>
      </c>
      <c r="L20" s="26">
        <v>23.5215517241379</v>
      </c>
      <c r="M20" s="26">
        <v>27.75</v>
      </c>
      <c r="N20" s="26">
        <v>22</v>
      </c>
      <c r="O20" s="27">
        <v>300</v>
      </c>
      <c r="P20" s="42" t="s">
        <v>68</v>
      </c>
    </row>
    <row r="21" spans="1:16" x14ac:dyDescent="0.25">
      <c r="A21" s="29">
        <v>16</v>
      </c>
      <c r="B21" s="29"/>
      <c r="C21" s="29" t="s">
        <v>69</v>
      </c>
      <c r="D21" s="29" t="s">
        <v>33</v>
      </c>
      <c r="E21" s="29" t="s">
        <v>27</v>
      </c>
      <c r="F21" s="29" t="s">
        <v>66</v>
      </c>
      <c r="G21" s="29" t="s">
        <v>70</v>
      </c>
      <c r="H21" s="30">
        <v>3884</v>
      </c>
      <c r="I21" s="30">
        <v>6432</v>
      </c>
      <c r="J21" s="30">
        <v>6421</v>
      </c>
      <c r="K21" s="25">
        <f>IF(AND(ISNUMBER(J21),ISNUMBER(I21),I21&lt;&gt;0),(J21-I21)/I21,"—")</f>
        <v>-1.7101990049751244E-3</v>
      </c>
      <c r="L21" s="31">
        <v>7.1266055045871601</v>
      </c>
      <c r="M21" s="31">
        <v>8.4078431372549005</v>
      </c>
      <c r="N21" s="31">
        <v>6.6677050882658397</v>
      </c>
      <c r="O21" s="32">
        <v>963</v>
      </c>
      <c r="P21" s="33" t="s">
        <v>71</v>
      </c>
    </row>
    <row r="22" spans="1:16" x14ac:dyDescent="0.25">
      <c r="A22" s="22">
        <v>17</v>
      </c>
      <c r="B22" s="22"/>
      <c r="C22" s="22" t="s">
        <v>72</v>
      </c>
      <c r="D22" s="22" t="s">
        <v>33</v>
      </c>
      <c r="E22" s="22" t="s">
        <v>27</v>
      </c>
      <c r="F22" s="22" t="s">
        <v>66</v>
      </c>
      <c r="G22" s="22" t="s">
        <v>73</v>
      </c>
      <c r="H22" s="24">
        <v>32</v>
      </c>
      <c r="I22" s="24">
        <v>45</v>
      </c>
      <c r="J22" s="24">
        <v>63</v>
      </c>
      <c r="K22" s="25">
        <f>IF(AND(ISNUMBER(J22),ISNUMBER(I22),I22&lt;&gt;0),(J22-I22)/I22,"—")</f>
        <v>0.4</v>
      </c>
      <c r="L22" s="26">
        <v>1</v>
      </c>
      <c r="M22" s="26">
        <v>1.5</v>
      </c>
      <c r="N22" s="26">
        <v>2.3333333333333299</v>
      </c>
      <c r="O22" s="27">
        <v>27</v>
      </c>
      <c r="P22" s="42" t="s">
        <v>74</v>
      </c>
    </row>
    <row r="23" spans="1:16" ht="24" x14ac:dyDescent="0.25">
      <c r="A23" s="29">
        <v>18</v>
      </c>
      <c r="B23" s="29"/>
      <c r="C23" s="29" t="s">
        <v>75</v>
      </c>
      <c r="D23" s="29" t="s">
        <v>76</v>
      </c>
      <c r="E23" s="29" t="s">
        <v>77</v>
      </c>
      <c r="F23" s="29" t="s">
        <v>66</v>
      </c>
      <c r="G23" s="29" t="s">
        <v>78</v>
      </c>
      <c r="H23" s="30">
        <v>2832</v>
      </c>
      <c r="I23" s="30">
        <v>3517</v>
      </c>
      <c r="J23" s="30">
        <v>3494</v>
      </c>
      <c r="K23" s="25">
        <f>IF(AND(ISNUMBER(J23),ISNUMBER(I23),I23&lt;&gt;0),(J23-I23)/I23,"—")</f>
        <v>-6.5396644867785044E-3</v>
      </c>
      <c r="L23" s="31">
        <v>28.8979591836735</v>
      </c>
      <c r="M23" s="31">
        <v>117.23333333333299</v>
      </c>
      <c r="N23" s="31">
        <v>41.595238095238102</v>
      </c>
      <c r="O23" s="32">
        <v>84</v>
      </c>
      <c r="P23" s="28" t="s">
        <v>79</v>
      </c>
    </row>
    <row r="24" spans="1:16" ht="24" x14ac:dyDescent="0.25">
      <c r="A24" s="34">
        <v>19</v>
      </c>
      <c r="B24" s="35"/>
      <c r="C24" s="34" t="s">
        <v>80</v>
      </c>
      <c r="D24" s="35" t="s">
        <v>36</v>
      </c>
      <c r="E24" s="35" t="s">
        <v>36</v>
      </c>
      <c r="F24" s="35" t="s">
        <v>81</v>
      </c>
      <c r="G24" s="35" t="s">
        <v>82</v>
      </c>
      <c r="H24" s="40">
        <v>12205.3</v>
      </c>
      <c r="I24" s="40">
        <v>16873.7</v>
      </c>
      <c r="J24" s="40">
        <v>16580</v>
      </c>
      <c r="K24" s="25">
        <f>IF(AND(ISNUMBER(J24),ISNUMBER(I24),I24&lt;&gt;0),(J24-I24)/I24,"—")</f>
        <v>-1.7405785334573966E-2</v>
      </c>
      <c r="L24" s="37" t="s">
        <v>36</v>
      </c>
      <c r="M24" s="37" t="s">
        <v>36</v>
      </c>
      <c r="N24" s="37" t="s">
        <v>36</v>
      </c>
      <c r="O24" s="38">
        <v>1370</v>
      </c>
      <c r="P24" s="41" t="s">
        <v>83</v>
      </c>
    </row>
    <row r="25" spans="1:16" x14ac:dyDescent="0.25">
      <c r="K25" s="39" t="s">
        <v>36</v>
      </c>
    </row>
    <row r="26" spans="1:16" x14ac:dyDescent="0.25">
      <c r="A26" s="22">
        <v>21</v>
      </c>
      <c r="B26" s="23" t="s">
        <v>84</v>
      </c>
      <c r="C26" s="22" t="s">
        <v>85</v>
      </c>
      <c r="D26" s="22" t="s">
        <v>86</v>
      </c>
      <c r="E26" s="22" t="s">
        <v>27</v>
      </c>
      <c r="F26" s="22" t="s">
        <v>66</v>
      </c>
      <c r="G26" s="22" t="s">
        <v>87</v>
      </c>
      <c r="H26" s="24">
        <v>4328</v>
      </c>
      <c r="I26" s="24">
        <v>4196</v>
      </c>
      <c r="J26" s="24">
        <v>4247</v>
      </c>
      <c r="K26" s="25">
        <f>IF(AND(ISNUMBER(J26),ISNUMBER(I26),I26&lt;&gt;0),(J26-I26)/I26,"—")</f>
        <v>1.215443279313632E-2</v>
      </c>
      <c r="L26" s="26">
        <v>10.378896882494001</v>
      </c>
      <c r="M26" s="26">
        <v>10.3604938271605</v>
      </c>
      <c r="N26" s="26">
        <v>10.644110275689201</v>
      </c>
      <c r="O26" s="27">
        <v>399</v>
      </c>
      <c r="P26" s="28" t="s">
        <v>88</v>
      </c>
    </row>
    <row r="27" spans="1:16" x14ac:dyDescent="0.25">
      <c r="A27" s="29">
        <v>22</v>
      </c>
      <c r="B27" s="29"/>
      <c r="C27" s="29" t="s">
        <v>89</v>
      </c>
      <c r="D27" s="29" t="s">
        <v>33</v>
      </c>
      <c r="E27" s="29" t="s">
        <v>27</v>
      </c>
      <c r="F27" s="29" t="s">
        <v>66</v>
      </c>
      <c r="G27" s="29" t="s">
        <v>90</v>
      </c>
      <c r="H27" s="30">
        <v>0</v>
      </c>
      <c r="I27" s="30">
        <v>177</v>
      </c>
      <c r="J27" s="30">
        <v>313</v>
      </c>
      <c r="K27" s="25">
        <f>IF(AND(ISNUMBER(J27),ISNUMBER(I27),I27&lt;&gt;0),(J27-I27)/I27,"—")</f>
        <v>0.76836158192090398</v>
      </c>
      <c r="L27" s="43" t="s">
        <v>36</v>
      </c>
      <c r="M27" s="31">
        <v>3.8478260869565202</v>
      </c>
      <c r="N27" s="31">
        <v>3.9620253164557</v>
      </c>
      <c r="O27" s="32">
        <v>79</v>
      </c>
      <c r="P27" s="33" t="s">
        <v>91</v>
      </c>
    </row>
    <row r="28" spans="1:16" x14ac:dyDescent="0.25">
      <c r="A28" s="34">
        <v>23</v>
      </c>
      <c r="B28" s="35"/>
      <c r="C28" s="34" t="s">
        <v>92</v>
      </c>
      <c r="D28" s="35" t="s">
        <v>36</v>
      </c>
      <c r="E28" s="35" t="s">
        <v>36</v>
      </c>
      <c r="F28" s="35" t="s">
        <v>93</v>
      </c>
      <c r="G28" s="35" t="s">
        <v>43</v>
      </c>
      <c r="H28" s="36">
        <v>4328</v>
      </c>
      <c r="I28" s="36">
        <v>4373</v>
      </c>
      <c r="J28" s="36">
        <v>4560</v>
      </c>
      <c r="K28" s="25">
        <f>IF(AND(ISNUMBER(J28),ISNUMBER(I28),I28&lt;&gt;0),(J28-I28)/I28,"—")</f>
        <v>4.2762405671163961E-2</v>
      </c>
      <c r="L28" s="37" t="s">
        <v>36</v>
      </c>
      <c r="M28" s="37" t="s">
        <v>36</v>
      </c>
      <c r="N28" s="37" t="s">
        <v>36</v>
      </c>
      <c r="O28" s="38">
        <v>478</v>
      </c>
      <c r="P28" s="28" t="s">
        <v>94</v>
      </c>
    </row>
    <row r="29" spans="1:16" x14ac:dyDescent="0.25">
      <c r="K29" s="39" t="s">
        <v>36</v>
      </c>
    </row>
    <row r="30" spans="1:16" ht="24" x14ac:dyDescent="0.25">
      <c r="A30" s="22">
        <v>25</v>
      </c>
      <c r="B30" s="23" t="s">
        <v>95</v>
      </c>
      <c r="C30" s="22" t="s">
        <v>96</v>
      </c>
      <c r="D30" s="22" t="s">
        <v>86</v>
      </c>
      <c r="E30" s="22" t="s">
        <v>27</v>
      </c>
      <c r="F30" s="22" t="s">
        <v>97</v>
      </c>
      <c r="G30" s="22" t="s">
        <v>98</v>
      </c>
      <c r="H30" s="24">
        <v>4608</v>
      </c>
      <c r="I30" s="24">
        <v>4764</v>
      </c>
      <c r="J30" s="22" t="s">
        <v>99</v>
      </c>
      <c r="K30" s="39" t="s">
        <v>36</v>
      </c>
      <c r="L30" s="26">
        <v>35.175572519084</v>
      </c>
      <c r="M30" s="26">
        <v>36.366412213740503</v>
      </c>
      <c r="N30" s="44" t="s">
        <v>36</v>
      </c>
      <c r="O30" s="27">
        <v>131</v>
      </c>
      <c r="P30" s="28" t="s">
        <v>100</v>
      </c>
    </row>
    <row r="31" spans="1:16" ht="25.5" x14ac:dyDescent="0.25">
      <c r="A31" s="29">
        <v>26</v>
      </c>
      <c r="B31" s="29"/>
      <c r="C31" s="29" t="s">
        <v>101</v>
      </c>
      <c r="D31" s="29" t="s">
        <v>33</v>
      </c>
      <c r="E31" s="29" t="s">
        <v>27</v>
      </c>
      <c r="F31" s="29" t="s">
        <v>97</v>
      </c>
      <c r="G31" s="29" t="s">
        <v>102</v>
      </c>
      <c r="H31" s="30">
        <v>4855</v>
      </c>
      <c r="I31" s="30">
        <v>5019</v>
      </c>
      <c r="J31" s="29" t="s">
        <v>99</v>
      </c>
      <c r="K31" s="39" t="s">
        <v>36</v>
      </c>
      <c r="L31" s="31">
        <v>9.5009784735812097</v>
      </c>
      <c r="M31" s="31">
        <v>9.8219178082191796</v>
      </c>
      <c r="N31" s="43" t="s">
        <v>36</v>
      </c>
      <c r="O31" s="32">
        <v>511</v>
      </c>
      <c r="P31" s="28" t="s">
        <v>103</v>
      </c>
    </row>
    <row r="32" spans="1:16" ht="24" x14ac:dyDescent="0.25">
      <c r="A32" s="22">
        <v>27</v>
      </c>
      <c r="B32" s="22"/>
      <c r="C32" s="22" t="s">
        <v>104</v>
      </c>
      <c r="D32" s="22" t="s">
        <v>33</v>
      </c>
      <c r="E32" s="22" t="s">
        <v>27</v>
      </c>
      <c r="F32" s="22" t="s">
        <v>105</v>
      </c>
      <c r="G32" s="22" t="s">
        <v>106</v>
      </c>
      <c r="H32" s="24">
        <v>539.20000000000005</v>
      </c>
      <c r="I32" s="24">
        <v>606.70000000000005</v>
      </c>
      <c r="J32" s="22" t="s">
        <v>99</v>
      </c>
      <c r="K32" s="39" t="s">
        <v>36</v>
      </c>
      <c r="L32" s="26">
        <v>9.4596491228070203</v>
      </c>
      <c r="M32" s="26">
        <v>10.643859649122801</v>
      </c>
      <c r="N32" s="44" t="s">
        <v>36</v>
      </c>
      <c r="O32" s="27">
        <v>57</v>
      </c>
      <c r="P32" s="42" t="s">
        <v>107</v>
      </c>
    </row>
    <row r="33" spans="1:16" x14ac:dyDescent="0.25">
      <c r="A33" s="29">
        <v>28</v>
      </c>
      <c r="B33" s="29"/>
      <c r="C33" s="29" t="s">
        <v>108</v>
      </c>
      <c r="D33" s="29" t="s">
        <v>33</v>
      </c>
      <c r="E33" s="29" t="s">
        <v>27</v>
      </c>
      <c r="F33" s="29" t="s">
        <v>97</v>
      </c>
      <c r="G33" s="29" t="s">
        <v>109</v>
      </c>
      <c r="H33" s="30">
        <v>540</v>
      </c>
      <c r="I33" s="30">
        <v>558</v>
      </c>
      <c r="J33" s="29" t="s">
        <v>99</v>
      </c>
      <c r="K33" s="39" t="s">
        <v>36</v>
      </c>
      <c r="L33" s="31">
        <v>4.57627118644068</v>
      </c>
      <c r="M33" s="31">
        <v>4.7288135593220302</v>
      </c>
      <c r="N33" s="43" t="s">
        <v>36</v>
      </c>
      <c r="O33" s="32">
        <v>118</v>
      </c>
      <c r="P33" s="28" t="s">
        <v>110</v>
      </c>
    </row>
    <row r="34" spans="1:16" x14ac:dyDescent="0.25">
      <c r="A34" s="22">
        <v>29</v>
      </c>
      <c r="B34" s="22"/>
      <c r="C34" s="22" t="s">
        <v>111</v>
      </c>
      <c r="D34" s="22" t="s">
        <v>112</v>
      </c>
      <c r="E34" s="22" t="s">
        <v>27</v>
      </c>
      <c r="F34" s="22" t="s">
        <v>97</v>
      </c>
      <c r="G34" s="22" t="s">
        <v>113</v>
      </c>
      <c r="H34" s="24">
        <v>1236</v>
      </c>
      <c r="I34" s="24">
        <v>1278</v>
      </c>
      <c r="J34" s="22" t="s">
        <v>99</v>
      </c>
      <c r="K34" s="39" t="s">
        <v>36</v>
      </c>
      <c r="L34" s="26">
        <v>19.015384615384601</v>
      </c>
      <c r="M34" s="26">
        <v>19.661538461538498</v>
      </c>
      <c r="N34" s="44" t="s">
        <v>36</v>
      </c>
      <c r="O34" s="27">
        <v>65</v>
      </c>
      <c r="P34" s="28" t="s">
        <v>114</v>
      </c>
    </row>
    <row r="35" spans="1:16" x14ac:dyDescent="0.25">
      <c r="A35" s="34">
        <v>30</v>
      </c>
      <c r="B35" s="35"/>
      <c r="C35" s="34" t="s">
        <v>115</v>
      </c>
      <c r="D35" s="35" t="s">
        <v>36</v>
      </c>
      <c r="E35" s="35" t="s">
        <v>36</v>
      </c>
      <c r="F35" s="35" t="s">
        <v>116</v>
      </c>
      <c r="G35" s="35" t="s">
        <v>117</v>
      </c>
      <c r="H35" s="45">
        <v>11239</v>
      </c>
      <c r="I35" s="45">
        <v>11619</v>
      </c>
      <c r="J35" s="35" t="s">
        <v>99</v>
      </c>
      <c r="K35" s="39" t="s">
        <v>36</v>
      </c>
      <c r="L35" s="37" t="s">
        <v>36</v>
      </c>
      <c r="M35" s="37" t="s">
        <v>36</v>
      </c>
      <c r="N35" s="37" t="s">
        <v>36</v>
      </c>
      <c r="O35" s="38">
        <v>869</v>
      </c>
      <c r="P35" s="28" t="s">
        <v>118</v>
      </c>
    </row>
    <row r="41" spans="1:16" x14ac:dyDescent="0.25">
      <c r="B41" t="s">
        <v>734</v>
      </c>
    </row>
  </sheetData>
  <mergeCells count="2">
    <mergeCell ref="A1:P1"/>
    <mergeCell ref="A2:P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88"/>
  <sheetViews>
    <sheetView zoomScale="92" zoomScaleNormal="100" workbookViewId="0">
      <pane xSplit="1" ySplit="3" topLeftCell="B37" activePane="bottomRight" state="frozen"/>
      <selection sqref="A1:P1"/>
      <selection pane="topRight" sqref="A1:P1"/>
      <selection pane="bottomLeft" sqref="A1:P1"/>
      <selection pane="bottomRight" activeCell="A65" sqref="A65"/>
    </sheetView>
  </sheetViews>
  <sheetFormatPr defaultColWidth="8.7109375" defaultRowHeight="15" x14ac:dyDescent="0.25"/>
  <cols>
    <col min="1" max="1" width="27.5703125" customWidth="1"/>
    <col min="2" max="10" width="18" customWidth="1"/>
    <col min="11" max="13" width="14" customWidth="1"/>
  </cols>
  <sheetData>
    <row r="1" spans="1:14" ht="15" customHeight="1" x14ac:dyDescent="0.25">
      <c r="A1" s="14" t="s">
        <v>119</v>
      </c>
      <c r="B1" s="14"/>
      <c r="C1" s="14"/>
      <c r="D1" s="14"/>
      <c r="E1" s="14"/>
      <c r="F1" s="14"/>
      <c r="G1" s="14"/>
      <c r="H1" s="14"/>
      <c r="I1" s="14"/>
      <c r="J1" s="14"/>
      <c r="K1" s="14"/>
      <c r="L1" s="14"/>
      <c r="M1" s="14"/>
    </row>
    <row r="2" spans="1:14" ht="15" customHeight="1" x14ac:dyDescent="0.25">
      <c r="A2" s="13" t="s">
        <v>120</v>
      </c>
      <c r="B2" s="13"/>
      <c r="C2" s="13"/>
      <c r="D2" s="13"/>
      <c r="E2" s="13"/>
      <c r="F2" s="13"/>
      <c r="G2" s="13"/>
      <c r="H2" s="13"/>
      <c r="I2" s="13"/>
      <c r="J2" s="13"/>
      <c r="K2" s="13"/>
      <c r="L2" s="13"/>
      <c r="M2" s="13"/>
    </row>
    <row r="4" spans="1:14" ht="15" customHeight="1" x14ac:dyDescent="0.25">
      <c r="A4" s="14" t="s">
        <v>121</v>
      </c>
      <c r="B4" s="14"/>
      <c r="C4" s="14"/>
      <c r="D4" s="14"/>
      <c r="E4" s="14"/>
      <c r="F4" s="14"/>
      <c r="G4" s="14"/>
      <c r="H4" s="14"/>
      <c r="I4" s="14"/>
      <c r="J4" s="14"/>
      <c r="K4" s="14"/>
      <c r="L4" s="14"/>
      <c r="M4" s="14"/>
    </row>
    <row r="5" spans="1:14" ht="23.85" customHeight="1" x14ac:dyDescent="0.25">
      <c r="A5" s="29" t="s">
        <v>122</v>
      </c>
      <c r="B5" s="46" t="s">
        <v>123</v>
      </c>
      <c r="C5" s="12" t="s">
        <v>124</v>
      </c>
      <c r="D5" s="12"/>
      <c r="E5" s="12"/>
      <c r="F5" s="12"/>
      <c r="G5" s="12"/>
      <c r="H5" s="12"/>
      <c r="I5" s="12"/>
      <c r="J5" s="12"/>
      <c r="K5" s="12"/>
      <c r="L5" s="12"/>
      <c r="M5" s="12"/>
    </row>
    <row r="6" spans="1:14" ht="23.85" customHeight="1" x14ac:dyDescent="0.25">
      <c r="A6" s="22" t="s">
        <v>125</v>
      </c>
      <c r="B6" s="46" t="s">
        <v>126</v>
      </c>
      <c r="C6" s="12" t="s">
        <v>124</v>
      </c>
      <c r="D6" s="12"/>
      <c r="E6" s="12"/>
      <c r="F6" s="12"/>
      <c r="G6" s="12"/>
      <c r="H6" s="12"/>
      <c r="I6" s="12"/>
      <c r="J6" s="12"/>
      <c r="K6" s="12"/>
      <c r="L6" s="12"/>
      <c r="M6" s="12"/>
    </row>
    <row r="7" spans="1:14" ht="23.85" customHeight="1" x14ac:dyDescent="0.25">
      <c r="A7" s="29" t="s">
        <v>127</v>
      </c>
      <c r="B7" s="104" t="s">
        <v>128</v>
      </c>
      <c r="C7" s="101" t="s">
        <v>129</v>
      </c>
      <c r="D7" s="101"/>
      <c r="E7" s="101"/>
      <c r="F7" s="101"/>
      <c r="G7" s="101"/>
      <c r="H7" s="101"/>
      <c r="I7" s="101"/>
      <c r="J7" s="101"/>
      <c r="K7" s="101"/>
      <c r="L7" s="101"/>
      <c r="M7" s="101"/>
    </row>
    <row r="8" spans="1:14" ht="23.85" customHeight="1" x14ac:dyDescent="0.25">
      <c r="A8" s="22" t="s">
        <v>130</v>
      </c>
      <c r="B8" s="104" t="s">
        <v>131</v>
      </c>
      <c r="C8" s="101" t="s">
        <v>132</v>
      </c>
      <c r="D8" s="101"/>
      <c r="E8" s="101"/>
      <c r="F8" s="101"/>
      <c r="G8" s="101"/>
      <c r="H8" s="101"/>
      <c r="I8" s="101"/>
      <c r="J8" s="101"/>
      <c r="K8" s="101"/>
      <c r="L8" s="101"/>
      <c r="M8" s="101"/>
      <c r="N8" t="s">
        <v>740</v>
      </c>
    </row>
    <row r="9" spans="1:14" ht="15" customHeight="1" x14ac:dyDescent="0.25">
      <c r="A9" s="29" t="s">
        <v>133</v>
      </c>
      <c r="B9" s="104" t="s">
        <v>134</v>
      </c>
      <c r="C9" s="101" t="s">
        <v>135</v>
      </c>
      <c r="D9" s="101"/>
      <c r="E9" s="101"/>
      <c r="F9" s="101"/>
      <c r="G9" s="101"/>
      <c r="H9" s="101"/>
      <c r="I9" s="101"/>
      <c r="J9" s="101"/>
      <c r="K9" s="101"/>
      <c r="L9" s="101"/>
      <c r="M9" s="101"/>
    </row>
    <row r="10" spans="1:14" ht="15" customHeight="1" x14ac:dyDescent="0.25">
      <c r="A10" s="22" t="s">
        <v>136</v>
      </c>
      <c r="B10" s="104" t="s">
        <v>137</v>
      </c>
      <c r="C10" s="101" t="s">
        <v>135</v>
      </c>
      <c r="D10" s="101"/>
      <c r="E10" s="101"/>
      <c r="F10" s="101"/>
      <c r="G10" s="101"/>
      <c r="H10" s="101"/>
      <c r="I10" s="101"/>
      <c r="J10" s="101"/>
      <c r="K10" s="101"/>
      <c r="L10" s="101"/>
      <c r="M10" s="101"/>
    </row>
    <row r="11" spans="1:14" ht="23.85" customHeight="1" x14ac:dyDescent="0.25">
      <c r="A11" s="29" t="s">
        <v>138</v>
      </c>
      <c r="B11" s="46" t="s">
        <v>139</v>
      </c>
      <c r="C11" s="12" t="s">
        <v>140</v>
      </c>
      <c r="D11" s="12"/>
      <c r="E11" s="12"/>
      <c r="F11" s="12"/>
      <c r="G11" s="12"/>
      <c r="H11" s="12"/>
      <c r="I11" s="12"/>
      <c r="J11" s="12"/>
      <c r="K11" s="12"/>
      <c r="L11" s="12"/>
      <c r="M11" s="12"/>
    </row>
    <row r="12" spans="1:14" ht="23.85" customHeight="1" x14ac:dyDescent="0.25">
      <c r="A12" s="22" t="s">
        <v>141</v>
      </c>
      <c r="B12" s="46" t="s">
        <v>142</v>
      </c>
      <c r="C12" s="12" t="s">
        <v>140</v>
      </c>
      <c r="D12" s="12"/>
      <c r="E12" s="12"/>
      <c r="F12" s="12"/>
      <c r="G12" s="12"/>
      <c r="H12" s="12"/>
      <c r="I12" s="12"/>
      <c r="J12" s="12"/>
      <c r="K12" s="12"/>
      <c r="L12" s="12"/>
      <c r="M12" s="12"/>
    </row>
    <row r="13" spans="1:14" ht="23.85" customHeight="1" x14ac:dyDescent="0.25">
      <c r="A13" s="29" t="s">
        <v>143</v>
      </c>
      <c r="B13" s="46" t="s">
        <v>144</v>
      </c>
      <c r="C13" s="12" t="s">
        <v>140</v>
      </c>
      <c r="D13" s="12"/>
      <c r="E13" s="12"/>
      <c r="F13" s="12"/>
      <c r="G13" s="12"/>
      <c r="H13" s="12"/>
      <c r="I13" s="12"/>
      <c r="J13" s="12"/>
      <c r="K13" s="12"/>
      <c r="L13" s="12"/>
      <c r="M13" s="12"/>
    </row>
    <row r="14" spans="1:14" ht="23.85" customHeight="1" x14ac:dyDescent="0.25">
      <c r="A14" s="22" t="s">
        <v>145</v>
      </c>
      <c r="B14" s="46" t="s">
        <v>146</v>
      </c>
      <c r="C14" s="12" t="s">
        <v>140</v>
      </c>
      <c r="D14" s="12"/>
      <c r="E14" s="12"/>
      <c r="F14" s="12"/>
      <c r="G14" s="12"/>
      <c r="H14" s="12"/>
      <c r="I14" s="12"/>
      <c r="J14" s="12"/>
      <c r="K14" s="12"/>
      <c r="L14" s="12"/>
      <c r="M14" s="12"/>
    </row>
    <row r="15" spans="1:14" ht="23.85" customHeight="1" x14ac:dyDescent="0.25">
      <c r="A15" s="29" t="s">
        <v>147</v>
      </c>
      <c r="B15" s="104" t="s">
        <v>148</v>
      </c>
      <c r="C15" s="101" t="s">
        <v>149</v>
      </c>
      <c r="D15" s="101"/>
      <c r="E15" s="101"/>
      <c r="F15" s="101"/>
      <c r="G15" s="101"/>
      <c r="H15" s="101"/>
      <c r="I15" s="101"/>
      <c r="J15" s="101"/>
      <c r="K15" s="101"/>
      <c r="L15" s="101"/>
      <c r="M15" s="101"/>
    </row>
    <row r="16" spans="1:14" ht="23.85" customHeight="1" x14ac:dyDescent="0.25">
      <c r="A16" s="22" t="s">
        <v>150</v>
      </c>
      <c r="B16" s="104" t="s">
        <v>151</v>
      </c>
      <c r="C16" s="101" t="s">
        <v>152</v>
      </c>
      <c r="D16" s="101"/>
      <c r="E16" s="101"/>
      <c r="F16" s="101"/>
      <c r="G16" s="101"/>
      <c r="H16" s="101"/>
      <c r="I16" s="101"/>
      <c r="J16" s="101"/>
      <c r="K16" s="101"/>
      <c r="L16" s="101"/>
      <c r="M16" s="101"/>
    </row>
    <row r="17" spans="1:13" ht="23.85" customHeight="1" x14ac:dyDescent="0.25">
      <c r="A17" s="29" t="s">
        <v>153</v>
      </c>
      <c r="B17" s="46" t="s">
        <v>154</v>
      </c>
      <c r="C17" s="12" t="s">
        <v>140</v>
      </c>
      <c r="D17" s="12"/>
      <c r="E17" s="12"/>
      <c r="F17" s="12"/>
      <c r="G17" s="12"/>
      <c r="H17" s="12"/>
      <c r="I17" s="12"/>
      <c r="J17" s="12"/>
      <c r="K17" s="12"/>
      <c r="L17" s="12"/>
      <c r="M17" s="12"/>
    </row>
    <row r="18" spans="1:13" ht="15" customHeight="1" x14ac:dyDescent="0.25">
      <c r="A18" s="22" t="s">
        <v>155</v>
      </c>
      <c r="B18" s="46" t="s">
        <v>156</v>
      </c>
      <c r="C18" s="12" t="s">
        <v>140</v>
      </c>
      <c r="D18" s="12"/>
      <c r="E18" s="12"/>
      <c r="F18" s="12"/>
      <c r="G18" s="12"/>
      <c r="H18" s="12"/>
      <c r="I18" s="12"/>
      <c r="J18" s="12"/>
      <c r="K18" s="12"/>
      <c r="L18" s="12"/>
      <c r="M18" s="12"/>
    </row>
    <row r="20" spans="1:13" ht="15" customHeight="1" x14ac:dyDescent="0.25">
      <c r="A20" s="14" t="s">
        <v>157</v>
      </c>
      <c r="B20" s="14"/>
      <c r="C20" s="14"/>
      <c r="D20" s="14"/>
      <c r="E20" s="14"/>
      <c r="F20" s="14"/>
      <c r="G20" s="14"/>
      <c r="H20" s="14"/>
      <c r="I20" s="14"/>
      <c r="J20" s="14"/>
      <c r="K20" s="14"/>
      <c r="L20" s="14"/>
      <c r="M20" s="14"/>
    </row>
    <row r="21" spans="1:13" ht="25.5" x14ac:dyDescent="0.25">
      <c r="A21" s="15" t="s">
        <v>158</v>
      </c>
      <c r="B21" s="15" t="s">
        <v>11</v>
      </c>
      <c r="C21" s="15" t="s">
        <v>159</v>
      </c>
      <c r="D21" s="15" t="s">
        <v>160</v>
      </c>
      <c r="E21" s="15" t="s">
        <v>22</v>
      </c>
      <c r="F21" s="15" t="s">
        <v>161</v>
      </c>
      <c r="G21" s="15" t="s">
        <v>162</v>
      </c>
      <c r="H21" s="15" t="s">
        <v>163</v>
      </c>
      <c r="I21" s="102" t="s">
        <v>164</v>
      </c>
      <c r="J21" s="15" t="s">
        <v>165</v>
      </c>
    </row>
    <row r="22" spans="1:13" ht="15" customHeight="1" x14ac:dyDescent="0.25">
      <c r="A22" s="48" t="s">
        <v>25</v>
      </c>
      <c r="B22" s="29" t="s">
        <v>26</v>
      </c>
      <c r="C22" s="49">
        <v>317</v>
      </c>
      <c r="D22" s="49">
        <v>345</v>
      </c>
      <c r="E22" s="49">
        <v>374</v>
      </c>
      <c r="F22" s="50">
        <f t="shared" ref="F22:G24" si="0">D22-C22</f>
        <v>28</v>
      </c>
      <c r="G22" s="50">
        <f t="shared" si="0"/>
        <v>29</v>
      </c>
      <c r="H22" s="49">
        <v>1600</v>
      </c>
      <c r="I22" s="103">
        <v>1.1100000000000001</v>
      </c>
      <c r="J22" s="12" t="s">
        <v>124</v>
      </c>
      <c r="K22" s="12"/>
      <c r="L22" s="12"/>
      <c r="M22" s="12"/>
    </row>
    <row r="23" spans="1:13" ht="15" customHeight="1" x14ac:dyDescent="0.25">
      <c r="A23" s="23" t="s">
        <v>31</v>
      </c>
      <c r="B23" s="22" t="s">
        <v>26</v>
      </c>
      <c r="C23" s="49">
        <v>237</v>
      </c>
      <c r="D23" s="49">
        <v>256</v>
      </c>
      <c r="E23" s="49">
        <v>288</v>
      </c>
      <c r="F23" s="51">
        <f t="shared" si="0"/>
        <v>19</v>
      </c>
      <c r="G23" s="51">
        <f t="shared" si="0"/>
        <v>32</v>
      </c>
      <c r="H23" s="49">
        <v>1600</v>
      </c>
      <c r="I23" s="103">
        <v>1</v>
      </c>
      <c r="J23" s="12" t="s">
        <v>124</v>
      </c>
      <c r="K23" s="12"/>
      <c r="L23" s="12"/>
      <c r="M23" s="12"/>
    </row>
    <row r="24" spans="1:13" ht="15" customHeight="1" x14ac:dyDescent="0.25">
      <c r="A24" s="48" t="s">
        <v>32</v>
      </c>
      <c r="B24" s="29" t="s">
        <v>33</v>
      </c>
      <c r="C24" s="49">
        <v>208</v>
      </c>
      <c r="D24" s="49">
        <v>219</v>
      </c>
      <c r="E24" s="49">
        <v>232</v>
      </c>
      <c r="F24" s="50">
        <f t="shared" si="0"/>
        <v>11</v>
      </c>
      <c r="G24" s="50">
        <f t="shared" si="0"/>
        <v>13</v>
      </c>
      <c r="H24" s="49">
        <v>650</v>
      </c>
      <c r="I24" s="103">
        <v>1.39</v>
      </c>
      <c r="J24" s="12" t="s">
        <v>124</v>
      </c>
      <c r="K24" s="12"/>
      <c r="L24" s="12"/>
      <c r="M24" s="12"/>
    </row>
    <row r="25" spans="1:13" x14ac:dyDescent="0.25">
      <c r="A25" s="34" t="s">
        <v>166</v>
      </c>
      <c r="B25" s="35"/>
      <c r="C25" s="52">
        <f>SUM(C22:C24)</f>
        <v>762</v>
      </c>
      <c r="D25" s="10">
        <f>SUM(D22:D24)</f>
        <v>820</v>
      </c>
      <c r="E25" s="10"/>
      <c r="F25" s="10"/>
      <c r="G25" s="10"/>
      <c r="H25" s="10"/>
      <c r="I25" s="10"/>
      <c r="J25" s="10"/>
      <c r="K25" s="10"/>
      <c r="L25" s="10"/>
      <c r="M25" s="10"/>
    </row>
    <row r="27" spans="1:13" ht="15" customHeight="1" x14ac:dyDescent="0.25">
      <c r="A27" s="14" t="s">
        <v>167</v>
      </c>
      <c r="B27" s="14"/>
      <c r="C27" s="14"/>
      <c r="D27" s="14"/>
      <c r="E27" s="14"/>
      <c r="F27" s="14"/>
      <c r="G27" s="14"/>
      <c r="H27" s="14"/>
      <c r="I27" s="14"/>
      <c r="J27" s="14"/>
      <c r="K27" s="14"/>
      <c r="L27" s="14"/>
      <c r="M27" s="14"/>
    </row>
    <row r="28" spans="1:13" ht="25.5" x14ac:dyDescent="0.25">
      <c r="A28" s="15" t="s">
        <v>158</v>
      </c>
      <c r="B28" s="15" t="s">
        <v>168</v>
      </c>
      <c r="C28" s="15" t="s">
        <v>169</v>
      </c>
      <c r="D28" s="15" t="s">
        <v>170</v>
      </c>
      <c r="E28" s="15" t="s">
        <v>171</v>
      </c>
      <c r="F28" s="15" t="s">
        <v>172</v>
      </c>
      <c r="G28" s="15" t="s">
        <v>173</v>
      </c>
      <c r="H28" s="15" t="s">
        <v>174</v>
      </c>
      <c r="I28" s="15" t="s">
        <v>175</v>
      </c>
      <c r="J28" s="15" t="s">
        <v>176</v>
      </c>
      <c r="K28" s="15" t="s">
        <v>177</v>
      </c>
      <c r="L28" s="15" t="s">
        <v>18</v>
      </c>
      <c r="M28" s="15" t="s">
        <v>178</v>
      </c>
    </row>
    <row r="29" spans="1:13" ht="15" customHeight="1" x14ac:dyDescent="0.25">
      <c r="A29" s="9" t="s">
        <v>179</v>
      </c>
      <c r="B29" s="9"/>
      <c r="C29" s="9"/>
      <c r="D29" s="9"/>
      <c r="E29" s="9"/>
      <c r="F29" s="9"/>
      <c r="G29" s="9"/>
      <c r="H29" s="36">
        <v>2047.5</v>
      </c>
      <c r="I29" s="36">
        <v>2156</v>
      </c>
      <c r="J29" s="36">
        <v>2461.4</v>
      </c>
      <c r="K29" s="12" t="s">
        <v>180</v>
      </c>
      <c r="L29" s="12"/>
      <c r="M29" s="12"/>
    </row>
    <row r="30" spans="1:13" x14ac:dyDescent="0.25">
      <c r="A30" s="48" t="s">
        <v>25</v>
      </c>
      <c r="B30" s="54">
        <v>523050</v>
      </c>
      <c r="C30" s="50">
        <f>B30*1.11</f>
        <v>580585.5</v>
      </c>
      <c r="D30" s="54">
        <v>569250</v>
      </c>
      <c r="E30" s="50">
        <f>D30*1.11</f>
        <v>631867.5</v>
      </c>
      <c r="F30" s="54">
        <v>617100</v>
      </c>
      <c r="G30" s="50">
        <f>F30*1.11</f>
        <v>684981.00000000012</v>
      </c>
      <c r="H30" s="55">
        <f>C30/C33*H29</f>
        <v>1035.7539675624623</v>
      </c>
      <c r="I30" s="55">
        <f>E30/E33*I29</f>
        <v>1099.2245270443643</v>
      </c>
      <c r="J30" s="55">
        <f>G30/G33*J29</f>
        <v>1243.9286859235663</v>
      </c>
      <c r="K30" s="25">
        <f t="shared" ref="K30:L32" si="1">(I30-H30)/H30</f>
        <v>6.1279571664372444E-2</v>
      </c>
      <c r="L30" s="25">
        <f t="shared" si="1"/>
        <v>0.13164203974622715</v>
      </c>
      <c r="M30" s="25">
        <f>(J30/H30)^(1/2)-1</f>
        <v>9.5896244732717628E-2</v>
      </c>
    </row>
    <row r="31" spans="1:13" x14ac:dyDescent="0.25">
      <c r="A31" s="23" t="s">
        <v>31</v>
      </c>
      <c r="B31" s="56">
        <v>379200</v>
      </c>
      <c r="C31" s="51">
        <f>B31*1</f>
        <v>379200</v>
      </c>
      <c r="D31" s="56">
        <v>409600</v>
      </c>
      <c r="E31" s="51">
        <f>D31*1</f>
        <v>409600</v>
      </c>
      <c r="F31" s="56">
        <v>460800</v>
      </c>
      <c r="G31" s="51">
        <f>F31*1</f>
        <v>460800</v>
      </c>
      <c r="H31" s="55">
        <f>C31/C33*H29</f>
        <v>676.48590000901788</v>
      </c>
      <c r="I31" s="55">
        <f>E31/E33*I29</f>
        <v>712.55819657977588</v>
      </c>
      <c r="J31" s="55">
        <f>G31/G33*J29</f>
        <v>836.81494592343336</v>
      </c>
      <c r="K31" s="25">
        <f t="shared" si="1"/>
        <v>5.3323057539376856E-2</v>
      </c>
      <c r="L31" s="25">
        <f t="shared" si="1"/>
        <v>0.17438119432220447</v>
      </c>
      <c r="M31" s="25">
        <f>(J31/H31)^(1/2)-1</f>
        <v>0.11220627148034445</v>
      </c>
    </row>
    <row r="32" spans="1:13" x14ac:dyDescent="0.25">
      <c r="A32" s="48" t="s">
        <v>32</v>
      </c>
      <c r="B32" s="54">
        <v>135200</v>
      </c>
      <c r="C32" s="50">
        <f>B32*1.39</f>
        <v>187928</v>
      </c>
      <c r="D32" s="54">
        <v>142350</v>
      </c>
      <c r="E32" s="50">
        <f>D32*1.39</f>
        <v>197866.5</v>
      </c>
      <c r="F32" s="54">
        <v>150800</v>
      </c>
      <c r="G32" s="50">
        <f>F32*1.39</f>
        <v>209611.99999999997</v>
      </c>
      <c r="H32" s="55">
        <f>C32/C33*H29</f>
        <v>335.26013242851985</v>
      </c>
      <c r="I32" s="55">
        <f>E32/E33*I29</f>
        <v>344.21727637585991</v>
      </c>
      <c r="J32" s="55">
        <f>G32/G33*J29</f>
        <v>380.65636815300064</v>
      </c>
      <c r="K32" s="25">
        <f t="shared" si="1"/>
        <v>2.6716996985168801E-2</v>
      </c>
      <c r="L32" s="25">
        <f t="shared" si="1"/>
        <v>0.1058607289000565</v>
      </c>
      <c r="M32" s="25">
        <f>(J32/H32)^(1/2)-1</f>
        <v>6.5554318962715241E-2</v>
      </c>
    </row>
    <row r="33" spans="1:13" x14ac:dyDescent="0.25">
      <c r="A33" s="34" t="s">
        <v>181</v>
      </c>
      <c r="B33" s="57"/>
      <c r="C33" s="52">
        <f>SUM(C30:C32)</f>
        <v>1147713.5</v>
      </c>
      <c r="D33" s="57"/>
      <c r="E33" s="52">
        <f>SUM(E30:E32)</f>
        <v>1239334</v>
      </c>
      <c r="F33" s="57"/>
      <c r="G33" s="52">
        <f>SUM(G30:G32)</f>
        <v>1355393</v>
      </c>
      <c r="H33" s="57"/>
      <c r="I33" s="57"/>
      <c r="J33" s="57"/>
      <c r="K33" s="57"/>
      <c r="L33" s="57"/>
      <c r="M33" s="57"/>
    </row>
    <row r="34" spans="1:13" ht="25.5" x14ac:dyDescent="0.25">
      <c r="A34" s="34" t="s">
        <v>182</v>
      </c>
      <c r="B34" s="57"/>
      <c r="C34" s="57"/>
      <c r="D34" s="57"/>
      <c r="E34" s="57"/>
      <c r="F34" s="57"/>
      <c r="G34" s="57"/>
      <c r="H34" s="58">
        <f>SUM(H30:H33)</f>
        <v>2047.5000000000002</v>
      </c>
      <c r="I34" s="58">
        <f>SUM(I30:I33)</f>
        <v>2156</v>
      </c>
      <c r="J34" s="58">
        <f>SUM(J30:J33)</f>
        <v>2461.4</v>
      </c>
      <c r="K34" s="59">
        <f>(I34-H34)/H34</f>
        <v>5.2991452991452873E-2</v>
      </c>
      <c r="L34" s="59">
        <f>(J34-I34)/I34</f>
        <v>0.14165120593692027</v>
      </c>
      <c r="M34" s="59">
        <f>(J34/H34)^(1/2)-1</f>
        <v>9.6425538807338285E-2</v>
      </c>
    </row>
    <row r="36" spans="1:13" ht="15" customHeight="1" x14ac:dyDescent="0.25">
      <c r="A36" s="14" t="s">
        <v>183</v>
      </c>
      <c r="B36" s="14"/>
      <c r="C36" s="14"/>
      <c r="D36" s="14"/>
      <c r="E36" s="14"/>
      <c r="F36" s="14"/>
      <c r="G36" s="14"/>
      <c r="H36" s="14"/>
      <c r="I36" s="14"/>
      <c r="J36" s="14"/>
      <c r="K36" s="14"/>
      <c r="L36" s="14"/>
      <c r="M36" s="14"/>
    </row>
    <row r="37" spans="1:13" ht="25.5" x14ac:dyDescent="0.25">
      <c r="A37" s="15" t="s">
        <v>158</v>
      </c>
      <c r="B37" s="15" t="s">
        <v>184</v>
      </c>
      <c r="C37" s="15" t="s">
        <v>22</v>
      </c>
      <c r="D37" s="15" t="s">
        <v>185</v>
      </c>
      <c r="E37" s="15" t="s">
        <v>186</v>
      </c>
      <c r="F37" s="15" t="s">
        <v>187</v>
      </c>
      <c r="G37" s="15" t="s">
        <v>188</v>
      </c>
      <c r="H37" s="15" t="s">
        <v>189</v>
      </c>
    </row>
    <row r="38" spans="1:13" ht="15" customHeight="1" x14ac:dyDescent="0.25">
      <c r="A38" s="48" t="s">
        <v>25</v>
      </c>
      <c r="B38" s="30">
        <v>1244</v>
      </c>
      <c r="C38" s="54">
        <v>374</v>
      </c>
      <c r="D38" s="31">
        <f>B38/C38</f>
        <v>3.3262032085561497</v>
      </c>
      <c r="E38" s="54">
        <v>1650</v>
      </c>
      <c r="F38" s="50">
        <v>20158.8073245827</v>
      </c>
      <c r="G38" s="8" t="s">
        <v>190</v>
      </c>
      <c r="H38" s="8"/>
      <c r="I38" s="8"/>
      <c r="J38" s="8"/>
      <c r="K38" s="8"/>
      <c r="L38" s="8"/>
      <c r="M38" s="8"/>
    </row>
    <row r="39" spans="1:13" ht="15" customHeight="1" x14ac:dyDescent="0.25">
      <c r="A39" s="23" t="s">
        <v>31</v>
      </c>
      <c r="B39" s="24">
        <v>837</v>
      </c>
      <c r="C39" s="56">
        <v>288</v>
      </c>
      <c r="D39" s="26">
        <f>B39/C39</f>
        <v>2.90625</v>
      </c>
      <c r="E39" s="56">
        <v>1600</v>
      </c>
      <c r="F39" s="51">
        <v>18164.0625</v>
      </c>
      <c r="G39" s="7" t="s">
        <v>190</v>
      </c>
      <c r="H39" s="7"/>
      <c r="I39" s="7"/>
      <c r="J39" s="7"/>
      <c r="K39" s="7"/>
      <c r="L39" s="7"/>
      <c r="M39" s="7"/>
    </row>
    <row r="40" spans="1:13" ht="15" customHeight="1" x14ac:dyDescent="0.25">
      <c r="A40" s="48" t="s">
        <v>32</v>
      </c>
      <c r="B40" s="30">
        <v>381</v>
      </c>
      <c r="C40" s="54">
        <v>232</v>
      </c>
      <c r="D40" s="31">
        <f>B40/C40</f>
        <v>1.6422413793103448</v>
      </c>
      <c r="E40" s="54">
        <v>650</v>
      </c>
      <c r="F40" s="50">
        <v>25265.251989389901</v>
      </c>
      <c r="G40" s="8" t="s">
        <v>191</v>
      </c>
      <c r="H40" s="8"/>
      <c r="I40" s="8"/>
      <c r="J40" s="8"/>
      <c r="K40" s="8"/>
      <c r="L40" s="8"/>
      <c r="M40" s="8"/>
    </row>
    <row r="42" spans="1:13" s="110" customFormat="1" x14ac:dyDescent="0.25">
      <c r="A42" s="14" t="s">
        <v>768</v>
      </c>
      <c r="B42" s="14"/>
      <c r="C42" s="14"/>
      <c r="D42" s="14"/>
      <c r="E42" s="14"/>
      <c r="F42" s="14"/>
      <c r="G42" s="14"/>
      <c r="H42" s="14"/>
      <c r="I42" s="14"/>
      <c r="J42" s="14"/>
      <c r="K42" s="14"/>
      <c r="L42" s="14"/>
      <c r="M42" s="14"/>
    </row>
    <row r="43" spans="1:13" s="112" customFormat="1" x14ac:dyDescent="0.25">
      <c r="A43" t="s">
        <v>766</v>
      </c>
      <c r="B43" s="111"/>
      <c r="C43" s="111"/>
      <c r="D43" s="111"/>
      <c r="E43" s="111"/>
      <c r="F43" s="111"/>
      <c r="G43" s="111"/>
      <c r="H43" s="111"/>
      <c r="I43" s="111"/>
      <c r="J43" s="111"/>
      <c r="K43" s="111"/>
      <c r="L43" s="111"/>
      <c r="M43" s="111"/>
    </row>
    <row r="44" spans="1:13" s="112" customFormat="1" x14ac:dyDescent="0.25">
      <c r="A44" t="s">
        <v>767</v>
      </c>
      <c r="B44" s="111"/>
      <c r="C44" s="111"/>
      <c r="D44" s="111"/>
      <c r="E44" s="111"/>
      <c r="F44" s="111"/>
      <c r="G44" s="111"/>
      <c r="H44" s="111"/>
      <c r="I44" s="111"/>
      <c r="J44" s="111"/>
      <c r="K44" s="111"/>
      <c r="L44" s="111"/>
      <c r="M44" s="111"/>
    </row>
    <row r="45" spans="1:13" s="112" customFormat="1" x14ac:dyDescent="0.25">
      <c r="A45" t="s">
        <v>769</v>
      </c>
      <c r="B45" s="111"/>
      <c r="C45" s="111"/>
      <c r="D45" s="111"/>
      <c r="E45" s="111"/>
      <c r="F45" s="111"/>
      <c r="G45" s="111"/>
      <c r="H45" s="111"/>
      <c r="I45" s="111"/>
      <c r="J45" s="111"/>
      <c r="K45" s="111"/>
      <c r="L45" s="111"/>
      <c r="M45" s="111"/>
    </row>
    <row r="46" spans="1:13" s="112" customFormat="1" x14ac:dyDescent="0.25">
      <c r="A46" t="s">
        <v>771</v>
      </c>
      <c r="B46" s="111"/>
      <c r="C46" s="111"/>
      <c r="D46" s="111"/>
      <c r="E46" s="111"/>
      <c r="F46" s="111"/>
      <c r="G46" s="111"/>
      <c r="H46" s="111"/>
      <c r="I46" s="111"/>
      <c r="J46" s="111"/>
      <c r="K46" s="111"/>
      <c r="L46" s="111"/>
      <c r="M46" s="111"/>
    </row>
    <row r="47" spans="1:13" s="112" customFormat="1" x14ac:dyDescent="0.25">
      <c r="A47" t="s">
        <v>770</v>
      </c>
      <c r="B47" s="111"/>
      <c r="C47" s="111"/>
      <c r="D47" s="111"/>
      <c r="E47" s="111"/>
      <c r="F47" s="111"/>
      <c r="G47" s="111"/>
      <c r="H47" s="111"/>
      <c r="I47" s="111"/>
      <c r="J47" s="111"/>
      <c r="K47" s="111"/>
      <c r="L47" s="111"/>
      <c r="M47" s="111"/>
    </row>
    <row r="48" spans="1:13" s="112" customFormat="1" x14ac:dyDescent="0.25">
      <c r="A48"/>
      <c r="B48" s="111"/>
      <c r="C48" s="111"/>
      <c r="D48" s="111"/>
      <c r="E48" s="111"/>
      <c r="F48" s="111"/>
      <c r="G48" s="111"/>
      <c r="H48" s="111"/>
      <c r="I48" s="111"/>
      <c r="J48" s="111"/>
      <c r="K48" s="111"/>
      <c r="L48" s="111"/>
      <c r="M48" s="111"/>
    </row>
    <row r="49" spans="1:13" s="112" customFormat="1" x14ac:dyDescent="0.25">
      <c r="A49" t="s">
        <v>772</v>
      </c>
      <c r="B49" s="111">
        <v>1</v>
      </c>
      <c r="C49" s="111"/>
      <c r="D49" s="111"/>
      <c r="E49" s="111"/>
      <c r="F49" s="111"/>
      <c r="G49" s="111"/>
      <c r="H49" s="111"/>
      <c r="I49" s="111"/>
      <c r="J49" s="111"/>
      <c r="K49" s="111"/>
      <c r="L49" s="111"/>
      <c r="M49" s="111"/>
    </row>
    <row r="50" spans="1:13" s="112" customFormat="1" x14ac:dyDescent="0.25">
      <c r="A50" t="s">
        <v>773</v>
      </c>
      <c r="B50" s="111"/>
      <c r="C50" s="111"/>
      <c r="D50" s="111"/>
      <c r="E50" s="111"/>
      <c r="F50" s="111"/>
      <c r="G50" s="111"/>
      <c r="H50" s="111"/>
      <c r="I50" s="111"/>
      <c r="J50" s="111"/>
      <c r="K50" s="111"/>
      <c r="L50" s="111"/>
      <c r="M50" s="111"/>
    </row>
    <row r="51" spans="1:13" s="112" customFormat="1" x14ac:dyDescent="0.25">
      <c r="A51" t="s">
        <v>774</v>
      </c>
      <c r="B51" s="111"/>
      <c r="C51" s="111"/>
      <c r="D51" s="111"/>
      <c r="E51" s="111"/>
      <c r="F51" s="111"/>
      <c r="G51" s="111"/>
      <c r="H51" s="111"/>
      <c r="I51" s="111"/>
      <c r="J51" s="111"/>
      <c r="K51" s="111"/>
      <c r="L51" s="111"/>
      <c r="M51" s="111"/>
    </row>
    <row r="52" spans="1:13" s="112" customFormat="1" x14ac:dyDescent="0.25">
      <c r="A52" t="s">
        <v>775</v>
      </c>
      <c r="B52" s="111"/>
      <c r="C52" s="111"/>
      <c r="D52" s="111"/>
      <c r="E52" s="111"/>
      <c r="F52" s="111"/>
      <c r="G52" s="111"/>
      <c r="H52" s="111"/>
      <c r="I52" s="111"/>
      <c r="J52" s="111"/>
      <c r="K52" s="111"/>
      <c r="L52" s="111"/>
      <c r="M52" s="111"/>
    </row>
    <row r="53" spans="1:13" s="112" customFormat="1" x14ac:dyDescent="0.25">
      <c r="A53"/>
      <c r="B53" s="111"/>
      <c r="C53" s="111"/>
      <c r="D53" s="111"/>
      <c r="E53" s="111"/>
      <c r="F53" s="111"/>
      <c r="G53" s="111"/>
      <c r="H53" s="111"/>
      <c r="I53" s="111"/>
      <c r="J53" s="111"/>
      <c r="K53" s="111"/>
      <c r="L53" s="111"/>
      <c r="M53" s="111"/>
    </row>
    <row r="54" spans="1:13" s="112" customFormat="1" x14ac:dyDescent="0.25">
      <c r="A54" t="s">
        <v>776</v>
      </c>
      <c r="B54"/>
      <c r="C54"/>
      <c r="D54"/>
      <c r="E54"/>
      <c r="F54"/>
      <c r="G54" t="s">
        <v>764</v>
      </c>
      <c r="H54" t="s">
        <v>765</v>
      </c>
      <c r="I54" s="111"/>
      <c r="J54" s="111"/>
      <c r="K54" s="111"/>
      <c r="L54" t="s">
        <v>777</v>
      </c>
      <c r="M54" s="111"/>
    </row>
    <row r="55" spans="1:13" x14ac:dyDescent="0.25">
      <c r="A55" t="s">
        <v>741</v>
      </c>
      <c r="B55" t="s">
        <v>25</v>
      </c>
      <c r="C55" t="s">
        <v>31</v>
      </c>
      <c r="D55" t="s">
        <v>735</v>
      </c>
      <c r="F55" t="s">
        <v>763</v>
      </c>
      <c r="G55">
        <f>B76*0.73</f>
        <v>2041.81</v>
      </c>
      <c r="H55">
        <f>G55/F56</f>
        <v>2.669032679738562</v>
      </c>
      <c r="L55" t="s">
        <v>764</v>
      </c>
      <c r="M55" s="105">
        <f>G55-SUM(B62:C62)</f>
        <v>274.91036601307178</v>
      </c>
    </row>
    <row r="56" spans="1:13" x14ac:dyDescent="0.25">
      <c r="A56" t="s">
        <v>739</v>
      </c>
      <c r="B56">
        <v>374</v>
      </c>
      <c r="C56">
        <v>288</v>
      </c>
      <c r="D56">
        <v>103</v>
      </c>
      <c r="F56">
        <f>B56+C56+D56</f>
        <v>765</v>
      </c>
      <c r="L56" t="s">
        <v>739</v>
      </c>
      <c r="M56">
        <v>103</v>
      </c>
    </row>
    <row r="57" spans="1:13" x14ac:dyDescent="0.25">
      <c r="A57" t="s">
        <v>742</v>
      </c>
      <c r="B57" t="s">
        <v>32</v>
      </c>
      <c r="C57" t="s">
        <v>736</v>
      </c>
      <c r="D57" t="s">
        <v>737</v>
      </c>
      <c r="E57" t="s">
        <v>754</v>
      </c>
      <c r="F57" t="s">
        <v>738</v>
      </c>
      <c r="G57">
        <f>2797*0.27</f>
        <v>755.19</v>
      </c>
      <c r="H57">
        <f>G57/F58</f>
        <v>2.8284269662921351</v>
      </c>
      <c r="L57" t="s">
        <v>750</v>
      </c>
      <c r="M57" s="107">
        <f>M55/M56</f>
        <v>2.6690326797385611</v>
      </c>
    </row>
    <row r="58" spans="1:13" x14ac:dyDescent="0.25">
      <c r="A58" t="s">
        <v>739</v>
      </c>
      <c r="B58">
        <v>232</v>
      </c>
      <c r="C58">
        <v>13</v>
      </c>
      <c r="D58">
        <v>4</v>
      </c>
      <c r="E58">
        <v>18</v>
      </c>
      <c r="F58">
        <f>E58+D58+C58+B58</f>
        <v>267</v>
      </c>
    </row>
    <row r="60" spans="1:13" x14ac:dyDescent="0.25">
      <c r="A60" t="s">
        <v>782</v>
      </c>
    </row>
    <row r="61" spans="1:13" x14ac:dyDescent="0.25">
      <c r="A61" t="s">
        <v>158</v>
      </c>
      <c r="B61" t="s">
        <v>25</v>
      </c>
      <c r="C61" t="s">
        <v>31</v>
      </c>
      <c r="D61" t="s">
        <v>32</v>
      </c>
    </row>
    <row r="62" spans="1:13" x14ac:dyDescent="0.25">
      <c r="A62" t="s">
        <v>783</v>
      </c>
      <c r="B62" s="107">
        <f>$H$55*B70</f>
        <v>998.21822222222215</v>
      </c>
      <c r="C62" s="107">
        <f>$H$55*C70</f>
        <v>768.6814117647059</v>
      </c>
      <c r="D62" s="107">
        <f>$H$57*D70</f>
        <v>656.19505617977529</v>
      </c>
    </row>
    <row r="63" spans="1:13" x14ac:dyDescent="0.25">
      <c r="A63" t="s">
        <v>784</v>
      </c>
      <c r="B63" s="107">
        <f>$H$55</f>
        <v>2.669032679738562</v>
      </c>
      <c r="C63" s="107">
        <f>$H$55</f>
        <v>2.669032679738562</v>
      </c>
      <c r="D63" s="107">
        <f>H57</f>
        <v>2.8284269662921351</v>
      </c>
    </row>
    <row r="64" spans="1:13" x14ac:dyDescent="0.25">
      <c r="A64" t="s">
        <v>785</v>
      </c>
      <c r="B64" s="107">
        <f>0.85*B62</f>
        <v>848.48548888888877</v>
      </c>
      <c r="C64" s="107">
        <f t="shared" ref="C64:D64" si="2">0.85*C62</f>
        <v>653.37919999999997</v>
      </c>
      <c r="D64" s="107">
        <f t="shared" si="2"/>
        <v>557.76579775280902</v>
      </c>
    </row>
    <row r="66" spans="1:6" x14ac:dyDescent="0.25">
      <c r="A66" t="s">
        <v>778</v>
      </c>
    </row>
    <row r="67" spans="1:6" x14ac:dyDescent="0.25">
      <c r="B67" t="s">
        <v>25</v>
      </c>
      <c r="C67" t="s">
        <v>31</v>
      </c>
      <c r="D67" t="s">
        <v>32</v>
      </c>
    </row>
    <row r="68" spans="1:6" x14ac:dyDescent="0.25">
      <c r="A68" s="108" t="s">
        <v>743</v>
      </c>
      <c r="B68" s="108">
        <v>1600</v>
      </c>
      <c r="C68" s="108">
        <v>1600</v>
      </c>
      <c r="D68" s="108">
        <v>650</v>
      </c>
      <c r="F68" t="s">
        <v>760</v>
      </c>
    </row>
    <row r="69" spans="1:6" x14ac:dyDescent="0.25">
      <c r="A69" s="109" t="s">
        <v>759</v>
      </c>
      <c r="B69" s="109">
        <v>17300</v>
      </c>
      <c r="C69" s="109">
        <v>17300</v>
      </c>
      <c r="D69" s="109">
        <v>17300</v>
      </c>
      <c r="F69" t="s">
        <v>761</v>
      </c>
    </row>
    <row r="70" spans="1:6" x14ac:dyDescent="0.25">
      <c r="A70" s="108" t="s">
        <v>744</v>
      </c>
      <c r="B70" s="108">
        <v>374</v>
      </c>
      <c r="C70" s="108">
        <v>288</v>
      </c>
      <c r="D70" s="108">
        <v>232</v>
      </c>
      <c r="F70" t="s">
        <v>762</v>
      </c>
    </row>
    <row r="71" spans="1:6" x14ac:dyDescent="0.25">
      <c r="A71" t="s">
        <v>745</v>
      </c>
      <c r="B71" s="105">
        <f>(B70*B69*B68)/10000000</f>
        <v>1035.232</v>
      </c>
      <c r="C71" s="105">
        <f>(C70*C69*C68)/10000000</f>
        <v>797.18399999999997</v>
      </c>
      <c r="D71" s="105">
        <f>(D70*D69*D68)/10000000</f>
        <v>260.88400000000001</v>
      </c>
    </row>
    <row r="72" spans="1:6" x14ac:dyDescent="0.25">
      <c r="A72" t="s">
        <v>751</v>
      </c>
      <c r="B72" s="107">
        <f>B71/B70</f>
        <v>2.7679999999999998</v>
      </c>
      <c r="C72" s="107">
        <f t="shared" ref="C72:D72" si="3">C71/C70</f>
        <v>2.7679999999999998</v>
      </c>
      <c r="D72" s="107">
        <f t="shared" si="3"/>
        <v>1.1245000000000001</v>
      </c>
    </row>
    <row r="73" spans="1:6" x14ac:dyDescent="0.25">
      <c r="A73" t="s">
        <v>755</v>
      </c>
      <c r="B73" s="106">
        <f>B71/2797</f>
        <v>0.37012227386485519</v>
      </c>
      <c r="C73" s="106">
        <f t="shared" ref="C73:D73" si="4">C71/2797</f>
        <v>0.28501394351090453</v>
      </c>
      <c r="D73" s="113">
        <f t="shared" si="4"/>
        <v>9.327279227744012E-2</v>
      </c>
      <c r="E73" s="106"/>
    </row>
    <row r="74" spans="1:6" x14ac:dyDescent="0.25">
      <c r="A74" t="s">
        <v>756</v>
      </c>
      <c r="B74" s="106">
        <f>B70/1032</f>
        <v>0.36240310077519378</v>
      </c>
      <c r="C74" s="106">
        <f t="shared" ref="C74:D74" si="5">C70/1032</f>
        <v>0.27906976744186046</v>
      </c>
      <c r="D74" s="113">
        <f t="shared" si="5"/>
        <v>0.22480620155038761</v>
      </c>
      <c r="E74" s="106"/>
    </row>
    <row r="75" spans="1:6" x14ac:dyDescent="0.25">
      <c r="A75" t="s">
        <v>779</v>
      </c>
    </row>
    <row r="76" spans="1:6" x14ac:dyDescent="0.25">
      <c r="A76" t="s">
        <v>747</v>
      </c>
      <c r="B76" s="108">
        <v>2797</v>
      </c>
    </row>
    <row r="77" spans="1:6" x14ac:dyDescent="0.25">
      <c r="A77" t="s">
        <v>746</v>
      </c>
      <c r="B77" s="105">
        <f>B71+C71</f>
        <v>1832.4159999999999</v>
      </c>
    </row>
    <row r="78" spans="1:6" x14ac:dyDescent="0.25">
      <c r="A78" t="s">
        <v>748</v>
      </c>
      <c r="B78" s="106">
        <f>B77/B76</f>
        <v>0.65513621737575967</v>
      </c>
    </row>
    <row r="80" spans="1:6" x14ac:dyDescent="0.25">
      <c r="A80" t="s">
        <v>749</v>
      </c>
      <c r="B80">
        <f>0.73*B76-B77</f>
        <v>209.39400000000001</v>
      </c>
    </row>
    <row r="81" spans="1:2" x14ac:dyDescent="0.25">
      <c r="A81" t="s">
        <v>739</v>
      </c>
      <c r="B81">
        <v>103</v>
      </c>
    </row>
    <row r="82" spans="1:2" x14ac:dyDescent="0.25">
      <c r="A82" t="s">
        <v>781</v>
      </c>
      <c r="B82" s="107">
        <f>B80/B81</f>
        <v>2.0329514563106796</v>
      </c>
    </row>
    <row r="83" spans="1:2" x14ac:dyDescent="0.25">
      <c r="A83" t="s">
        <v>753</v>
      </c>
      <c r="B83">
        <v>1400</v>
      </c>
    </row>
    <row r="84" spans="1:2" x14ac:dyDescent="0.25">
      <c r="A84" t="s">
        <v>752</v>
      </c>
      <c r="B84" s="107">
        <f>B80*10000000/(B81*B83)</f>
        <v>14521.081830790568</v>
      </c>
    </row>
    <row r="85" spans="1:2" x14ac:dyDescent="0.25">
      <c r="A85" s="114" t="s">
        <v>780</v>
      </c>
    </row>
    <row r="86" spans="1:2" x14ac:dyDescent="0.25">
      <c r="A86" s="106" t="s">
        <v>757</v>
      </c>
    </row>
    <row r="87" spans="1:2" x14ac:dyDescent="0.25">
      <c r="A87" t="s">
        <v>758</v>
      </c>
    </row>
    <row r="88" spans="1:2" x14ac:dyDescent="0.25">
      <c r="A88" t="s">
        <v>758</v>
      </c>
    </row>
  </sheetData>
  <mergeCells count="30">
    <mergeCell ref="A36:M36"/>
    <mergeCell ref="G38:M38"/>
    <mergeCell ref="G39:M39"/>
    <mergeCell ref="G40:M40"/>
    <mergeCell ref="A42:M42"/>
    <mergeCell ref="J24:M24"/>
    <mergeCell ref="D25:M25"/>
    <mergeCell ref="A27:M27"/>
    <mergeCell ref="A29:G29"/>
    <mergeCell ref="K29:M29"/>
    <mergeCell ref="C17:M17"/>
    <mergeCell ref="C18:M18"/>
    <mergeCell ref="A20:M20"/>
    <mergeCell ref="J22:M22"/>
    <mergeCell ref="J23:M23"/>
    <mergeCell ref="C12:M12"/>
    <mergeCell ref="C13:M13"/>
    <mergeCell ref="C14:M14"/>
    <mergeCell ref="C15:M15"/>
    <mergeCell ref="C16:M16"/>
    <mergeCell ref="C7:M7"/>
    <mergeCell ref="C8:M8"/>
    <mergeCell ref="C9:M9"/>
    <mergeCell ref="C10:M10"/>
    <mergeCell ref="C11:M11"/>
    <mergeCell ref="A1:M1"/>
    <mergeCell ref="A2:M2"/>
    <mergeCell ref="A4:M4"/>
    <mergeCell ref="C5:M5"/>
    <mergeCell ref="C6:M6"/>
  </mergeCells>
  <pageMargins left="0.75" right="0.75" top="1" bottom="1" header="0.511811023622047" footer="0.511811023622047"/>
  <pageSetup paperSize="9"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5"/>
  <sheetViews>
    <sheetView zoomScaleNormal="100" workbookViewId="0">
      <pane xSplit="1" ySplit="4" topLeftCell="B33" activePane="bottomRight" state="frozen"/>
      <selection sqref="A1:P1"/>
      <selection pane="topRight" sqref="A1:P1"/>
      <selection pane="bottomLeft" sqref="A1:P1"/>
      <selection pane="bottomRight" activeCell="A49" sqref="A49:E55"/>
    </sheetView>
  </sheetViews>
  <sheetFormatPr defaultColWidth="8.7109375" defaultRowHeight="15" x14ac:dyDescent="0.25"/>
  <cols>
    <col min="1" max="1" width="24" customWidth="1"/>
    <col min="2" max="2" width="14" customWidth="1"/>
    <col min="3" max="3" width="10" customWidth="1"/>
    <col min="4" max="4" width="14" customWidth="1"/>
    <col min="5" max="5" width="23.140625" customWidth="1"/>
    <col min="6" max="6" width="14" customWidth="1"/>
    <col min="7" max="7" width="10" customWidth="1"/>
    <col min="8" max="8" width="14" customWidth="1"/>
    <col min="9" max="9" width="12" customWidth="1"/>
    <col min="10" max="11" width="16" customWidth="1"/>
    <col min="12" max="12" width="36" customWidth="1"/>
  </cols>
  <sheetData>
    <row r="1" spans="1:14" ht="15" customHeight="1" x14ac:dyDescent="0.25">
      <c r="A1" s="14" t="s">
        <v>192</v>
      </c>
      <c r="B1" s="14"/>
      <c r="C1" s="14"/>
      <c r="D1" s="14"/>
      <c r="E1" s="14"/>
      <c r="F1" s="14"/>
      <c r="G1" s="14"/>
      <c r="H1" s="14"/>
      <c r="I1" s="14"/>
      <c r="J1" s="14"/>
      <c r="K1" s="14"/>
      <c r="L1" s="14"/>
      <c r="M1" s="14"/>
      <c r="N1" s="14"/>
    </row>
    <row r="2" spans="1:14" ht="15" customHeight="1" x14ac:dyDescent="0.25">
      <c r="A2" s="13" t="s">
        <v>193</v>
      </c>
      <c r="B2" s="13"/>
      <c r="C2" s="13"/>
      <c r="D2" s="13"/>
      <c r="E2" s="13"/>
      <c r="F2" s="13"/>
      <c r="G2" s="13"/>
      <c r="H2" s="13"/>
      <c r="I2" s="13"/>
      <c r="J2" s="13"/>
      <c r="K2" s="13"/>
      <c r="L2" s="13"/>
      <c r="M2" s="13"/>
      <c r="N2" s="13"/>
    </row>
    <row r="4" spans="1:14" ht="15" customHeight="1" x14ac:dyDescent="0.25">
      <c r="A4" s="14" t="s">
        <v>194</v>
      </c>
      <c r="B4" s="14"/>
      <c r="C4" s="14"/>
      <c r="D4" s="14"/>
      <c r="E4" s="14"/>
      <c r="F4" s="14"/>
      <c r="G4" s="14"/>
      <c r="H4" s="14"/>
      <c r="I4" s="14"/>
      <c r="J4" s="14"/>
      <c r="K4" s="14"/>
      <c r="L4" s="14"/>
      <c r="M4" s="14"/>
      <c r="N4" s="14"/>
    </row>
    <row r="5" spans="1:14" ht="15" customHeight="1" x14ac:dyDescent="0.25">
      <c r="A5" s="29" t="s">
        <v>195</v>
      </c>
      <c r="B5" s="6" t="s">
        <v>196</v>
      </c>
      <c r="C5" s="6"/>
      <c r="D5" s="6"/>
      <c r="E5" s="6"/>
      <c r="F5" s="12" t="s">
        <v>197</v>
      </c>
      <c r="G5" s="12"/>
      <c r="H5" s="12"/>
      <c r="I5" s="12"/>
      <c r="J5" s="12"/>
      <c r="K5" s="12"/>
      <c r="L5" s="12"/>
      <c r="M5" s="12"/>
      <c r="N5" s="12"/>
    </row>
    <row r="6" spans="1:14" ht="15" customHeight="1" x14ac:dyDescent="0.25">
      <c r="A6" s="22" t="s">
        <v>198</v>
      </c>
      <c r="B6" s="6" t="s">
        <v>199</v>
      </c>
      <c r="C6" s="6"/>
      <c r="D6" s="6"/>
      <c r="E6" s="6"/>
      <c r="F6" s="12" t="s">
        <v>197</v>
      </c>
      <c r="G6" s="12"/>
      <c r="H6" s="12"/>
      <c r="I6" s="12"/>
      <c r="J6" s="12"/>
      <c r="K6" s="12"/>
      <c r="L6" s="12"/>
      <c r="M6" s="12"/>
      <c r="N6" s="12"/>
    </row>
    <row r="7" spans="1:14" ht="15" customHeight="1" x14ac:dyDescent="0.25">
      <c r="A7" s="29" t="s">
        <v>200</v>
      </c>
      <c r="B7" s="5" t="s">
        <v>201</v>
      </c>
      <c r="C7" s="5"/>
      <c r="D7" s="5"/>
      <c r="E7" s="5"/>
      <c r="F7" s="11" t="s">
        <v>202</v>
      </c>
      <c r="G7" s="11"/>
      <c r="H7" s="11"/>
      <c r="I7" s="11"/>
      <c r="J7" s="11"/>
      <c r="K7" s="11"/>
      <c r="L7" s="11"/>
      <c r="M7" s="11"/>
      <c r="N7" s="11"/>
    </row>
    <row r="8" spans="1:14" ht="15" customHeight="1" x14ac:dyDescent="0.25">
      <c r="A8" s="22" t="s">
        <v>203</v>
      </c>
      <c r="B8" s="6" t="s">
        <v>204</v>
      </c>
      <c r="C8" s="6"/>
      <c r="D8" s="6"/>
      <c r="E8" s="6"/>
      <c r="F8" s="12" t="s">
        <v>205</v>
      </c>
      <c r="G8" s="12"/>
      <c r="H8" s="12"/>
      <c r="I8" s="12"/>
      <c r="J8" s="12"/>
      <c r="K8" s="12"/>
      <c r="L8" s="12"/>
      <c r="M8" s="12"/>
      <c r="N8" s="12"/>
    </row>
    <row r="9" spans="1:14" ht="15" customHeight="1" x14ac:dyDescent="0.25">
      <c r="A9" s="29" t="s">
        <v>206</v>
      </c>
      <c r="B9" s="6" t="s">
        <v>207</v>
      </c>
      <c r="C9" s="6"/>
      <c r="D9" s="6"/>
      <c r="E9" s="6"/>
      <c r="F9" s="12" t="s">
        <v>197</v>
      </c>
      <c r="G9" s="12"/>
      <c r="H9" s="12"/>
      <c r="I9" s="12"/>
      <c r="J9" s="12"/>
      <c r="K9" s="12"/>
      <c r="L9" s="12"/>
      <c r="M9" s="12"/>
      <c r="N9" s="12"/>
    </row>
    <row r="10" spans="1:14" ht="15" customHeight="1" x14ac:dyDescent="0.25">
      <c r="A10" s="22" t="s">
        <v>208</v>
      </c>
      <c r="B10" s="6" t="s">
        <v>209</v>
      </c>
      <c r="C10" s="6"/>
      <c r="D10" s="6"/>
      <c r="E10" s="6"/>
      <c r="F10" s="12" t="s">
        <v>197</v>
      </c>
      <c r="G10" s="12"/>
      <c r="H10" s="12"/>
      <c r="I10" s="12"/>
      <c r="J10" s="12"/>
      <c r="K10" s="12"/>
      <c r="L10" s="12"/>
      <c r="M10" s="12"/>
      <c r="N10" s="12"/>
    </row>
    <row r="11" spans="1:14" ht="15" customHeight="1" x14ac:dyDescent="0.25">
      <c r="A11" s="29" t="s">
        <v>210</v>
      </c>
      <c r="B11" s="5" t="s">
        <v>211</v>
      </c>
      <c r="C11" s="5"/>
      <c r="D11" s="5"/>
      <c r="E11" s="5"/>
      <c r="F11" s="11" t="s">
        <v>212</v>
      </c>
      <c r="G11" s="11"/>
      <c r="H11" s="11"/>
      <c r="I11" s="11"/>
      <c r="J11" s="11"/>
      <c r="K11" s="11"/>
      <c r="L11" s="11"/>
      <c r="M11" s="11"/>
      <c r="N11" s="11"/>
    </row>
    <row r="12" spans="1:14" ht="23.85" customHeight="1" x14ac:dyDescent="0.25">
      <c r="A12" s="22" t="s">
        <v>213</v>
      </c>
      <c r="B12" s="5" t="s">
        <v>214</v>
      </c>
      <c r="C12" s="5"/>
      <c r="D12" s="5"/>
      <c r="E12" s="5"/>
      <c r="F12" s="11" t="s">
        <v>215</v>
      </c>
      <c r="G12" s="11"/>
      <c r="H12" s="11"/>
      <c r="I12" s="11"/>
      <c r="J12" s="11"/>
      <c r="K12" s="11"/>
      <c r="L12" s="11"/>
      <c r="M12" s="11"/>
      <c r="N12" s="11"/>
    </row>
    <row r="13" spans="1:14" ht="15" customHeight="1" x14ac:dyDescent="0.25">
      <c r="A13" s="29" t="s">
        <v>216</v>
      </c>
      <c r="B13" s="4" t="s">
        <v>217</v>
      </c>
      <c r="C13" s="4"/>
      <c r="D13" s="4"/>
      <c r="E13" s="4"/>
      <c r="F13" s="3" t="s">
        <v>218</v>
      </c>
      <c r="G13" s="3"/>
      <c r="H13" s="3"/>
      <c r="I13" s="3"/>
      <c r="J13" s="3"/>
      <c r="K13" s="3"/>
      <c r="L13" s="3"/>
      <c r="M13" s="3"/>
      <c r="N13" s="3"/>
    </row>
    <row r="14" spans="1:14" ht="15" customHeight="1" x14ac:dyDescent="0.25">
      <c r="A14" s="22" t="s">
        <v>219</v>
      </c>
      <c r="B14" s="5" t="s">
        <v>220</v>
      </c>
      <c r="C14" s="5"/>
      <c r="D14" s="5"/>
      <c r="E14" s="5"/>
      <c r="F14" s="11" t="s">
        <v>221</v>
      </c>
      <c r="G14" s="11"/>
      <c r="H14" s="11"/>
      <c r="I14" s="11"/>
      <c r="J14" s="11"/>
      <c r="K14" s="11"/>
      <c r="L14" s="11"/>
      <c r="M14" s="11"/>
      <c r="N14" s="11"/>
    </row>
    <row r="15" spans="1:14" ht="23.85" customHeight="1" x14ac:dyDescent="0.25">
      <c r="A15" s="29" t="s">
        <v>222</v>
      </c>
      <c r="B15" s="5" t="s">
        <v>223</v>
      </c>
      <c r="C15" s="5"/>
      <c r="D15" s="5"/>
      <c r="E15" s="5"/>
      <c r="F15" s="11" t="s">
        <v>224</v>
      </c>
      <c r="G15" s="11"/>
      <c r="H15" s="11"/>
      <c r="I15" s="11"/>
      <c r="J15" s="11"/>
      <c r="K15" s="11"/>
      <c r="L15" s="11"/>
      <c r="M15" s="11"/>
      <c r="N15" s="11"/>
    </row>
    <row r="16" spans="1:14" ht="15" customHeight="1" x14ac:dyDescent="0.25">
      <c r="A16" s="22" t="s">
        <v>225</v>
      </c>
      <c r="B16" s="5" t="s">
        <v>226</v>
      </c>
      <c r="C16" s="5"/>
      <c r="D16" s="5"/>
      <c r="E16" s="5"/>
      <c r="F16" s="11" t="s">
        <v>227</v>
      </c>
      <c r="G16" s="11"/>
      <c r="H16" s="11"/>
      <c r="I16" s="11"/>
      <c r="J16" s="11"/>
      <c r="K16" s="11"/>
      <c r="L16" s="11"/>
      <c r="M16" s="11"/>
      <c r="N16" s="11"/>
    </row>
    <row r="19" spans="1:14" ht="15" customHeight="1" x14ac:dyDescent="0.25">
      <c r="A19" s="14" t="s">
        <v>228</v>
      </c>
      <c r="B19" s="14"/>
      <c r="C19" s="14"/>
      <c r="D19" s="14"/>
      <c r="E19" s="14"/>
      <c r="F19" s="14"/>
      <c r="G19" s="14"/>
      <c r="H19" s="14"/>
      <c r="I19" s="14"/>
      <c r="J19" s="14"/>
      <c r="K19" s="14"/>
      <c r="L19" s="14"/>
      <c r="M19" s="14"/>
      <c r="N19" s="14"/>
    </row>
    <row r="20" spans="1:14" ht="38.25" x14ac:dyDescent="0.25">
      <c r="A20" s="15" t="s">
        <v>158</v>
      </c>
      <c r="B20" s="15" t="s">
        <v>12</v>
      </c>
      <c r="C20" s="15" t="s">
        <v>229</v>
      </c>
      <c r="D20" s="15" t="s">
        <v>230</v>
      </c>
      <c r="E20" s="15" t="s">
        <v>231</v>
      </c>
      <c r="F20" s="15" t="s">
        <v>186</v>
      </c>
      <c r="G20" s="15" t="s">
        <v>164</v>
      </c>
      <c r="H20" s="15" t="s">
        <v>232</v>
      </c>
      <c r="I20" s="15" t="s">
        <v>233</v>
      </c>
      <c r="J20" s="15" t="s">
        <v>234</v>
      </c>
      <c r="K20" s="15" t="s">
        <v>235</v>
      </c>
      <c r="L20" s="15" t="s">
        <v>236</v>
      </c>
    </row>
    <row r="21" spans="1:14" ht="46.35" customHeight="1" x14ac:dyDescent="0.25">
      <c r="A21" s="48" t="s">
        <v>46</v>
      </c>
      <c r="B21" s="29" t="s">
        <v>27</v>
      </c>
      <c r="C21" s="49">
        <v>190</v>
      </c>
      <c r="D21" s="49">
        <v>195</v>
      </c>
      <c r="E21" s="54">
        <v>257</v>
      </c>
      <c r="F21" s="54">
        <v>1100</v>
      </c>
      <c r="G21" s="60">
        <v>1.833</v>
      </c>
      <c r="H21" s="29" t="s">
        <v>237</v>
      </c>
      <c r="I21" s="50">
        <v>209000</v>
      </c>
      <c r="J21" s="50">
        <v>214500</v>
      </c>
      <c r="K21" s="50">
        <v>282700</v>
      </c>
      <c r="L21" s="12" t="s">
        <v>238</v>
      </c>
      <c r="M21" s="12"/>
      <c r="N21" s="12"/>
    </row>
    <row r="22" spans="1:14" ht="35.1" customHeight="1" x14ac:dyDescent="0.25">
      <c r="A22" s="23" t="s">
        <v>49</v>
      </c>
      <c r="B22" s="22" t="s">
        <v>34</v>
      </c>
      <c r="C22" s="49">
        <v>351</v>
      </c>
      <c r="D22" s="49">
        <v>377</v>
      </c>
      <c r="E22" s="61">
        <v>329</v>
      </c>
      <c r="F22" s="56">
        <v>1200</v>
      </c>
      <c r="G22" s="62">
        <v>1.5</v>
      </c>
      <c r="H22" s="22" t="s">
        <v>239</v>
      </c>
      <c r="I22" s="51">
        <v>421200</v>
      </c>
      <c r="J22" s="51">
        <v>452400</v>
      </c>
      <c r="K22" s="51">
        <v>394800</v>
      </c>
      <c r="L22" s="3" t="s">
        <v>240</v>
      </c>
      <c r="M22" s="3"/>
      <c r="N22" s="3"/>
    </row>
    <row r="23" spans="1:14" ht="35.1" customHeight="1" x14ac:dyDescent="0.25">
      <c r="A23" s="48" t="s">
        <v>51</v>
      </c>
      <c r="B23" s="29" t="s">
        <v>27</v>
      </c>
      <c r="C23" s="49">
        <v>154</v>
      </c>
      <c r="D23" s="49">
        <v>142</v>
      </c>
      <c r="E23" s="54">
        <v>130</v>
      </c>
      <c r="F23" s="54">
        <v>800</v>
      </c>
      <c r="G23" s="60">
        <v>1</v>
      </c>
      <c r="H23" s="29" t="s">
        <v>241</v>
      </c>
      <c r="I23" s="50">
        <v>123200</v>
      </c>
      <c r="J23" s="50">
        <v>113600</v>
      </c>
      <c r="K23" s="50">
        <v>104000</v>
      </c>
      <c r="L23" s="12" t="s">
        <v>238</v>
      </c>
      <c r="M23" s="12"/>
      <c r="N23" s="12"/>
    </row>
    <row r="24" spans="1:14" ht="46.35" customHeight="1" x14ac:dyDescent="0.25">
      <c r="A24" s="23" t="s">
        <v>53</v>
      </c>
      <c r="B24" s="22" t="s">
        <v>34</v>
      </c>
      <c r="C24" s="49">
        <v>95</v>
      </c>
      <c r="D24" s="49">
        <v>103</v>
      </c>
      <c r="E24" s="56">
        <v>99</v>
      </c>
      <c r="F24" s="56">
        <v>1400</v>
      </c>
      <c r="G24" s="62">
        <v>2.5</v>
      </c>
      <c r="H24" s="22" t="s">
        <v>242</v>
      </c>
      <c r="I24" s="51">
        <v>133000</v>
      </c>
      <c r="J24" s="51">
        <v>144200</v>
      </c>
      <c r="K24" s="51">
        <v>138600</v>
      </c>
      <c r="L24" s="12" t="s">
        <v>238</v>
      </c>
      <c r="M24" s="12"/>
      <c r="N24" s="12"/>
    </row>
    <row r="25" spans="1:14" ht="46.35" customHeight="1" x14ac:dyDescent="0.25">
      <c r="A25" s="48" t="s">
        <v>55</v>
      </c>
      <c r="B25" s="29" t="s">
        <v>34</v>
      </c>
      <c r="C25" s="49">
        <v>77</v>
      </c>
      <c r="D25" s="49">
        <v>80</v>
      </c>
      <c r="E25" s="54">
        <v>53</v>
      </c>
      <c r="F25" s="54">
        <v>1050</v>
      </c>
      <c r="G25" s="60">
        <v>2.2000000000000002</v>
      </c>
      <c r="H25" s="29" t="s">
        <v>243</v>
      </c>
      <c r="I25" s="50">
        <v>80850</v>
      </c>
      <c r="J25" s="50">
        <v>84000</v>
      </c>
      <c r="K25" s="50">
        <v>55650</v>
      </c>
      <c r="L25" s="12" t="s">
        <v>244</v>
      </c>
      <c r="M25" s="12"/>
      <c r="N25" s="12"/>
    </row>
    <row r="26" spans="1:14" ht="35.1" customHeight="1" x14ac:dyDescent="0.25">
      <c r="A26" s="23" t="s">
        <v>57</v>
      </c>
      <c r="B26" s="22" t="s">
        <v>27</v>
      </c>
      <c r="C26" s="49">
        <v>64</v>
      </c>
      <c r="D26" s="49">
        <v>80</v>
      </c>
      <c r="E26" s="56">
        <v>157</v>
      </c>
      <c r="F26" s="56">
        <v>2300</v>
      </c>
      <c r="G26" s="62">
        <v>1.1000000000000001</v>
      </c>
      <c r="H26" s="22" t="s">
        <v>245</v>
      </c>
      <c r="I26" s="51">
        <v>147200</v>
      </c>
      <c r="J26" s="51">
        <v>184000</v>
      </c>
      <c r="K26" s="51">
        <v>361100</v>
      </c>
      <c r="L26" s="11" t="s">
        <v>246</v>
      </c>
      <c r="M26" s="11"/>
      <c r="N26" s="11"/>
    </row>
    <row r="27" spans="1:14" x14ac:dyDescent="0.25">
      <c r="A27" s="34" t="s">
        <v>93</v>
      </c>
      <c r="B27" s="57"/>
      <c r="C27" s="52">
        <f>SUM(C21:C26)</f>
        <v>931</v>
      </c>
      <c r="D27" s="52">
        <f>SUM(D21:D26)</f>
        <v>977</v>
      </c>
      <c r="E27" s="52">
        <f>SUM(E21:E26)</f>
        <v>1025</v>
      </c>
      <c r="F27" s="57"/>
      <c r="G27" s="57"/>
      <c r="H27" s="57"/>
      <c r="I27" s="57"/>
      <c r="J27" s="57"/>
      <c r="K27" s="57"/>
      <c r="L27" s="57"/>
      <c r="M27" s="57"/>
      <c r="N27" s="57"/>
    </row>
    <row r="29" spans="1:14" ht="15" customHeight="1" x14ac:dyDescent="0.25">
      <c r="A29" s="14" t="s">
        <v>247</v>
      </c>
      <c r="B29" s="14"/>
      <c r="C29" s="14"/>
      <c r="D29" s="14"/>
      <c r="E29" s="14"/>
      <c r="F29" s="14"/>
      <c r="G29" s="14"/>
      <c r="H29" s="14"/>
      <c r="I29" s="14"/>
      <c r="J29" s="14"/>
      <c r="K29" s="14"/>
      <c r="L29" s="14"/>
      <c r="M29" s="14"/>
      <c r="N29" s="14"/>
    </row>
    <row r="30" spans="1:14" ht="25.5" x14ac:dyDescent="0.25">
      <c r="A30" s="15" t="s">
        <v>158</v>
      </c>
      <c r="B30" s="15" t="s">
        <v>248</v>
      </c>
      <c r="C30" s="15" t="s">
        <v>249</v>
      </c>
      <c r="D30" s="15" t="s">
        <v>250</v>
      </c>
      <c r="E30" s="15" t="s">
        <v>251</v>
      </c>
      <c r="F30" s="15" t="s">
        <v>184</v>
      </c>
      <c r="G30" s="15" t="s">
        <v>252</v>
      </c>
      <c r="H30" s="15" t="s">
        <v>18</v>
      </c>
      <c r="I30" s="15" t="s">
        <v>178</v>
      </c>
      <c r="J30" s="15" t="s">
        <v>253</v>
      </c>
      <c r="K30" s="15" t="s">
        <v>254</v>
      </c>
      <c r="L30" s="15" t="s">
        <v>255</v>
      </c>
    </row>
    <row r="31" spans="1:14" ht="25.5" x14ac:dyDescent="0.25">
      <c r="A31" s="53" t="s">
        <v>256</v>
      </c>
      <c r="B31" s="36">
        <v>1788.8</v>
      </c>
      <c r="C31" s="57"/>
      <c r="D31" s="36">
        <v>1986.6</v>
      </c>
      <c r="E31" s="57"/>
      <c r="F31" s="36">
        <v>2211.6999999999998</v>
      </c>
      <c r="G31" s="57"/>
      <c r="H31" s="57"/>
      <c r="I31" s="57"/>
      <c r="J31" s="57"/>
      <c r="K31" s="57"/>
      <c r="L31" s="57"/>
    </row>
    <row r="32" spans="1:14" x14ac:dyDescent="0.25">
      <c r="A32" s="48" t="s">
        <v>46</v>
      </c>
      <c r="B32" s="30">
        <v>378.6</v>
      </c>
      <c r="C32" s="63">
        <f>B32/B31</f>
        <v>0.21165026833631487</v>
      </c>
      <c r="D32" s="30">
        <v>403.8</v>
      </c>
      <c r="E32" s="63">
        <f>D32/D31</f>
        <v>0.20326185442464514</v>
      </c>
      <c r="F32" s="30">
        <v>550.70000000000005</v>
      </c>
      <c r="G32" s="63">
        <f>F32/F31</f>
        <v>0.24899398652620161</v>
      </c>
      <c r="H32" s="63">
        <f t="shared" ref="H32:H38" si="0">(F32-D32)/D32</f>
        <v>0.36379395740465587</v>
      </c>
      <c r="I32" s="63">
        <f t="shared" ref="I32:I38" si="1">(F32/B32)^(1/2)-1</f>
        <v>0.20605533308192858</v>
      </c>
      <c r="J32" s="64">
        <v>2.1428015564202298</v>
      </c>
      <c r="K32" s="65">
        <v>19480.014149274899</v>
      </c>
      <c r="L32" s="33"/>
    </row>
    <row r="33" spans="1:12" x14ac:dyDescent="0.25">
      <c r="A33" s="23" t="s">
        <v>49</v>
      </c>
      <c r="B33" s="24">
        <v>624.1</v>
      </c>
      <c r="C33" s="25">
        <f>B33/B31</f>
        <v>0.34889311270125228</v>
      </c>
      <c r="D33" s="24">
        <v>697</v>
      </c>
      <c r="E33" s="25">
        <f>D33/D31</f>
        <v>0.350850699687909</v>
      </c>
      <c r="F33" s="66">
        <v>629.20000000000005</v>
      </c>
      <c r="G33" s="67">
        <f>F33/F31</f>
        <v>0.28448704616358461</v>
      </c>
      <c r="H33" s="25">
        <f t="shared" si="0"/>
        <v>-9.7274031563844982E-2</v>
      </c>
      <c r="I33" s="25">
        <f t="shared" si="1"/>
        <v>4.0775703823767717E-3</v>
      </c>
      <c r="J33" s="68">
        <v>1.9124620060790301</v>
      </c>
      <c r="K33" s="69">
        <v>15937.1833839919</v>
      </c>
      <c r="L33" s="41" t="s">
        <v>257</v>
      </c>
    </row>
    <row r="34" spans="1:12" x14ac:dyDescent="0.25">
      <c r="A34" s="48" t="s">
        <v>51</v>
      </c>
      <c r="B34" s="30">
        <v>121.7</v>
      </c>
      <c r="C34" s="63">
        <f>B34/B31</f>
        <v>6.8034436493738817E-2</v>
      </c>
      <c r="D34" s="30">
        <v>116.6</v>
      </c>
      <c r="E34" s="63">
        <f>D34/D31</f>
        <v>5.8693244739756366E-2</v>
      </c>
      <c r="F34" s="30">
        <v>110.4</v>
      </c>
      <c r="G34" s="63">
        <f>F34/F31</f>
        <v>4.9916353935886427E-2</v>
      </c>
      <c r="H34" s="63">
        <f t="shared" si="0"/>
        <v>-5.3173241852487042E-2</v>
      </c>
      <c r="I34" s="63">
        <f t="shared" si="1"/>
        <v>-4.7556444519500585E-2</v>
      </c>
      <c r="J34" s="64">
        <v>0.84923076923076901</v>
      </c>
      <c r="K34" s="65">
        <v>10615.384615384601</v>
      </c>
      <c r="L34" s="33"/>
    </row>
    <row r="35" spans="1:12" x14ac:dyDescent="0.25">
      <c r="A35" s="23" t="s">
        <v>53</v>
      </c>
      <c r="B35" s="24">
        <v>328.5</v>
      </c>
      <c r="C35" s="25">
        <f>B35/B31</f>
        <v>0.18364266547406083</v>
      </c>
      <c r="D35" s="24">
        <v>370.3</v>
      </c>
      <c r="E35" s="25">
        <f>D35/D31</f>
        <v>0.18639887244538408</v>
      </c>
      <c r="F35" s="24">
        <v>368.2</v>
      </c>
      <c r="G35" s="25">
        <f>F35/F31</f>
        <v>0.16647827463037485</v>
      </c>
      <c r="H35" s="25">
        <f t="shared" si="0"/>
        <v>-5.671077504725959E-3</v>
      </c>
      <c r="I35" s="25">
        <f t="shared" si="1"/>
        <v>5.8703149711250902E-2</v>
      </c>
      <c r="J35" s="68">
        <v>3.7191919191919198</v>
      </c>
      <c r="K35" s="69">
        <v>26565.656565656602</v>
      </c>
      <c r="L35" s="42"/>
    </row>
    <row r="36" spans="1:12" x14ac:dyDescent="0.25">
      <c r="A36" s="48" t="s">
        <v>55</v>
      </c>
      <c r="B36" s="30">
        <v>175.7</v>
      </c>
      <c r="C36" s="63">
        <f>B36/B31</f>
        <v>9.8222271914132381E-2</v>
      </c>
      <c r="D36" s="30">
        <v>189.8</v>
      </c>
      <c r="E36" s="63">
        <f>D36/D31</f>
        <v>9.5540118795932757E-2</v>
      </c>
      <c r="F36" s="30">
        <v>130.1</v>
      </c>
      <c r="G36" s="63">
        <f>F36/F31</f>
        <v>5.8823529411764705E-2</v>
      </c>
      <c r="H36" s="63">
        <f t="shared" si="0"/>
        <v>-0.31454162276080089</v>
      </c>
      <c r="I36" s="63">
        <f t="shared" si="1"/>
        <v>-0.13949624950838779</v>
      </c>
      <c r="J36" s="64">
        <v>2.4547169811320799</v>
      </c>
      <c r="K36" s="65">
        <v>23378.256963162599</v>
      </c>
      <c r="L36" s="33"/>
    </row>
    <row r="37" spans="1:12" x14ac:dyDescent="0.25">
      <c r="A37" s="23" t="s">
        <v>57</v>
      </c>
      <c r="B37" s="24">
        <v>161.1</v>
      </c>
      <c r="C37" s="25">
        <f>B37/B31</f>
        <v>9.0060375670840784E-2</v>
      </c>
      <c r="D37" s="24">
        <v>209.4</v>
      </c>
      <c r="E37" s="25">
        <f>D37/D31</f>
        <v>0.10540622168529146</v>
      </c>
      <c r="F37" s="24">
        <v>423.3</v>
      </c>
      <c r="G37" s="25">
        <f>F37/F31</f>
        <v>0.19139123750960801</v>
      </c>
      <c r="H37" s="25">
        <f t="shared" si="0"/>
        <v>1.0214899713467049</v>
      </c>
      <c r="I37" s="25">
        <f t="shared" si="1"/>
        <v>0.62097517606386243</v>
      </c>
      <c r="J37" s="68">
        <v>2.6961783439490499</v>
      </c>
      <c r="K37" s="69">
        <v>11722.514538908899</v>
      </c>
      <c r="L37" s="42"/>
    </row>
    <row r="38" spans="1:12" x14ac:dyDescent="0.25">
      <c r="A38" s="34" t="s">
        <v>258</v>
      </c>
      <c r="B38" s="58">
        <f>SUM(B32:B37)</f>
        <v>1789.7</v>
      </c>
      <c r="C38" s="57"/>
      <c r="D38" s="58">
        <f>SUM(D32:D37)</f>
        <v>1986.8999999999999</v>
      </c>
      <c r="E38" s="57"/>
      <c r="F38" s="58">
        <f>SUM(F32:F37)</f>
        <v>2211.9</v>
      </c>
      <c r="G38" s="57"/>
      <c r="H38" s="59">
        <f t="shared" si="0"/>
        <v>0.11324173335346532</v>
      </c>
      <c r="I38" s="59">
        <f t="shared" si="1"/>
        <v>0.11171284917260782</v>
      </c>
      <c r="J38" s="57"/>
      <c r="K38" s="57"/>
      <c r="L38" s="57"/>
    </row>
    <row r="43" spans="1:12" x14ac:dyDescent="0.25">
      <c r="A43" t="s">
        <v>747</v>
      </c>
      <c r="B43" t="s">
        <v>786</v>
      </c>
    </row>
    <row r="44" spans="1:12" x14ac:dyDescent="0.25">
      <c r="A44" t="s">
        <v>787</v>
      </c>
      <c r="B44">
        <f>5266*0.42</f>
        <v>2211.7199999999998</v>
      </c>
    </row>
    <row r="45" spans="1:12" x14ac:dyDescent="0.25">
      <c r="A45" t="s">
        <v>744</v>
      </c>
      <c r="B45" s="115">
        <f>E27</f>
        <v>1025</v>
      </c>
    </row>
    <row r="46" spans="1:12" x14ac:dyDescent="0.25">
      <c r="A46" t="s">
        <v>789</v>
      </c>
      <c r="B46" t="s">
        <v>790</v>
      </c>
    </row>
    <row r="47" spans="1:12" x14ac:dyDescent="0.25">
      <c r="A47" t="s">
        <v>750</v>
      </c>
      <c r="B47" s="107">
        <f>B44/B45</f>
        <v>2.1577756097560972</v>
      </c>
    </row>
    <row r="49" spans="1:5" x14ac:dyDescent="0.25">
      <c r="A49" s="112" t="s">
        <v>158</v>
      </c>
      <c r="B49" s="112" t="s">
        <v>764</v>
      </c>
      <c r="C49" s="112" t="s">
        <v>739</v>
      </c>
      <c r="D49" s="112" t="s">
        <v>750</v>
      </c>
      <c r="E49" s="112" t="s">
        <v>788</v>
      </c>
    </row>
    <row r="50" spans="1:5" x14ac:dyDescent="0.25">
      <c r="A50" s="117" t="s">
        <v>46</v>
      </c>
      <c r="B50" s="118">
        <f>C50*D50</f>
        <v>554.54833170731695</v>
      </c>
      <c r="C50" s="119">
        <v>257</v>
      </c>
      <c r="D50" s="116">
        <f>$B$47*E50</f>
        <v>2.1577756097560972</v>
      </c>
      <c r="E50" s="120">
        <v>1</v>
      </c>
    </row>
    <row r="51" spans="1:5" x14ac:dyDescent="0.25">
      <c r="A51" s="117" t="s">
        <v>49</v>
      </c>
      <c r="B51" s="118">
        <f t="shared" ref="B51:B54" si="2">C51*D51</f>
        <v>709.90817560975597</v>
      </c>
      <c r="C51" s="119">
        <v>329</v>
      </c>
      <c r="D51" s="116">
        <f t="shared" ref="D51:D54" si="3">$B$47*E51</f>
        <v>2.1577756097560972</v>
      </c>
      <c r="E51" s="120">
        <v>1</v>
      </c>
    </row>
    <row r="52" spans="1:5" x14ac:dyDescent="0.25">
      <c r="A52" s="117" t="s">
        <v>51</v>
      </c>
      <c r="B52" s="118">
        <f t="shared" si="2"/>
        <v>280.51082926829264</v>
      </c>
      <c r="C52" s="119">
        <v>130</v>
      </c>
      <c r="D52" s="116">
        <f t="shared" si="3"/>
        <v>2.1577756097560972</v>
      </c>
      <c r="E52" s="120">
        <v>1</v>
      </c>
    </row>
    <row r="53" spans="1:5" x14ac:dyDescent="0.25">
      <c r="A53" s="117" t="s">
        <v>53</v>
      </c>
      <c r="B53" s="118">
        <f t="shared" si="2"/>
        <v>213.61978536585363</v>
      </c>
      <c r="C53" s="119">
        <v>99</v>
      </c>
      <c r="D53" s="116">
        <f t="shared" si="3"/>
        <v>2.1577756097560972</v>
      </c>
      <c r="E53" s="120">
        <v>1</v>
      </c>
    </row>
    <row r="54" spans="1:5" x14ac:dyDescent="0.25">
      <c r="A54" s="117" t="s">
        <v>55</v>
      </c>
      <c r="B54" s="118">
        <f t="shared" si="2"/>
        <v>114.36210731707315</v>
      </c>
      <c r="C54" s="119">
        <v>53</v>
      </c>
      <c r="D54" s="116">
        <f t="shared" si="3"/>
        <v>2.1577756097560972</v>
      </c>
      <c r="E54" s="120">
        <v>1</v>
      </c>
    </row>
    <row r="55" spans="1:5" x14ac:dyDescent="0.25">
      <c r="A55" s="117" t="s">
        <v>57</v>
      </c>
      <c r="B55" s="118">
        <f>B44-SUM(B50:B54)</f>
        <v>338.77077073170744</v>
      </c>
      <c r="C55" s="119">
        <v>157</v>
      </c>
      <c r="D55" s="116">
        <f>B55/C55</f>
        <v>2.1577756097560985</v>
      </c>
      <c r="E55" s="120">
        <v>1</v>
      </c>
    </row>
  </sheetData>
  <mergeCells count="35">
    <mergeCell ref="L26:N26"/>
    <mergeCell ref="A29:N29"/>
    <mergeCell ref="L21:N21"/>
    <mergeCell ref="L22:N22"/>
    <mergeCell ref="L23:N23"/>
    <mergeCell ref="L24:N24"/>
    <mergeCell ref="L25:N25"/>
    <mergeCell ref="B15:E15"/>
    <mergeCell ref="F15:N15"/>
    <mergeCell ref="B16:E16"/>
    <mergeCell ref="F16:N16"/>
    <mergeCell ref="A19:N19"/>
    <mergeCell ref="B12:E12"/>
    <mergeCell ref="F12:N12"/>
    <mergeCell ref="B13:E13"/>
    <mergeCell ref="F13:N13"/>
    <mergeCell ref="B14:E14"/>
    <mergeCell ref="F14:N14"/>
    <mergeCell ref="B9:E9"/>
    <mergeCell ref="F9:N9"/>
    <mergeCell ref="B10:E10"/>
    <mergeCell ref="F10:N10"/>
    <mergeCell ref="B11:E11"/>
    <mergeCell ref="F11:N11"/>
    <mergeCell ref="B6:E6"/>
    <mergeCell ref="F6:N6"/>
    <mergeCell ref="B7:E7"/>
    <mergeCell ref="F7:N7"/>
    <mergeCell ref="B8:E8"/>
    <mergeCell ref="F8:N8"/>
    <mergeCell ref="A1:N1"/>
    <mergeCell ref="A2:N2"/>
    <mergeCell ref="A4:N4"/>
    <mergeCell ref="B5:E5"/>
    <mergeCell ref="F5:N5"/>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4"/>
  <sheetViews>
    <sheetView zoomScaleNormal="100" workbookViewId="0">
      <pane xSplit="1" ySplit="4" topLeftCell="B5" activePane="bottomRight" state="frozen"/>
      <selection sqref="A1:P1"/>
      <selection pane="topRight" sqref="A1:P1"/>
      <selection pane="bottomLeft" sqref="A1:P1"/>
      <selection pane="bottomRight" activeCell="B43" sqref="B43"/>
    </sheetView>
  </sheetViews>
  <sheetFormatPr defaultColWidth="8.7109375" defaultRowHeight="15" x14ac:dyDescent="0.25"/>
  <cols>
    <col min="1" max="1" width="28" customWidth="1"/>
    <col min="2" max="8" width="14" customWidth="1"/>
    <col min="9" max="9" width="12" customWidth="1"/>
    <col min="10" max="11" width="16" customWidth="1"/>
    <col min="12" max="12" width="42" customWidth="1"/>
  </cols>
  <sheetData>
    <row r="1" spans="1:12" ht="15" customHeight="1" x14ac:dyDescent="0.25">
      <c r="A1" s="14" t="s">
        <v>259</v>
      </c>
      <c r="B1" s="14"/>
      <c r="C1" s="14"/>
      <c r="D1" s="14"/>
      <c r="E1" s="14"/>
      <c r="F1" s="14"/>
      <c r="G1" s="14"/>
      <c r="H1" s="14"/>
      <c r="I1" s="14"/>
      <c r="J1" s="14"/>
      <c r="K1" s="14"/>
      <c r="L1" s="14"/>
    </row>
    <row r="2" spans="1:12" ht="15" customHeight="1" x14ac:dyDescent="0.25">
      <c r="A2" s="13" t="s">
        <v>260</v>
      </c>
      <c r="B2" s="13"/>
      <c r="C2" s="13"/>
      <c r="D2" s="13"/>
      <c r="E2" s="13"/>
      <c r="F2" s="13"/>
      <c r="G2" s="13"/>
      <c r="H2" s="13"/>
      <c r="I2" s="13"/>
      <c r="J2" s="13"/>
      <c r="K2" s="13"/>
      <c r="L2" s="13"/>
    </row>
    <row r="4" spans="1:12" ht="15" customHeight="1" x14ac:dyDescent="0.25">
      <c r="A4" s="14" t="s">
        <v>261</v>
      </c>
      <c r="B4" s="14"/>
      <c r="C4" s="14"/>
      <c r="D4" s="14"/>
      <c r="E4" s="14"/>
      <c r="F4" s="14"/>
      <c r="G4" s="14"/>
      <c r="H4" s="14"/>
      <c r="I4" s="14"/>
      <c r="J4" s="14"/>
      <c r="K4" s="14"/>
      <c r="L4" s="14"/>
    </row>
    <row r="5" spans="1:12" ht="23.85" customHeight="1" x14ac:dyDescent="0.25">
      <c r="A5" s="29" t="s">
        <v>262</v>
      </c>
      <c r="B5" s="4" t="s">
        <v>263</v>
      </c>
      <c r="C5" s="4"/>
      <c r="D5" s="4"/>
      <c r="E5" s="3" t="s">
        <v>264</v>
      </c>
      <c r="F5" s="3"/>
      <c r="G5" s="3"/>
      <c r="H5" s="3"/>
      <c r="I5" s="3"/>
      <c r="J5" s="3"/>
      <c r="K5" s="3"/>
      <c r="L5" s="3"/>
    </row>
    <row r="6" spans="1:12" ht="15" customHeight="1" x14ac:dyDescent="0.25">
      <c r="A6" s="22" t="s">
        <v>265</v>
      </c>
      <c r="B6" s="5" t="s">
        <v>266</v>
      </c>
      <c r="C6" s="5"/>
      <c r="D6" s="5"/>
      <c r="E6" s="11" t="s">
        <v>267</v>
      </c>
      <c r="F6" s="11"/>
      <c r="G6" s="11"/>
      <c r="H6" s="11"/>
      <c r="I6" s="11"/>
      <c r="J6" s="11"/>
      <c r="K6" s="11"/>
      <c r="L6" s="11"/>
    </row>
    <row r="7" spans="1:12" ht="15" customHeight="1" x14ac:dyDescent="0.25">
      <c r="A7" s="29" t="s">
        <v>268</v>
      </c>
      <c r="B7" s="5" t="s">
        <v>269</v>
      </c>
      <c r="C7" s="5"/>
      <c r="D7" s="5"/>
      <c r="E7" s="11" t="s">
        <v>270</v>
      </c>
      <c r="F7" s="11"/>
      <c r="G7" s="11"/>
      <c r="H7" s="11"/>
      <c r="I7" s="11"/>
      <c r="J7" s="11"/>
      <c r="K7" s="11"/>
      <c r="L7" s="11"/>
    </row>
    <row r="8" spans="1:12" ht="15" customHeight="1" x14ac:dyDescent="0.25">
      <c r="A8" s="22" t="s">
        <v>271</v>
      </c>
      <c r="B8" s="6" t="s">
        <v>272</v>
      </c>
      <c r="C8" s="6"/>
      <c r="D8" s="6"/>
      <c r="E8" s="12" t="s">
        <v>273</v>
      </c>
      <c r="F8" s="12"/>
      <c r="G8" s="12"/>
      <c r="H8" s="12"/>
      <c r="I8" s="12"/>
      <c r="J8" s="12"/>
      <c r="K8" s="12"/>
      <c r="L8" s="12"/>
    </row>
    <row r="9" spans="1:12" ht="15" customHeight="1" x14ac:dyDescent="0.25">
      <c r="A9" s="29" t="s">
        <v>274</v>
      </c>
      <c r="B9" s="6" t="s">
        <v>275</v>
      </c>
      <c r="C9" s="6"/>
      <c r="D9" s="6"/>
      <c r="E9" s="12" t="s">
        <v>276</v>
      </c>
      <c r="F9" s="12"/>
      <c r="G9" s="12"/>
      <c r="H9" s="12"/>
      <c r="I9" s="12"/>
      <c r="J9" s="12"/>
      <c r="K9" s="12"/>
      <c r="L9" s="12"/>
    </row>
    <row r="10" spans="1:12" ht="15" customHeight="1" x14ac:dyDescent="0.25">
      <c r="A10" s="22" t="s">
        <v>277</v>
      </c>
      <c r="B10" s="6" t="s">
        <v>278</v>
      </c>
      <c r="C10" s="6"/>
      <c r="D10" s="6"/>
      <c r="E10" s="12" t="s">
        <v>279</v>
      </c>
      <c r="F10" s="12"/>
      <c r="G10" s="12"/>
      <c r="H10" s="12"/>
      <c r="I10" s="12"/>
      <c r="J10" s="12"/>
      <c r="K10" s="12"/>
      <c r="L10" s="12"/>
    </row>
    <row r="11" spans="1:12" ht="15" customHeight="1" x14ac:dyDescent="0.25">
      <c r="A11" s="29" t="s">
        <v>280</v>
      </c>
      <c r="B11" s="5" t="s">
        <v>281</v>
      </c>
      <c r="C11" s="5"/>
      <c r="D11" s="5"/>
      <c r="E11" s="11" t="s">
        <v>282</v>
      </c>
      <c r="F11" s="11"/>
      <c r="G11" s="11"/>
      <c r="H11" s="11"/>
      <c r="I11" s="11"/>
      <c r="J11" s="11"/>
      <c r="K11" s="11"/>
      <c r="L11" s="11"/>
    </row>
    <row r="12" spans="1:12" ht="15" customHeight="1" x14ac:dyDescent="0.25">
      <c r="A12" s="22" t="s">
        <v>283</v>
      </c>
      <c r="B12" s="6" t="s">
        <v>284</v>
      </c>
      <c r="C12" s="6"/>
      <c r="D12" s="6"/>
      <c r="E12" s="12" t="s">
        <v>285</v>
      </c>
      <c r="F12" s="12"/>
      <c r="G12" s="12"/>
      <c r="H12" s="12"/>
      <c r="I12" s="12"/>
      <c r="J12" s="12"/>
      <c r="K12" s="12"/>
      <c r="L12" s="12"/>
    </row>
    <row r="13" spans="1:12" ht="15" customHeight="1" x14ac:dyDescent="0.25">
      <c r="A13" s="29" t="s">
        <v>286</v>
      </c>
      <c r="B13" s="6" t="s">
        <v>287</v>
      </c>
      <c r="C13" s="6"/>
      <c r="D13" s="6"/>
      <c r="E13" s="12" t="s">
        <v>285</v>
      </c>
      <c r="F13" s="12"/>
      <c r="G13" s="12"/>
      <c r="H13" s="12"/>
      <c r="I13" s="12"/>
      <c r="J13" s="12"/>
      <c r="K13" s="12"/>
      <c r="L13" s="12"/>
    </row>
    <row r="14" spans="1:12" ht="23.85" customHeight="1" x14ac:dyDescent="0.25">
      <c r="A14" s="22" t="s">
        <v>288</v>
      </c>
      <c r="B14" s="6" t="s">
        <v>289</v>
      </c>
      <c r="C14" s="6"/>
      <c r="D14" s="6"/>
      <c r="E14" s="12" t="s">
        <v>290</v>
      </c>
      <c r="F14" s="12"/>
      <c r="G14" s="12"/>
      <c r="H14" s="12"/>
      <c r="I14" s="12"/>
      <c r="J14" s="12"/>
      <c r="K14" s="12"/>
      <c r="L14" s="12"/>
    </row>
    <row r="15" spans="1:12" ht="15" customHeight="1" x14ac:dyDescent="0.25">
      <c r="A15" s="29" t="s">
        <v>291</v>
      </c>
      <c r="B15" s="5" t="s">
        <v>292</v>
      </c>
      <c r="C15" s="5"/>
      <c r="D15" s="5"/>
      <c r="E15" s="11" t="s">
        <v>293</v>
      </c>
      <c r="F15" s="11"/>
      <c r="G15" s="11"/>
      <c r="H15" s="11"/>
      <c r="I15" s="11"/>
      <c r="J15" s="11"/>
      <c r="K15" s="11"/>
      <c r="L15" s="11"/>
    </row>
    <row r="16" spans="1:12" ht="15" customHeight="1" x14ac:dyDescent="0.25">
      <c r="A16" s="22" t="s">
        <v>294</v>
      </c>
      <c r="B16" s="5" t="s">
        <v>295</v>
      </c>
      <c r="C16" s="5"/>
      <c r="D16" s="5"/>
      <c r="E16" s="11" t="s">
        <v>296</v>
      </c>
      <c r="F16" s="11"/>
      <c r="G16" s="11"/>
      <c r="H16" s="11"/>
      <c r="I16" s="11"/>
      <c r="J16" s="11"/>
      <c r="K16" s="11"/>
      <c r="L16" s="11"/>
    </row>
    <row r="17" spans="1:12" ht="15" customHeight="1" x14ac:dyDescent="0.25">
      <c r="A17" s="29" t="s">
        <v>297</v>
      </c>
      <c r="B17" s="4" t="s">
        <v>298</v>
      </c>
      <c r="C17" s="4"/>
      <c r="D17" s="4"/>
      <c r="E17" s="3" t="s">
        <v>299</v>
      </c>
      <c r="F17" s="3"/>
      <c r="G17" s="3"/>
      <c r="H17" s="3"/>
      <c r="I17" s="3"/>
      <c r="J17" s="3"/>
      <c r="K17" s="3"/>
      <c r="L17" s="3"/>
    </row>
    <row r="18" spans="1:12" ht="15" customHeight="1" x14ac:dyDescent="0.25">
      <c r="A18" s="22" t="s">
        <v>300</v>
      </c>
      <c r="B18" s="5" t="s">
        <v>301</v>
      </c>
      <c r="C18" s="5"/>
      <c r="D18" s="5"/>
      <c r="E18" s="11" t="s">
        <v>302</v>
      </c>
      <c r="F18" s="11"/>
      <c r="G18" s="11"/>
      <c r="H18" s="11"/>
      <c r="I18" s="11"/>
      <c r="J18" s="11"/>
      <c r="K18" s="11"/>
      <c r="L18" s="11"/>
    </row>
    <row r="19" spans="1:12" ht="23.85" customHeight="1" x14ac:dyDescent="0.25">
      <c r="A19" s="29" t="s">
        <v>303</v>
      </c>
      <c r="B19" s="5" t="s">
        <v>304</v>
      </c>
      <c r="C19" s="5"/>
      <c r="D19" s="5"/>
      <c r="E19" s="11" t="s">
        <v>305</v>
      </c>
      <c r="F19" s="11"/>
      <c r="G19" s="11"/>
      <c r="H19" s="11"/>
      <c r="I19" s="11"/>
      <c r="J19" s="11"/>
      <c r="K19" s="11"/>
      <c r="L19" s="11"/>
    </row>
    <row r="20" spans="1:12" ht="15" customHeight="1" x14ac:dyDescent="0.25">
      <c r="A20" s="22" t="s">
        <v>306</v>
      </c>
      <c r="B20" s="5" t="s">
        <v>307</v>
      </c>
      <c r="C20" s="5"/>
      <c r="D20" s="5"/>
      <c r="E20" s="11" t="s">
        <v>305</v>
      </c>
      <c r="F20" s="11"/>
      <c r="G20" s="11"/>
      <c r="H20" s="11"/>
      <c r="I20" s="11"/>
      <c r="J20" s="11"/>
      <c r="K20" s="11"/>
      <c r="L20" s="11"/>
    </row>
    <row r="21" spans="1:12" ht="23.85" customHeight="1" x14ac:dyDescent="0.25">
      <c r="A21" s="29" t="s">
        <v>308</v>
      </c>
      <c r="B21" s="4" t="s">
        <v>309</v>
      </c>
      <c r="C21" s="4"/>
      <c r="D21" s="4"/>
      <c r="E21" s="3" t="s">
        <v>310</v>
      </c>
      <c r="F21" s="3"/>
      <c r="G21" s="3"/>
      <c r="H21" s="3"/>
      <c r="I21" s="3"/>
      <c r="J21" s="3"/>
      <c r="K21" s="3"/>
      <c r="L21" s="3"/>
    </row>
    <row r="24" spans="1:12" ht="15" customHeight="1" x14ac:dyDescent="0.25">
      <c r="A24" s="14" t="s">
        <v>311</v>
      </c>
      <c r="B24" s="14"/>
      <c r="C24" s="14"/>
      <c r="D24" s="14"/>
      <c r="E24" s="14"/>
      <c r="F24" s="14"/>
      <c r="G24" s="14"/>
      <c r="H24" s="14"/>
      <c r="I24" s="14"/>
      <c r="J24" s="14"/>
      <c r="K24" s="14"/>
      <c r="L24" s="14"/>
    </row>
    <row r="25" spans="1:12" ht="25.5" x14ac:dyDescent="0.25">
      <c r="A25" s="15" t="s">
        <v>158</v>
      </c>
      <c r="B25" s="15" t="s">
        <v>159</v>
      </c>
      <c r="C25" s="15" t="s">
        <v>160</v>
      </c>
      <c r="D25" s="15" t="s">
        <v>22</v>
      </c>
      <c r="E25" s="15" t="s">
        <v>312</v>
      </c>
      <c r="F25" s="15" t="s">
        <v>313</v>
      </c>
      <c r="G25" s="15" t="s">
        <v>314</v>
      </c>
    </row>
    <row r="26" spans="1:12" ht="15" customHeight="1" x14ac:dyDescent="0.25">
      <c r="A26" s="29" t="s">
        <v>65</v>
      </c>
      <c r="B26" s="49">
        <v>232</v>
      </c>
      <c r="C26" s="49">
        <v>248</v>
      </c>
      <c r="D26" s="49">
        <v>300</v>
      </c>
      <c r="E26" s="70">
        <v>7.26</v>
      </c>
      <c r="F26" s="54">
        <v>17600</v>
      </c>
      <c r="G26" s="12" t="s">
        <v>315</v>
      </c>
      <c r="H26" s="12"/>
      <c r="I26" s="12"/>
      <c r="J26" s="12"/>
      <c r="K26" s="12"/>
      <c r="L26" s="12"/>
    </row>
    <row r="27" spans="1:12" ht="15" customHeight="1" x14ac:dyDescent="0.25">
      <c r="A27" s="22" t="s">
        <v>69</v>
      </c>
      <c r="B27" s="49">
        <v>545</v>
      </c>
      <c r="C27" s="49">
        <v>765</v>
      </c>
      <c r="D27" s="49">
        <v>963</v>
      </c>
      <c r="E27" s="70">
        <v>10.38</v>
      </c>
      <c r="F27" s="56">
        <v>10000</v>
      </c>
      <c r="G27" s="12" t="s">
        <v>315</v>
      </c>
      <c r="H27" s="12"/>
      <c r="I27" s="12"/>
      <c r="J27" s="12"/>
      <c r="K27" s="12"/>
      <c r="L27" s="12"/>
    </row>
    <row r="28" spans="1:12" ht="15" customHeight="1" x14ac:dyDescent="0.25">
      <c r="A28" s="29" t="s">
        <v>72</v>
      </c>
      <c r="B28" s="54">
        <v>32</v>
      </c>
      <c r="C28" s="54">
        <v>30</v>
      </c>
      <c r="D28" s="54">
        <v>27</v>
      </c>
      <c r="E28" s="71">
        <v>0.06</v>
      </c>
      <c r="F28" s="54">
        <v>2300</v>
      </c>
      <c r="G28" s="2" t="s">
        <v>316</v>
      </c>
      <c r="H28" s="2"/>
      <c r="I28" s="2"/>
      <c r="J28" s="2"/>
      <c r="K28" s="2"/>
      <c r="L28" s="2"/>
    </row>
    <row r="29" spans="1:12" ht="15" customHeight="1" x14ac:dyDescent="0.25">
      <c r="A29" s="22" t="s">
        <v>75</v>
      </c>
      <c r="B29" s="49">
        <v>98</v>
      </c>
      <c r="C29" s="49">
        <v>30</v>
      </c>
      <c r="D29" s="49">
        <v>84</v>
      </c>
      <c r="E29" s="70">
        <v>1.44</v>
      </c>
      <c r="F29" s="56">
        <v>17143</v>
      </c>
      <c r="G29" s="12" t="s">
        <v>317</v>
      </c>
      <c r="H29" s="12"/>
      <c r="I29" s="12"/>
      <c r="J29" s="12"/>
      <c r="K29" s="12"/>
      <c r="L29" s="12"/>
    </row>
    <row r="30" spans="1:12" ht="15" customHeight="1" x14ac:dyDescent="0.25">
      <c r="A30" s="34" t="s">
        <v>318</v>
      </c>
      <c r="B30" s="73">
        <v>807</v>
      </c>
      <c r="C30" s="73">
        <v>1043</v>
      </c>
      <c r="D30" s="73">
        <v>1286</v>
      </c>
      <c r="E30" s="70">
        <v>17.7</v>
      </c>
      <c r="F30" s="57"/>
      <c r="G30" s="1" t="s">
        <v>319</v>
      </c>
      <c r="H30" s="1"/>
      <c r="I30" s="1"/>
      <c r="J30" s="1"/>
      <c r="K30" s="1"/>
      <c r="L30" s="1"/>
    </row>
    <row r="32" spans="1:12" ht="15" customHeight="1" x14ac:dyDescent="0.25">
      <c r="A32" s="14" t="s">
        <v>320</v>
      </c>
      <c r="B32" s="14"/>
      <c r="C32" s="14"/>
      <c r="D32" s="14"/>
      <c r="E32" s="14"/>
      <c r="F32" s="14"/>
      <c r="G32" s="14"/>
      <c r="H32" s="14"/>
      <c r="I32" s="14"/>
      <c r="J32" s="14"/>
      <c r="K32" s="14"/>
      <c r="L32" s="14"/>
    </row>
    <row r="33" spans="1:12" ht="25.5" x14ac:dyDescent="0.25">
      <c r="A33" s="15" t="s">
        <v>158</v>
      </c>
      <c r="B33" s="15" t="s">
        <v>321</v>
      </c>
      <c r="C33" s="15" t="s">
        <v>322</v>
      </c>
      <c r="D33" s="15" t="s">
        <v>323</v>
      </c>
      <c r="E33" s="15" t="s">
        <v>324</v>
      </c>
      <c r="F33" s="15" t="s">
        <v>325</v>
      </c>
      <c r="G33" s="15" t="s">
        <v>326</v>
      </c>
      <c r="H33" s="15" t="s">
        <v>18</v>
      </c>
      <c r="I33" s="15" t="s">
        <v>178</v>
      </c>
      <c r="J33" s="15" t="s">
        <v>253</v>
      </c>
      <c r="K33" s="15" t="s">
        <v>327</v>
      </c>
      <c r="L33" s="15" t="s">
        <v>314</v>
      </c>
    </row>
    <row r="34" spans="1:12" ht="24" x14ac:dyDescent="0.25">
      <c r="A34" s="34" t="s">
        <v>328</v>
      </c>
      <c r="B34" s="40">
        <v>12205.3</v>
      </c>
      <c r="C34" s="57"/>
      <c r="D34" s="40">
        <v>16873.7</v>
      </c>
      <c r="E34" s="57"/>
      <c r="F34" s="36">
        <v>16580</v>
      </c>
      <c r="G34" s="57"/>
      <c r="H34" s="57"/>
      <c r="I34" s="57"/>
      <c r="J34" s="57"/>
      <c r="K34" s="57"/>
      <c r="L34" s="41" t="s">
        <v>329</v>
      </c>
    </row>
    <row r="35" spans="1:12" ht="24" x14ac:dyDescent="0.25">
      <c r="A35" s="48" t="s">
        <v>330</v>
      </c>
      <c r="B35" s="36">
        <v>2832</v>
      </c>
      <c r="C35" s="75"/>
      <c r="D35" s="36">
        <v>3517</v>
      </c>
      <c r="E35" s="75"/>
      <c r="F35" s="36">
        <v>3494</v>
      </c>
      <c r="G35" s="75"/>
      <c r="H35" s="25">
        <f>(F35-D35)/D35</f>
        <v>-6.5396644867785044E-3</v>
      </c>
      <c r="I35" s="25">
        <f>(F35/B35)^(1/2)-1</f>
        <v>0.11074617359093009</v>
      </c>
      <c r="J35" s="76">
        <v>41.595238095238102</v>
      </c>
      <c r="K35" s="75"/>
      <c r="L35" s="28" t="s">
        <v>331</v>
      </c>
    </row>
    <row r="36" spans="1:12" x14ac:dyDescent="0.25">
      <c r="A36" s="48" t="s">
        <v>65</v>
      </c>
      <c r="B36" s="40">
        <v>5457</v>
      </c>
      <c r="C36" s="77"/>
      <c r="D36" s="40">
        <v>6882</v>
      </c>
      <c r="E36" s="75"/>
      <c r="F36" s="36">
        <v>6600</v>
      </c>
      <c r="G36" s="75"/>
      <c r="H36" s="63">
        <f>(F36-D36)/D36</f>
        <v>-4.0976460331299043E-2</v>
      </c>
      <c r="I36" s="63">
        <f>(F36/B36)^(1/2)-1</f>
        <v>9.9752583499937986E-2</v>
      </c>
      <c r="J36" s="64">
        <v>22</v>
      </c>
      <c r="K36" s="65">
        <v>12500</v>
      </c>
      <c r="L36" s="72" t="s">
        <v>332</v>
      </c>
    </row>
    <row r="37" spans="1:12" x14ac:dyDescent="0.25">
      <c r="A37" s="23" t="s">
        <v>69</v>
      </c>
      <c r="B37" s="40">
        <v>3884</v>
      </c>
      <c r="C37" s="55"/>
      <c r="D37" s="40">
        <v>6432</v>
      </c>
      <c r="E37" s="78"/>
      <c r="F37" s="36">
        <v>6421</v>
      </c>
      <c r="G37" s="78"/>
      <c r="H37" s="25">
        <f>(F37-D37)/D37</f>
        <v>-1.7101990049751244E-3</v>
      </c>
      <c r="I37" s="25">
        <f>(F37/B37)^(1/2)-1</f>
        <v>0.28576536932830576</v>
      </c>
      <c r="J37" s="68">
        <v>6.6677050882658397</v>
      </c>
      <c r="K37" s="69">
        <v>6667.7050882658395</v>
      </c>
      <c r="L37" s="72" t="s">
        <v>333</v>
      </c>
    </row>
    <row r="38" spans="1:12" x14ac:dyDescent="0.25">
      <c r="A38" s="48" t="s">
        <v>72</v>
      </c>
      <c r="B38" s="40">
        <v>32</v>
      </c>
      <c r="C38" s="77"/>
      <c r="D38" s="40">
        <v>45</v>
      </c>
      <c r="E38" s="75"/>
      <c r="F38" s="40">
        <v>63</v>
      </c>
      <c r="G38" s="75"/>
      <c r="H38" s="63">
        <f>(F38-D38)/D38</f>
        <v>0.4</v>
      </c>
      <c r="I38" s="63">
        <f>(F38/B38)^(1/2)-1</f>
        <v>0.40312152004022805</v>
      </c>
      <c r="J38" s="64">
        <v>2.3333333333333299</v>
      </c>
      <c r="K38" s="65">
        <v>10144.9275362319</v>
      </c>
      <c r="L38" s="33" t="s">
        <v>334</v>
      </c>
    </row>
    <row r="39" spans="1:12" ht="25.5" x14ac:dyDescent="0.25">
      <c r="A39" s="34" t="s">
        <v>335</v>
      </c>
      <c r="B39" s="79">
        <f>SUM(B36:B38)</f>
        <v>9373</v>
      </c>
      <c r="C39" s="57"/>
      <c r="D39" s="79">
        <f>SUM(D36:D38)</f>
        <v>13359</v>
      </c>
      <c r="E39" s="57"/>
      <c r="F39" s="80">
        <f>SUM(F36:F38)</f>
        <v>13084</v>
      </c>
      <c r="G39" s="57"/>
      <c r="H39" s="59">
        <f>(F39-D39)/D39</f>
        <v>-2.0585373156673404E-2</v>
      </c>
      <c r="I39" s="57"/>
      <c r="J39" s="57"/>
      <c r="K39" s="57"/>
      <c r="L39" s="57"/>
    </row>
    <row r="41" spans="1:12" x14ac:dyDescent="0.25">
      <c r="A41" t="s">
        <v>791</v>
      </c>
    </row>
    <row r="42" spans="1:12" x14ac:dyDescent="0.25">
      <c r="A42" t="s">
        <v>158</v>
      </c>
      <c r="B42" t="s">
        <v>792</v>
      </c>
    </row>
    <row r="43" spans="1:12" x14ac:dyDescent="0.25">
      <c r="A43" t="s">
        <v>69</v>
      </c>
      <c r="B43">
        <v>12214.9</v>
      </c>
    </row>
    <row r="44" spans="1:12" x14ac:dyDescent="0.25">
      <c r="A44" t="s">
        <v>65</v>
      </c>
      <c r="B44">
        <v>6895.5</v>
      </c>
    </row>
  </sheetData>
  <mergeCells count="44">
    <mergeCell ref="G28:L28"/>
    <mergeCell ref="G29:L29"/>
    <mergeCell ref="G30:L30"/>
    <mergeCell ref="A32:L32"/>
    <mergeCell ref="B21:D21"/>
    <mergeCell ref="E21:L21"/>
    <mergeCell ref="A24:L24"/>
    <mergeCell ref="G26:L26"/>
    <mergeCell ref="G27:L27"/>
    <mergeCell ref="B18:D18"/>
    <mergeCell ref="E18:L18"/>
    <mergeCell ref="B19:D19"/>
    <mergeCell ref="E19:L19"/>
    <mergeCell ref="B20:D20"/>
    <mergeCell ref="E20:L20"/>
    <mergeCell ref="B15:D15"/>
    <mergeCell ref="E15:L15"/>
    <mergeCell ref="B16:D16"/>
    <mergeCell ref="E16:L16"/>
    <mergeCell ref="B17:D17"/>
    <mergeCell ref="E17:L17"/>
    <mergeCell ref="B12:D12"/>
    <mergeCell ref="E12:L12"/>
    <mergeCell ref="B13:D13"/>
    <mergeCell ref="E13:L13"/>
    <mergeCell ref="B14:D14"/>
    <mergeCell ref="E14:L14"/>
    <mergeCell ref="B9:D9"/>
    <mergeCell ref="E9:L9"/>
    <mergeCell ref="B10:D10"/>
    <mergeCell ref="E10:L10"/>
    <mergeCell ref="B11:D11"/>
    <mergeCell ref="E11:L11"/>
    <mergeCell ref="B6:D6"/>
    <mergeCell ref="E6:L6"/>
    <mergeCell ref="B7:D7"/>
    <mergeCell ref="E7:L7"/>
    <mergeCell ref="B8:D8"/>
    <mergeCell ref="E8:L8"/>
    <mergeCell ref="A1:L1"/>
    <mergeCell ref="A2:L2"/>
    <mergeCell ref="A4:L4"/>
    <mergeCell ref="B5:D5"/>
    <mergeCell ref="E5:L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8"/>
  <sheetViews>
    <sheetView zoomScale="99" zoomScaleNormal="100" workbookViewId="0">
      <pane xSplit="1" ySplit="4" topLeftCell="B12" activePane="bottomRight" state="frozen"/>
      <selection sqref="A1:P1"/>
      <selection pane="topRight" sqref="A1:P1"/>
      <selection pane="bottomLeft" sqref="A1:P1"/>
      <selection pane="bottomRight" activeCell="D44" sqref="D44"/>
    </sheetView>
  </sheetViews>
  <sheetFormatPr defaultColWidth="8.7109375" defaultRowHeight="15" x14ac:dyDescent="0.25"/>
  <cols>
    <col min="1" max="1" width="22" customWidth="1"/>
    <col min="2" max="6" width="14" customWidth="1"/>
    <col min="7" max="7" width="12" customWidth="1"/>
    <col min="8" max="11" width="16" customWidth="1"/>
    <col min="12" max="12" width="44" customWidth="1"/>
  </cols>
  <sheetData>
    <row r="1" spans="1:12" ht="15" customHeight="1" x14ac:dyDescent="0.25">
      <c r="A1" s="14" t="s">
        <v>336</v>
      </c>
      <c r="B1" s="14"/>
      <c r="C1" s="14"/>
      <c r="D1" s="14"/>
      <c r="E1" s="14"/>
      <c r="F1" s="14"/>
      <c r="G1" s="14"/>
      <c r="H1" s="14"/>
      <c r="I1" s="14"/>
      <c r="J1" s="14"/>
      <c r="K1" s="14"/>
      <c r="L1" s="14"/>
    </row>
    <row r="2" spans="1:12" ht="15" customHeight="1" x14ac:dyDescent="0.25">
      <c r="A2" s="13" t="s">
        <v>337</v>
      </c>
      <c r="B2" s="13"/>
      <c r="C2" s="13"/>
      <c r="D2" s="13"/>
      <c r="E2" s="13"/>
      <c r="F2" s="13"/>
      <c r="G2" s="13"/>
      <c r="H2" s="13"/>
      <c r="I2" s="13"/>
      <c r="J2" s="13"/>
      <c r="K2" s="13"/>
      <c r="L2" s="13"/>
    </row>
    <row r="4" spans="1:12" ht="15" customHeight="1" x14ac:dyDescent="0.25">
      <c r="A4" s="14" t="s">
        <v>338</v>
      </c>
      <c r="B4" s="14"/>
      <c r="C4" s="14"/>
      <c r="D4" s="14"/>
      <c r="E4" s="14"/>
      <c r="F4" s="14"/>
      <c r="G4" s="14"/>
      <c r="H4" s="14"/>
      <c r="I4" s="14"/>
      <c r="J4" s="14"/>
      <c r="K4" s="14"/>
      <c r="L4" s="14"/>
    </row>
    <row r="5" spans="1:12" ht="15" customHeight="1" x14ac:dyDescent="0.25">
      <c r="A5" s="29" t="s">
        <v>339</v>
      </c>
      <c r="B5" s="6" t="s">
        <v>340</v>
      </c>
      <c r="C5" s="6"/>
      <c r="D5" s="6"/>
      <c r="E5" s="6"/>
      <c r="F5" s="12" t="s">
        <v>341</v>
      </c>
      <c r="G5" s="12"/>
      <c r="H5" s="12"/>
      <c r="I5" s="12"/>
      <c r="J5" s="12"/>
      <c r="K5" s="12"/>
      <c r="L5" s="12"/>
    </row>
    <row r="6" spans="1:12" ht="15" customHeight="1" x14ac:dyDescent="0.25">
      <c r="A6" s="22" t="s">
        <v>342</v>
      </c>
      <c r="B6" s="6" t="s">
        <v>343</v>
      </c>
      <c r="C6" s="6"/>
      <c r="D6" s="6"/>
      <c r="E6" s="6"/>
      <c r="F6" s="12" t="s">
        <v>135</v>
      </c>
      <c r="G6" s="12"/>
      <c r="H6" s="12"/>
      <c r="I6" s="12"/>
      <c r="J6" s="12"/>
      <c r="K6" s="12"/>
      <c r="L6" s="12"/>
    </row>
    <row r="7" spans="1:12" ht="15" customHeight="1" x14ac:dyDescent="0.25">
      <c r="A7" s="29" t="s">
        <v>344</v>
      </c>
      <c r="B7" s="6" t="s">
        <v>345</v>
      </c>
      <c r="C7" s="6"/>
      <c r="D7" s="6"/>
      <c r="E7" s="6"/>
      <c r="F7" s="12" t="s">
        <v>135</v>
      </c>
      <c r="G7" s="12"/>
      <c r="H7" s="12"/>
      <c r="I7" s="12"/>
      <c r="J7" s="12"/>
      <c r="K7" s="12"/>
      <c r="L7" s="12"/>
    </row>
    <row r="8" spans="1:12" ht="23.85" customHeight="1" x14ac:dyDescent="0.25">
      <c r="A8" s="22" t="s">
        <v>346</v>
      </c>
      <c r="B8" s="6" t="s">
        <v>347</v>
      </c>
      <c r="C8" s="6"/>
      <c r="D8" s="6"/>
      <c r="E8" s="6"/>
      <c r="F8" s="12" t="s">
        <v>285</v>
      </c>
      <c r="G8" s="12"/>
      <c r="H8" s="12"/>
      <c r="I8" s="12"/>
      <c r="J8" s="12"/>
      <c r="K8" s="12"/>
      <c r="L8" s="12"/>
    </row>
    <row r="9" spans="1:12" ht="23.85" customHeight="1" x14ac:dyDescent="0.25">
      <c r="A9" s="29" t="s">
        <v>348</v>
      </c>
      <c r="B9" s="6" t="s">
        <v>349</v>
      </c>
      <c r="C9" s="6"/>
      <c r="D9" s="6"/>
      <c r="E9" s="6"/>
      <c r="F9" s="11" t="s">
        <v>350</v>
      </c>
      <c r="G9" s="11"/>
      <c r="H9" s="11"/>
      <c r="I9" s="11"/>
      <c r="J9" s="11"/>
      <c r="K9" s="11"/>
      <c r="L9" s="11"/>
    </row>
    <row r="10" spans="1:12" ht="23.85" customHeight="1" x14ac:dyDescent="0.25">
      <c r="A10" s="22" t="s">
        <v>351</v>
      </c>
      <c r="B10" s="5" t="s">
        <v>352</v>
      </c>
      <c r="C10" s="5"/>
      <c r="D10" s="5"/>
      <c r="E10" s="5"/>
      <c r="F10" s="11" t="s">
        <v>353</v>
      </c>
      <c r="G10" s="11"/>
      <c r="H10" s="11"/>
      <c r="I10" s="11"/>
      <c r="J10" s="11"/>
      <c r="K10" s="11"/>
      <c r="L10" s="11"/>
    </row>
    <row r="11" spans="1:12" ht="23.85" customHeight="1" x14ac:dyDescent="0.25">
      <c r="A11" s="29" t="s">
        <v>354</v>
      </c>
      <c r="B11" s="5" t="s">
        <v>355</v>
      </c>
      <c r="C11" s="5"/>
      <c r="D11" s="5"/>
      <c r="E11" s="5"/>
      <c r="F11" s="11" t="s">
        <v>356</v>
      </c>
      <c r="G11" s="11"/>
      <c r="H11" s="11"/>
      <c r="I11" s="11"/>
      <c r="J11" s="11"/>
      <c r="K11" s="11"/>
      <c r="L11" s="11"/>
    </row>
    <row r="12" spans="1:12" ht="15" customHeight="1" x14ac:dyDescent="0.25">
      <c r="A12" s="22" t="s">
        <v>357</v>
      </c>
      <c r="B12" s="5" t="s">
        <v>358</v>
      </c>
      <c r="C12" s="5"/>
      <c r="D12" s="5"/>
      <c r="E12" s="5"/>
      <c r="F12" s="11" t="s">
        <v>359</v>
      </c>
      <c r="G12" s="11"/>
      <c r="H12" s="11"/>
      <c r="I12" s="11"/>
      <c r="J12" s="11"/>
      <c r="K12" s="11"/>
      <c r="L12" s="11"/>
    </row>
    <row r="13" spans="1:12" ht="15" customHeight="1" x14ac:dyDescent="0.25">
      <c r="A13" s="29" t="s">
        <v>360</v>
      </c>
      <c r="B13" s="5" t="s">
        <v>361</v>
      </c>
      <c r="C13" s="5"/>
      <c r="D13" s="5"/>
      <c r="E13" s="5"/>
      <c r="F13" s="11" t="s">
        <v>362</v>
      </c>
      <c r="G13" s="11"/>
      <c r="H13" s="11"/>
      <c r="I13" s="11"/>
      <c r="J13" s="11"/>
      <c r="K13" s="11"/>
      <c r="L13" s="11"/>
    </row>
    <row r="14" spans="1:12" ht="15" customHeight="1" x14ac:dyDescent="0.25">
      <c r="A14" s="22" t="s">
        <v>363</v>
      </c>
      <c r="B14" s="5" t="s">
        <v>364</v>
      </c>
      <c r="C14" s="5"/>
      <c r="D14" s="5"/>
      <c r="E14" s="5"/>
      <c r="F14" s="11" t="s">
        <v>365</v>
      </c>
      <c r="G14" s="11"/>
      <c r="H14" s="11"/>
      <c r="I14" s="11"/>
      <c r="J14" s="11"/>
      <c r="K14" s="11"/>
      <c r="L14" s="11"/>
    </row>
    <row r="15" spans="1:12" ht="15" customHeight="1" x14ac:dyDescent="0.25">
      <c r="A15" s="29" t="s">
        <v>366</v>
      </c>
      <c r="B15" s="5" t="s">
        <v>367</v>
      </c>
      <c r="C15" s="5"/>
      <c r="D15" s="5"/>
      <c r="E15" s="5"/>
      <c r="F15" s="11" t="s">
        <v>365</v>
      </c>
      <c r="G15" s="11"/>
      <c r="H15" s="11"/>
      <c r="I15" s="11"/>
      <c r="J15" s="11"/>
      <c r="K15" s="11"/>
      <c r="L15" s="11"/>
    </row>
    <row r="16" spans="1:12" ht="28.5" customHeight="1" x14ac:dyDescent="0.25">
      <c r="A16" s="22" t="s">
        <v>368</v>
      </c>
      <c r="B16" s="5" t="s">
        <v>369</v>
      </c>
      <c r="C16" s="5"/>
      <c r="D16" s="5"/>
      <c r="E16" s="5"/>
      <c r="F16" s="11" t="s">
        <v>370</v>
      </c>
      <c r="G16" s="11"/>
      <c r="H16" s="11"/>
      <c r="I16" s="11"/>
      <c r="J16" s="11"/>
      <c r="K16" s="11"/>
      <c r="L16" s="11"/>
    </row>
    <row r="17" spans="1:12" ht="15" customHeight="1" x14ac:dyDescent="0.25">
      <c r="A17" s="29" t="s">
        <v>371</v>
      </c>
      <c r="B17" s="6" t="s">
        <v>372</v>
      </c>
      <c r="C17" s="6"/>
      <c r="D17" s="6"/>
      <c r="E17" s="6"/>
      <c r="F17" s="11" t="s">
        <v>373</v>
      </c>
      <c r="G17" s="11"/>
      <c r="H17" s="11"/>
      <c r="I17" s="11"/>
      <c r="J17" s="11"/>
      <c r="K17" s="11"/>
      <c r="L17" s="11"/>
    </row>
    <row r="20" spans="1:12" ht="15" customHeight="1" x14ac:dyDescent="0.25">
      <c r="A20" s="14" t="s">
        <v>374</v>
      </c>
      <c r="B20" s="14"/>
      <c r="C20" s="14"/>
      <c r="D20" s="14"/>
      <c r="E20" s="14"/>
      <c r="F20" s="14"/>
      <c r="G20" s="14"/>
      <c r="H20" s="14"/>
      <c r="I20" s="14"/>
      <c r="J20" s="14"/>
      <c r="K20" s="14"/>
      <c r="L20" s="14"/>
    </row>
    <row r="21" spans="1:12" x14ac:dyDescent="0.25">
      <c r="A21" s="15" t="s">
        <v>158</v>
      </c>
      <c r="B21" s="15" t="s">
        <v>159</v>
      </c>
      <c r="C21" s="15" t="s">
        <v>160</v>
      </c>
      <c r="D21" s="15" t="s">
        <v>22</v>
      </c>
      <c r="E21" s="15" t="s">
        <v>161</v>
      </c>
      <c r="F21" s="15" t="s">
        <v>162</v>
      </c>
      <c r="G21" s="15" t="s">
        <v>186</v>
      </c>
      <c r="H21" s="15" t="s">
        <v>375</v>
      </c>
      <c r="I21" s="15" t="s">
        <v>376</v>
      </c>
      <c r="J21" s="15" t="s">
        <v>165</v>
      </c>
    </row>
    <row r="22" spans="1:12" ht="15" customHeight="1" x14ac:dyDescent="0.25">
      <c r="A22" s="48" t="s">
        <v>85</v>
      </c>
      <c r="B22" s="49">
        <v>417</v>
      </c>
      <c r="C22" s="49">
        <v>405</v>
      </c>
      <c r="D22" s="49">
        <v>399</v>
      </c>
      <c r="E22" s="50">
        <f>C22-B22</f>
        <v>-12</v>
      </c>
      <c r="F22" s="50">
        <f>D22-C22</f>
        <v>-6</v>
      </c>
      <c r="G22" s="49">
        <v>13000</v>
      </c>
      <c r="H22" s="54">
        <v>5187000</v>
      </c>
      <c r="I22" s="81">
        <v>0.90792928408892004</v>
      </c>
      <c r="J22" s="12" t="s">
        <v>180</v>
      </c>
      <c r="K22" s="12"/>
      <c r="L22" s="12"/>
    </row>
    <row r="23" spans="1:12" ht="15" customHeight="1" x14ac:dyDescent="0.25">
      <c r="A23" s="23" t="s">
        <v>89</v>
      </c>
      <c r="B23" s="82">
        <v>0</v>
      </c>
      <c r="C23" s="82">
        <v>46</v>
      </c>
      <c r="D23" s="82">
        <v>79</v>
      </c>
      <c r="E23" s="51">
        <f>C23-B23</f>
        <v>46</v>
      </c>
      <c r="F23" s="51">
        <f>D23-C23</f>
        <v>33</v>
      </c>
      <c r="G23" s="82">
        <v>6650</v>
      </c>
      <c r="H23" s="56">
        <v>525350</v>
      </c>
      <c r="I23" s="83">
        <v>9.1956940311570104E-2</v>
      </c>
      <c r="J23" s="2" t="s">
        <v>377</v>
      </c>
      <c r="K23" s="2"/>
      <c r="L23" s="2"/>
    </row>
    <row r="24" spans="1:12" x14ac:dyDescent="0.25">
      <c r="A24" s="34" t="s">
        <v>378</v>
      </c>
      <c r="B24" s="52">
        <f>SUM(B22:B23)</f>
        <v>417</v>
      </c>
      <c r="C24" s="52">
        <f>SUM(C22:C23)</f>
        <v>451</v>
      </c>
      <c r="D24" s="52">
        <f>SUM(D22:D23)</f>
        <v>478</v>
      </c>
      <c r="E24" s="57"/>
      <c r="F24" s="57"/>
      <c r="G24" s="57"/>
      <c r="H24" s="49">
        <v>5713000</v>
      </c>
      <c r="I24" s="74" t="s">
        <v>379</v>
      </c>
      <c r="J24" s="57"/>
      <c r="K24" s="57"/>
      <c r="L24" s="57"/>
    </row>
    <row r="26" spans="1:12" ht="15" customHeight="1" x14ac:dyDescent="0.25">
      <c r="A26" s="14" t="s">
        <v>380</v>
      </c>
      <c r="B26" s="14"/>
      <c r="C26" s="14"/>
      <c r="D26" s="14"/>
      <c r="E26" s="14"/>
      <c r="F26" s="14"/>
      <c r="G26" s="14"/>
      <c r="H26" s="14"/>
      <c r="I26" s="14"/>
      <c r="J26" s="14"/>
      <c r="K26" s="14"/>
      <c r="L26" s="14"/>
    </row>
    <row r="27" spans="1:12" ht="25.5" x14ac:dyDescent="0.25">
      <c r="A27" s="15" t="s">
        <v>158</v>
      </c>
      <c r="B27" s="15" t="s">
        <v>248</v>
      </c>
      <c r="C27" s="15" t="s">
        <v>250</v>
      </c>
      <c r="D27" s="15" t="s">
        <v>184</v>
      </c>
      <c r="E27" s="15" t="s">
        <v>177</v>
      </c>
      <c r="F27" s="15" t="s">
        <v>18</v>
      </c>
      <c r="G27" s="15" t="s">
        <v>178</v>
      </c>
      <c r="H27" s="15" t="s">
        <v>381</v>
      </c>
      <c r="I27" s="15" t="s">
        <v>382</v>
      </c>
      <c r="J27" s="15" t="s">
        <v>253</v>
      </c>
      <c r="K27" s="15" t="s">
        <v>254</v>
      </c>
      <c r="L27" s="15" t="s">
        <v>314</v>
      </c>
    </row>
    <row r="28" spans="1:12" x14ac:dyDescent="0.25">
      <c r="A28" s="34" t="s">
        <v>383</v>
      </c>
      <c r="B28" s="36">
        <v>4328</v>
      </c>
      <c r="C28" s="36">
        <v>4373</v>
      </c>
      <c r="D28" s="36">
        <v>4560</v>
      </c>
      <c r="E28" s="25">
        <f>(C28-B28)/B28</f>
        <v>1.0397412199630314E-2</v>
      </c>
      <c r="F28" s="25">
        <f>(D28-C28)/C28</f>
        <v>4.2762405671163961E-2</v>
      </c>
      <c r="G28" s="57"/>
      <c r="H28" s="57"/>
      <c r="I28" s="57"/>
      <c r="J28" s="57"/>
      <c r="K28" s="57"/>
      <c r="L28" s="57"/>
    </row>
    <row r="29" spans="1:12" ht="24" x14ac:dyDescent="0.25">
      <c r="A29" s="48" t="s">
        <v>85</v>
      </c>
      <c r="B29" s="30">
        <v>4328</v>
      </c>
      <c r="C29" s="30">
        <v>4196</v>
      </c>
      <c r="D29" s="30">
        <v>4247</v>
      </c>
      <c r="E29" s="63">
        <f>(C29-B29)/B29</f>
        <v>-3.0499075785582256E-2</v>
      </c>
      <c r="F29" s="63">
        <f>(D29-C29)/C29</f>
        <v>1.215443279313632E-2</v>
      </c>
      <c r="G29" s="63">
        <f>(D29/B29)^(1/2)-1</f>
        <v>-9.4018685457429862E-3</v>
      </c>
      <c r="H29" s="64">
        <v>10.378896882494001</v>
      </c>
      <c r="I29" s="64">
        <v>10.3604938271605</v>
      </c>
      <c r="J29" s="64">
        <v>10.644110275689201</v>
      </c>
      <c r="K29" s="65">
        <v>8187.7771351455604</v>
      </c>
      <c r="L29" s="33" t="s">
        <v>384</v>
      </c>
    </row>
    <row r="30" spans="1:12" ht="24" x14ac:dyDescent="0.25">
      <c r="A30" s="23" t="s">
        <v>89</v>
      </c>
      <c r="B30" s="24">
        <v>0</v>
      </c>
      <c r="C30" s="24">
        <v>177</v>
      </c>
      <c r="D30" s="24">
        <v>313</v>
      </c>
      <c r="E30" s="25">
        <f>0</f>
        <v>0</v>
      </c>
      <c r="F30" s="25">
        <f>(D30-C30)/C30</f>
        <v>0.76836158192090398</v>
      </c>
      <c r="G30" s="25">
        <f>0</f>
        <v>0</v>
      </c>
      <c r="H30" s="68"/>
      <c r="I30" s="68">
        <v>3.8478260869565202</v>
      </c>
      <c r="J30" s="68">
        <v>3.9620253164557</v>
      </c>
      <c r="K30" s="69">
        <v>5957.9328067002998</v>
      </c>
      <c r="L30" s="42" t="s">
        <v>385</v>
      </c>
    </row>
    <row r="35" spans="1:5" s="110" customFormat="1" x14ac:dyDescent="0.25">
      <c r="A35" s="15" t="s">
        <v>793</v>
      </c>
    </row>
    <row r="37" spans="1:5" x14ac:dyDescent="0.25">
      <c r="A37" t="s">
        <v>796</v>
      </c>
      <c r="B37">
        <v>4560</v>
      </c>
    </row>
    <row r="38" spans="1:5" x14ac:dyDescent="0.25">
      <c r="A38" t="s">
        <v>794</v>
      </c>
      <c r="B38">
        <v>478</v>
      </c>
    </row>
    <row r="39" spans="1:5" x14ac:dyDescent="0.25">
      <c r="A39" t="s">
        <v>750</v>
      </c>
      <c r="B39" s="107">
        <f>B37/B38</f>
        <v>9.539748953974895</v>
      </c>
    </row>
    <row r="40" spans="1:5" x14ac:dyDescent="0.25">
      <c r="B40" s="107"/>
    </row>
    <row r="42" spans="1:5" x14ac:dyDescent="0.25">
      <c r="A42" s="112" t="s">
        <v>158</v>
      </c>
      <c r="B42" s="112" t="s">
        <v>764</v>
      </c>
      <c r="C42" s="112" t="s">
        <v>739</v>
      </c>
      <c r="D42" s="112" t="s">
        <v>750</v>
      </c>
      <c r="E42" s="112" t="s">
        <v>788</v>
      </c>
    </row>
    <row r="43" spans="1:5" x14ac:dyDescent="0.25">
      <c r="A43" s="117" t="s">
        <v>795</v>
      </c>
      <c r="B43" s="118">
        <f>B37-B44</f>
        <v>753.64016736401709</v>
      </c>
      <c r="C43" s="119">
        <f>D23</f>
        <v>79</v>
      </c>
      <c r="D43" s="116">
        <f>B43/C43</f>
        <v>9.5397489539749003</v>
      </c>
      <c r="E43" s="120">
        <v>1</v>
      </c>
    </row>
    <row r="44" spans="1:5" x14ac:dyDescent="0.25">
      <c r="A44" s="117" t="s">
        <v>85</v>
      </c>
      <c r="B44" s="118">
        <f t="shared" ref="B44" si="0">C44*D44</f>
        <v>3806.3598326359829</v>
      </c>
      <c r="C44" s="119">
        <f>D22</f>
        <v>399</v>
      </c>
      <c r="D44" s="116">
        <f>$B$39*E44</f>
        <v>9.539748953974895</v>
      </c>
      <c r="E44" s="120">
        <v>1</v>
      </c>
    </row>
    <row r="45" spans="1:5" x14ac:dyDescent="0.25">
      <c r="A45" s="117"/>
      <c r="B45" s="118"/>
      <c r="C45" s="119"/>
      <c r="D45" s="116"/>
      <c r="E45" s="120"/>
    </row>
    <row r="46" spans="1:5" x14ac:dyDescent="0.25">
      <c r="A46" s="117"/>
      <c r="B46" s="118"/>
      <c r="C46" s="119"/>
      <c r="D46" s="116"/>
      <c r="E46" s="120"/>
    </row>
    <row r="47" spans="1:5" x14ac:dyDescent="0.25">
      <c r="A47" s="117"/>
      <c r="B47" s="118"/>
      <c r="C47" s="119"/>
      <c r="D47" s="116"/>
      <c r="E47" s="120"/>
    </row>
    <row r="48" spans="1:5" x14ac:dyDescent="0.25">
      <c r="A48" s="117"/>
      <c r="B48" s="118"/>
      <c r="C48" s="119"/>
      <c r="D48" s="116"/>
      <c r="E48" s="120"/>
    </row>
  </sheetData>
  <mergeCells count="33">
    <mergeCell ref="A20:L20"/>
    <mergeCell ref="J22:L22"/>
    <mergeCell ref="J23:L23"/>
    <mergeCell ref="A26:L26"/>
    <mergeCell ref="B15:E15"/>
    <mergeCell ref="F15:L15"/>
    <mergeCell ref="B16:E16"/>
    <mergeCell ref="F16:L16"/>
    <mergeCell ref="B17:E17"/>
    <mergeCell ref="F17:L17"/>
    <mergeCell ref="B12:E12"/>
    <mergeCell ref="F12:L12"/>
    <mergeCell ref="B13:E13"/>
    <mergeCell ref="F13:L13"/>
    <mergeCell ref="B14:E14"/>
    <mergeCell ref="F14:L14"/>
    <mergeCell ref="B9:E9"/>
    <mergeCell ref="F9:L9"/>
    <mergeCell ref="B10:E10"/>
    <mergeCell ref="F10:L10"/>
    <mergeCell ref="B11:E11"/>
    <mergeCell ref="F11:L11"/>
    <mergeCell ref="B6:E6"/>
    <mergeCell ref="F6:L6"/>
    <mergeCell ref="B7:E7"/>
    <mergeCell ref="F7:L7"/>
    <mergeCell ref="B8:E8"/>
    <mergeCell ref="F8:L8"/>
    <mergeCell ref="A1:L1"/>
    <mergeCell ref="A2:L2"/>
    <mergeCell ref="A4:L4"/>
    <mergeCell ref="B5:E5"/>
    <mergeCell ref="F5:L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2"/>
  <sheetViews>
    <sheetView tabSelected="1" zoomScaleNormal="100" workbookViewId="0">
      <pane xSplit="1" ySplit="4" topLeftCell="B25" activePane="bottomRight" state="frozen"/>
      <selection sqref="A1:P1"/>
      <selection pane="topRight" sqref="A1:P1"/>
      <selection pane="bottomLeft" sqref="A1:P1"/>
      <selection pane="bottomRight" activeCell="B72" sqref="B72"/>
    </sheetView>
  </sheetViews>
  <sheetFormatPr defaultColWidth="8.7109375" defaultRowHeight="15" x14ac:dyDescent="0.25"/>
  <cols>
    <col min="1" max="1" width="30" customWidth="1"/>
    <col min="2" max="2" width="16" customWidth="1"/>
    <col min="3" max="3" width="17.42578125" bestFit="1" customWidth="1"/>
    <col min="4" max="4" width="18.28515625" bestFit="1" customWidth="1"/>
    <col min="5" max="5" width="12.42578125" bestFit="1" customWidth="1"/>
    <col min="6" max="6" width="14" customWidth="1"/>
    <col min="7" max="8" width="16" customWidth="1"/>
    <col min="9" max="9" width="12" customWidth="1"/>
    <col min="10" max="10" width="16" customWidth="1"/>
    <col min="11" max="11" width="36" customWidth="1"/>
    <col min="12" max="12" width="20" customWidth="1"/>
  </cols>
  <sheetData>
    <row r="1" spans="1:12" ht="15" customHeight="1" x14ac:dyDescent="0.25">
      <c r="A1" s="14" t="s">
        <v>386</v>
      </c>
      <c r="B1" s="14"/>
      <c r="C1" s="14"/>
      <c r="D1" s="14"/>
      <c r="E1" s="14"/>
      <c r="F1" s="14"/>
      <c r="G1" s="14"/>
      <c r="H1" s="14"/>
      <c r="I1" s="14"/>
      <c r="J1" s="14"/>
      <c r="K1" s="14"/>
      <c r="L1" s="14"/>
    </row>
    <row r="2" spans="1:12" ht="15" customHeight="1" x14ac:dyDescent="0.25">
      <c r="A2" s="13" t="s">
        <v>387</v>
      </c>
      <c r="B2" s="13"/>
      <c r="C2" s="13"/>
      <c r="D2" s="13"/>
      <c r="E2" s="13"/>
      <c r="F2" s="13"/>
      <c r="G2" s="13"/>
      <c r="H2" s="13"/>
      <c r="I2" s="13"/>
      <c r="J2" s="13"/>
      <c r="K2" s="13"/>
      <c r="L2" s="13"/>
    </row>
    <row r="4" spans="1:12" ht="15" customHeight="1" x14ac:dyDescent="0.25">
      <c r="A4" s="14" t="s">
        <v>388</v>
      </c>
      <c r="B4" s="14"/>
      <c r="C4" s="14"/>
      <c r="D4" s="14"/>
      <c r="E4" s="14"/>
      <c r="F4" s="14"/>
      <c r="G4" s="14"/>
      <c r="H4" s="14"/>
      <c r="I4" s="14"/>
      <c r="J4" s="14"/>
      <c r="K4" s="14"/>
      <c r="L4" s="14"/>
    </row>
    <row r="5" spans="1:12" ht="15" customHeight="1" x14ac:dyDescent="0.25">
      <c r="A5" s="29" t="s">
        <v>389</v>
      </c>
      <c r="B5" s="6" t="s">
        <v>390</v>
      </c>
      <c r="C5" s="6"/>
      <c r="D5" s="6"/>
      <c r="E5" s="6"/>
      <c r="F5" s="12" t="s">
        <v>391</v>
      </c>
      <c r="G5" s="12"/>
      <c r="H5" s="12"/>
      <c r="I5" s="12"/>
      <c r="J5" s="12"/>
      <c r="K5" s="12"/>
      <c r="L5" s="12"/>
    </row>
    <row r="6" spans="1:12" ht="15" customHeight="1" x14ac:dyDescent="0.25">
      <c r="A6" s="22" t="s">
        <v>392</v>
      </c>
      <c r="B6" s="5" t="s">
        <v>393</v>
      </c>
      <c r="C6" s="5"/>
      <c r="D6" s="5"/>
      <c r="E6" s="5"/>
      <c r="F6" s="11" t="s">
        <v>394</v>
      </c>
      <c r="G6" s="11"/>
      <c r="H6" s="11"/>
      <c r="I6" s="11"/>
      <c r="J6" s="11"/>
      <c r="K6" s="11"/>
      <c r="L6" s="11"/>
    </row>
    <row r="7" spans="1:12" ht="15" customHeight="1" x14ac:dyDescent="0.25">
      <c r="A7" s="29" t="s">
        <v>395</v>
      </c>
      <c r="B7" s="5" t="s">
        <v>396</v>
      </c>
      <c r="C7" s="5"/>
      <c r="D7" s="5"/>
      <c r="E7" s="5"/>
      <c r="F7" s="11" t="s">
        <v>397</v>
      </c>
      <c r="G7" s="11"/>
      <c r="H7" s="11"/>
      <c r="I7" s="11"/>
      <c r="J7" s="11"/>
      <c r="K7" s="11"/>
      <c r="L7" s="11"/>
    </row>
    <row r="8" spans="1:12" ht="23.85" customHeight="1" x14ac:dyDescent="0.25">
      <c r="A8" s="22" t="s">
        <v>398</v>
      </c>
      <c r="B8" s="6" t="s">
        <v>399</v>
      </c>
      <c r="C8" s="6"/>
      <c r="D8" s="6"/>
      <c r="E8" s="6"/>
      <c r="F8" s="12" t="s">
        <v>400</v>
      </c>
      <c r="G8" s="12"/>
      <c r="H8" s="12"/>
      <c r="I8" s="12"/>
      <c r="J8" s="12"/>
      <c r="K8" s="12"/>
      <c r="L8" s="12"/>
    </row>
    <row r="9" spans="1:12" ht="23.85" customHeight="1" x14ac:dyDescent="0.25">
      <c r="A9" s="29" t="s">
        <v>401</v>
      </c>
      <c r="B9" s="6" t="s">
        <v>402</v>
      </c>
      <c r="C9" s="6"/>
      <c r="D9" s="6"/>
      <c r="E9" s="6"/>
      <c r="F9" s="12" t="s">
        <v>400</v>
      </c>
      <c r="G9" s="12"/>
      <c r="H9" s="12"/>
      <c r="I9" s="12"/>
      <c r="J9" s="12"/>
      <c r="K9" s="12"/>
      <c r="L9" s="12"/>
    </row>
    <row r="10" spans="1:12" ht="15" customHeight="1" x14ac:dyDescent="0.25">
      <c r="A10" s="22" t="s">
        <v>403</v>
      </c>
      <c r="B10" s="6" t="s">
        <v>404</v>
      </c>
      <c r="C10" s="6"/>
      <c r="D10" s="6"/>
      <c r="E10" s="6"/>
      <c r="F10" s="12" t="s">
        <v>400</v>
      </c>
      <c r="G10" s="12"/>
      <c r="H10" s="12"/>
      <c r="I10" s="12"/>
      <c r="J10" s="12"/>
      <c r="K10" s="12"/>
      <c r="L10" s="12"/>
    </row>
    <row r="11" spans="1:12" ht="15" customHeight="1" x14ac:dyDescent="0.25">
      <c r="A11" s="29" t="s">
        <v>405</v>
      </c>
      <c r="B11" s="6" t="s">
        <v>406</v>
      </c>
      <c r="C11" s="6"/>
      <c r="D11" s="6"/>
      <c r="E11" s="6"/>
      <c r="F11" s="12" t="s">
        <v>400</v>
      </c>
      <c r="G11" s="12"/>
      <c r="H11" s="12"/>
      <c r="I11" s="12"/>
      <c r="J11" s="12"/>
      <c r="K11" s="12"/>
      <c r="L11" s="12"/>
    </row>
    <row r="12" spans="1:12" ht="15" customHeight="1" x14ac:dyDescent="0.25">
      <c r="A12" s="22" t="s">
        <v>407</v>
      </c>
      <c r="B12" s="6" t="s">
        <v>408</v>
      </c>
      <c r="C12" s="6"/>
      <c r="D12" s="6"/>
      <c r="E12" s="6"/>
      <c r="F12" s="12" t="s">
        <v>409</v>
      </c>
      <c r="G12" s="12"/>
      <c r="H12" s="12"/>
      <c r="I12" s="12"/>
      <c r="J12" s="12"/>
      <c r="K12" s="12"/>
      <c r="L12" s="12"/>
    </row>
    <row r="13" spans="1:12" ht="15" customHeight="1" x14ac:dyDescent="0.25">
      <c r="A13" s="29" t="s">
        <v>410</v>
      </c>
      <c r="B13" s="6" t="s">
        <v>411</v>
      </c>
      <c r="C13" s="6"/>
      <c r="D13" s="6"/>
      <c r="E13" s="6"/>
      <c r="F13" s="12" t="s">
        <v>409</v>
      </c>
      <c r="G13" s="12"/>
      <c r="H13" s="12"/>
      <c r="I13" s="12"/>
      <c r="J13" s="12"/>
      <c r="K13" s="12"/>
      <c r="L13" s="12"/>
    </row>
    <row r="14" spans="1:12" ht="15" customHeight="1" x14ac:dyDescent="0.25">
      <c r="A14" s="22" t="s">
        <v>412</v>
      </c>
      <c r="B14" s="6" t="s">
        <v>413</v>
      </c>
      <c r="C14" s="6"/>
      <c r="D14" s="6"/>
      <c r="E14" s="6"/>
      <c r="F14" s="12" t="s">
        <v>409</v>
      </c>
      <c r="G14" s="12"/>
      <c r="H14" s="12"/>
      <c r="I14" s="12"/>
      <c r="J14" s="12"/>
      <c r="K14" s="12"/>
      <c r="L14" s="12"/>
    </row>
    <row r="15" spans="1:12" ht="15" customHeight="1" x14ac:dyDescent="0.25">
      <c r="A15" s="29" t="s">
        <v>414</v>
      </c>
      <c r="B15" s="6" t="s">
        <v>415</v>
      </c>
      <c r="C15" s="6"/>
      <c r="D15" s="6"/>
      <c r="E15" s="6"/>
      <c r="F15" s="12" t="s">
        <v>416</v>
      </c>
      <c r="G15" s="12"/>
      <c r="H15" s="12"/>
      <c r="I15" s="12"/>
      <c r="J15" s="12"/>
      <c r="K15" s="12"/>
      <c r="L15" s="12"/>
    </row>
    <row r="16" spans="1:12" ht="15" customHeight="1" x14ac:dyDescent="0.25">
      <c r="A16" s="22" t="s">
        <v>417</v>
      </c>
      <c r="B16" s="6" t="s">
        <v>418</v>
      </c>
      <c r="C16" s="6"/>
      <c r="D16" s="6"/>
      <c r="E16" s="6"/>
      <c r="F16" s="12" t="s">
        <v>419</v>
      </c>
      <c r="G16" s="12"/>
      <c r="H16" s="12"/>
      <c r="I16" s="12"/>
      <c r="J16" s="12"/>
      <c r="K16" s="12"/>
      <c r="L16" s="12"/>
    </row>
    <row r="17" spans="1:12" ht="15" customHeight="1" x14ac:dyDescent="0.25">
      <c r="A17" s="29" t="s">
        <v>420</v>
      </c>
      <c r="B17" s="5" t="s">
        <v>421</v>
      </c>
      <c r="C17" s="5"/>
      <c r="D17" s="5"/>
      <c r="E17" s="5"/>
      <c r="F17" s="11" t="s">
        <v>422</v>
      </c>
      <c r="G17" s="11"/>
      <c r="H17" s="11"/>
      <c r="I17" s="11"/>
      <c r="J17" s="11"/>
      <c r="K17" s="11"/>
      <c r="L17" s="11"/>
    </row>
    <row r="18" spans="1:12" ht="15" customHeight="1" x14ac:dyDescent="0.25">
      <c r="A18" s="22" t="s">
        <v>423</v>
      </c>
      <c r="B18" s="5" t="s">
        <v>424</v>
      </c>
      <c r="C18" s="5"/>
      <c r="D18" s="5"/>
      <c r="E18" s="5"/>
      <c r="F18" s="11" t="s">
        <v>425</v>
      </c>
      <c r="G18" s="11"/>
      <c r="H18" s="11"/>
      <c r="I18" s="11"/>
      <c r="J18" s="11"/>
      <c r="K18" s="11"/>
      <c r="L18" s="11"/>
    </row>
    <row r="19" spans="1:12" ht="15" customHeight="1" x14ac:dyDescent="0.25">
      <c r="A19" s="29" t="s">
        <v>426</v>
      </c>
      <c r="B19" s="5" t="s">
        <v>427</v>
      </c>
      <c r="C19" s="5"/>
      <c r="D19" s="5"/>
      <c r="E19" s="5"/>
      <c r="F19" s="11" t="s">
        <v>425</v>
      </c>
      <c r="G19" s="11"/>
      <c r="H19" s="11"/>
      <c r="I19" s="11"/>
      <c r="J19" s="11"/>
      <c r="K19" s="11"/>
      <c r="L19" s="11"/>
    </row>
    <row r="20" spans="1:12" ht="15" customHeight="1" x14ac:dyDescent="0.25">
      <c r="A20" s="22" t="s">
        <v>428</v>
      </c>
      <c r="B20" s="6" t="s">
        <v>429</v>
      </c>
      <c r="C20" s="6"/>
      <c r="D20" s="6"/>
      <c r="E20" s="6"/>
      <c r="F20" s="12" t="s">
        <v>430</v>
      </c>
      <c r="G20" s="12"/>
      <c r="H20" s="12"/>
      <c r="I20" s="12"/>
      <c r="J20" s="12"/>
      <c r="K20" s="12"/>
      <c r="L20" s="12"/>
    </row>
    <row r="23" spans="1:12" ht="15" customHeight="1" x14ac:dyDescent="0.25">
      <c r="A23" s="14" t="s">
        <v>311</v>
      </c>
      <c r="B23" s="14"/>
      <c r="C23" s="14"/>
      <c r="D23" s="14"/>
      <c r="E23" s="14"/>
      <c r="F23" s="14"/>
      <c r="G23" s="14"/>
      <c r="H23" s="14"/>
      <c r="I23" s="14"/>
      <c r="J23" s="14"/>
      <c r="K23" s="14"/>
      <c r="L23" s="14"/>
    </row>
    <row r="24" spans="1:12" ht="38.25" x14ac:dyDescent="0.25">
      <c r="A24" s="15" t="s">
        <v>431</v>
      </c>
      <c r="B24" s="15" t="s">
        <v>432</v>
      </c>
      <c r="C24" s="15" t="s">
        <v>186</v>
      </c>
      <c r="D24" s="15" t="s">
        <v>433</v>
      </c>
      <c r="E24" s="15" t="s">
        <v>434</v>
      </c>
      <c r="F24" s="15" t="s">
        <v>435</v>
      </c>
      <c r="G24" s="15" t="s">
        <v>314</v>
      </c>
    </row>
    <row r="25" spans="1:12" ht="23.85" customHeight="1" x14ac:dyDescent="0.25">
      <c r="A25" s="48" t="s">
        <v>436</v>
      </c>
      <c r="B25" s="54">
        <v>131</v>
      </c>
      <c r="C25" s="29" t="s">
        <v>437</v>
      </c>
      <c r="D25" s="81">
        <v>0.150747986191024</v>
      </c>
      <c r="E25" s="84" t="s">
        <v>438</v>
      </c>
      <c r="F25" s="29" t="s">
        <v>439</v>
      </c>
      <c r="G25" s="8" t="s">
        <v>440</v>
      </c>
      <c r="H25" s="8"/>
      <c r="I25" s="8"/>
      <c r="J25" s="8"/>
      <c r="K25" s="8"/>
      <c r="L25" s="8"/>
    </row>
    <row r="26" spans="1:12" ht="15" customHeight="1" x14ac:dyDescent="0.25">
      <c r="A26" s="23" t="s">
        <v>441</v>
      </c>
      <c r="B26" s="56">
        <v>511</v>
      </c>
      <c r="C26" s="22" t="s">
        <v>442</v>
      </c>
      <c r="D26" s="83">
        <v>0.58803222094361296</v>
      </c>
      <c r="E26" s="84" t="s">
        <v>443</v>
      </c>
      <c r="F26" s="85" t="s">
        <v>444</v>
      </c>
      <c r="G26" s="7" t="s">
        <v>445</v>
      </c>
      <c r="H26" s="7"/>
      <c r="I26" s="7"/>
      <c r="J26" s="7"/>
      <c r="K26" s="7"/>
      <c r="L26" s="7"/>
    </row>
    <row r="27" spans="1:12" ht="15" customHeight="1" x14ac:dyDescent="0.25">
      <c r="A27" s="48" t="s">
        <v>108</v>
      </c>
      <c r="B27" s="54">
        <v>118</v>
      </c>
      <c r="C27" s="29" t="s">
        <v>446</v>
      </c>
      <c r="D27" s="81">
        <v>0.13578826237054101</v>
      </c>
      <c r="E27" s="84" t="s">
        <v>447</v>
      </c>
      <c r="F27" s="29" t="s">
        <v>448</v>
      </c>
      <c r="G27" s="8" t="s">
        <v>449</v>
      </c>
      <c r="H27" s="8"/>
      <c r="I27" s="8"/>
      <c r="J27" s="8"/>
      <c r="K27" s="8"/>
      <c r="L27" s="8"/>
    </row>
    <row r="28" spans="1:12" ht="23.85" customHeight="1" x14ac:dyDescent="0.25">
      <c r="A28" s="23" t="s">
        <v>111</v>
      </c>
      <c r="B28" s="56">
        <v>65</v>
      </c>
      <c r="C28" s="22" t="s">
        <v>450</v>
      </c>
      <c r="D28" s="83">
        <v>7.47986191024166E-2</v>
      </c>
      <c r="E28" s="84" t="s">
        <v>451</v>
      </c>
      <c r="F28" s="22" t="s">
        <v>452</v>
      </c>
      <c r="G28" s="7" t="s">
        <v>453</v>
      </c>
      <c r="H28" s="7"/>
      <c r="I28" s="7"/>
      <c r="J28" s="7"/>
      <c r="K28" s="7"/>
      <c r="L28" s="7"/>
    </row>
    <row r="29" spans="1:12" ht="15" customHeight="1" x14ac:dyDescent="0.25">
      <c r="A29" s="48" t="s">
        <v>454</v>
      </c>
      <c r="B29" s="54">
        <v>-45</v>
      </c>
      <c r="C29" s="29" t="s">
        <v>36</v>
      </c>
      <c r="D29" s="81">
        <v>5.0632911392405097E-2</v>
      </c>
      <c r="E29" s="84" t="s">
        <v>455</v>
      </c>
      <c r="F29" s="29" t="s">
        <v>36</v>
      </c>
      <c r="G29" s="8" t="s">
        <v>456</v>
      </c>
      <c r="H29" s="8"/>
      <c r="I29" s="8"/>
      <c r="J29" s="8"/>
      <c r="K29" s="8"/>
      <c r="L29" s="8"/>
    </row>
    <row r="31" spans="1:12" ht="15" customHeight="1" x14ac:dyDescent="0.25">
      <c r="A31" s="14" t="s">
        <v>457</v>
      </c>
      <c r="B31" s="14"/>
      <c r="C31" s="14"/>
      <c r="D31" s="14"/>
      <c r="E31" s="14"/>
      <c r="F31" s="14"/>
      <c r="G31" s="14"/>
      <c r="H31" s="14"/>
      <c r="I31" s="14"/>
      <c r="J31" s="14"/>
      <c r="K31" s="14"/>
      <c r="L31" s="14"/>
    </row>
    <row r="32" spans="1:12" ht="25.5" x14ac:dyDescent="0.25">
      <c r="A32" s="15" t="s">
        <v>431</v>
      </c>
      <c r="B32" s="15" t="s">
        <v>248</v>
      </c>
      <c r="C32" s="15" t="s">
        <v>249</v>
      </c>
      <c r="D32" s="15" t="s">
        <v>250</v>
      </c>
      <c r="E32" s="15" t="s">
        <v>251</v>
      </c>
      <c r="F32" s="15" t="s">
        <v>458</v>
      </c>
      <c r="G32" s="15" t="s">
        <v>381</v>
      </c>
      <c r="H32" s="15" t="s">
        <v>382</v>
      </c>
      <c r="I32" s="15" t="s">
        <v>432</v>
      </c>
      <c r="J32" s="15" t="s">
        <v>459</v>
      </c>
      <c r="K32" s="15" t="s">
        <v>460</v>
      </c>
      <c r="L32" s="15" t="s">
        <v>165</v>
      </c>
    </row>
    <row r="33" spans="1:12" ht="22.35" customHeight="1" x14ac:dyDescent="0.25">
      <c r="A33" s="34" t="s">
        <v>115</v>
      </c>
      <c r="B33" s="36">
        <v>11239</v>
      </c>
      <c r="C33" s="57"/>
      <c r="D33" s="40">
        <v>11619</v>
      </c>
      <c r="E33" s="57"/>
      <c r="F33" s="59">
        <f t="shared" ref="F33:F38" si="0">(D33-B33)/B33</f>
        <v>3.3810837263101697E-2</v>
      </c>
      <c r="G33" s="57"/>
      <c r="H33" s="57"/>
      <c r="I33" s="57"/>
      <c r="J33" s="57"/>
      <c r="K33" s="12" t="s">
        <v>461</v>
      </c>
      <c r="L33" s="12"/>
    </row>
    <row r="34" spans="1:12" x14ac:dyDescent="0.25">
      <c r="A34" s="48" t="s">
        <v>96</v>
      </c>
      <c r="B34" s="36">
        <v>4608</v>
      </c>
      <c r="C34" s="81">
        <v>0.41</v>
      </c>
      <c r="D34" s="36">
        <v>4764</v>
      </c>
      <c r="E34" s="81">
        <v>0.41</v>
      </c>
      <c r="F34" s="63">
        <f t="shared" si="0"/>
        <v>3.3854166666666664E-2</v>
      </c>
      <c r="G34" s="86">
        <v>35.175572519084</v>
      </c>
      <c r="H34" s="86">
        <v>36.366412213740503</v>
      </c>
      <c r="I34" s="54">
        <v>131</v>
      </c>
      <c r="J34" s="65">
        <v>14070.229007633599</v>
      </c>
      <c r="K34" s="28" t="s">
        <v>462</v>
      </c>
      <c r="L34" s="28" t="s">
        <v>463</v>
      </c>
    </row>
    <row r="35" spans="1:12" ht="24" x14ac:dyDescent="0.25">
      <c r="A35" s="23" t="s">
        <v>101</v>
      </c>
      <c r="B35" s="36">
        <v>4855</v>
      </c>
      <c r="C35" s="83">
        <v>0.432</v>
      </c>
      <c r="D35" s="36">
        <v>5019</v>
      </c>
      <c r="E35" s="83">
        <v>0.432</v>
      </c>
      <c r="F35" s="25">
        <f t="shared" si="0"/>
        <v>3.3779608650875384E-2</v>
      </c>
      <c r="G35" s="87">
        <v>9.5009784735812097</v>
      </c>
      <c r="H35" s="87">
        <v>9.8219178082191796</v>
      </c>
      <c r="I35" s="56">
        <v>511</v>
      </c>
      <c r="J35" s="69">
        <v>11876.223091976501</v>
      </c>
      <c r="K35" s="28" t="s">
        <v>464</v>
      </c>
      <c r="L35" s="28" t="s">
        <v>463</v>
      </c>
    </row>
    <row r="36" spans="1:12" ht="24" x14ac:dyDescent="0.25">
      <c r="A36" s="88" t="s">
        <v>465</v>
      </c>
      <c r="B36" s="40">
        <v>539.20000000000005</v>
      </c>
      <c r="C36" s="89"/>
      <c r="D36" s="40">
        <v>606.70000000000005</v>
      </c>
      <c r="E36" s="89"/>
      <c r="F36" s="90">
        <f t="shared" si="0"/>
        <v>0.1251854599406528</v>
      </c>
      <c r="G36" s="91">
        <v>9.4596491228070203</v>
      </c>
      <c r="H36" s="91">
        <v>10.643859649122801</v>
      </c>
      <c r="I36" s="92">
        <v>57</v>
      </c>
      <c r="J36" s="93"/>
      <c r="K36" s="72" t="s">
        <v>466</v>
      </c>
      <c r="L36" s="47" t="s">
        <v>467</v>
      </c>
    </row>
    <row r="37" spans="1:12" x14ac:dyDescent="0.25">
      <c r="A37" s="23" t="s">
        <v>108</v>
      </c>
      <c r="B37" s="36">
        <v>540</v>
      </c>
      <c r="C37" s="83">
        <v>4.8000000000000001E-2</v>
      </c>
      <c r="D37" s="36">
        <v>558</v>
      </c>
      <c r="E37" s="83">
        <v>4.8000000000000001E-2</v>
      </c>
      <c r="F37" s="25">
        <f t="shared" si="0"/>
        <v>3.3333333333333333E-2</v>
      </c>
      <c r="G37" s="87">
        <v>4.57627118644068</v>
      </c>
      <c r="H37" s="87">
        <v>4.7288135593220302</v>
      </c>
      <c r="I37" s="56">
        <v>118</v>
      </c>
      <c r="J37" s="69">
        <v>5867.0143415906095</v>
      </c>
      <c r="K37" s="28" t="s">
        <v>468</v>
      </c>
      <c r="L37" s="28" t="s">
        <v>463</v>
      </c>
    </row>
    <row r="38" spans="1:12" x14ac:dyDescent="0.25">
      <c r="A38" s="48" t="s">
        <v>111</v>
      </c>
      <c r="B38" s="36">
        <v>1236</v>
      </c>
      <c r="C38" s="81">
        <v>0.11</v>
      </c>
      <c r="D38" s="36">
        <v>1278</v>
      </c>
      <c r="E38" s="81">
        <v>0.11</v>
      </c>
      <c r="F38" s="63">
        <f t="shared" si="0"/>
        <v>3.3980582524271843E-2</v>
      </c>
      <c r="G38" s="86">
        <v>19.015384615384601</v>
      </c>
      <c r="H38" s="86">
        <v>19.661538461538498</v>
      </c>
      <c r="I38" s="54">
        <v>65</v>
      </c>
      <c r="J38" s="65">
        <v>9507.6923076923104</v>
      </c>
      <c r="K38" s="28" t="s">
        <v>469</v>
      </c>
      <c r="L38" s="28" t="s">
        <v>463</v>
      </c>
    </row>
    <row r="39" spans="1:12" ht="15" customHeight="1" x14ac:dyDescent="0.25">
      <c r="A39" s="34" t="s">
        <v>470</v>
      </c>
      <c r="B39" s="58">
        <v>11239</v>
      </c>
      <c r="C39" s="57"/>
      <c r="D39" s="58">
        <v>11619</v>
      </c>
      <c r="E39" s="57"/>
      <c r="F39" s="57"/>
      <c r="G39" s="57"/>
      <c r="H39" s="57"/>
      <c r="I39" s="57"/>
      <c r="J39" s="57"/>
      <c r="K39" s="12" t="s">
        <v>471</v>
      </c>
      <c r="L39" s="12"/>
    </row>
    <row r="40" spans="1:12" x14ac:dyDescent="0.25">
      <c r="A40" t="s">
        <v>805</v>
      </c>
      <c r="E40" s="115"/>
    </row>
    <row r="41" spans="1:12" x14ac:dyDescent="0.25">
      <c r="C41" t="s">
        <v>800</v>
      </c>
      <c r="D41" t="s">
        <v>801</v>
      </c>
      <c r="G41" t="s">
        <v>806</v>
      </c>
      <c r="H41" s="122">
        <v>4.9000000000000002E-2</v>
      </c>
    </row>
    <row r="42" spans="1:12" x14ac:dyDescent="0.25">
      <c r="B42" t="s">
        <v>812</v>
      </c>
      <c r="C42" t="s">
        <v>813</v>
      </c>
    </row>
    <row r="43" spans="1:12" x14ac:dyDescent="0.25">
      <c r="A43" t="s">
        <v>808</v>
      </c>
      <c r="B43" s="107">
        <f>B49*(0.48)</f>
        <v>5850.3988799999988</v>
      </c>
      <c r="C43">
        <f>C49*0.48</f>
        <v>5577.12</v>
      </c>
    </row>
    <row r="44" spans="1:12" x14ac:dyDescent="0.25">
      <c r="A44" t="s">
        <v>809</v>
      </c>
      <c r="B44" s="115">
        <f>E51+E52</f>
        <v>629</v>
      </c>
      <c r="C44" s="115">
        <v>629</v>
      </c>
    </row>
    <row r="45" spans="1:12" x14ac:dyDescent="0.25">
      <c r="A45" t="s">
        <v>810</v>
      </c>
      <c r="B45" s="107">
        <f>B43/B44</f>
        <v>9.30111109697933</v>
      </c>
      <c r="C45" s="107">
        <f>C43/C44</f>
        <v>8.86664546899841</v>
      </c>
    </row>
    <row r="46" spans="1:12" x14ac:dyDescent="0.25">
      <c r="B46" s="107"/>
    </row>
    <row r="47" spans="1:12" x14ac:dyDescent="0.25">
      <c r="B47" s="107"/>
    </row>
    <row r="48" spans="1:12" x14ac:dyDescent="0.25">
      <c r="A48" t="s">
        <v>797</v>
      </c>
      <c r="B48" t="s">
        <v>811</v>
      </c>
      <c r="C48" t="s">
        <v>799</v>
      </c>
      <c r="D48" t="s">
        <v>802</v>
      </c>
      <c r="E48" t="s">
        <v>803</v>
      </c>
      <c r="F48" t="s">
        <v>814</v>
      </c>
      <c r="G48" t="s">
        <v>788</v>
      </c>
    </row>
    <row r="49" spans="1:7" x14ac:dyDescent="0.25">
      <c r="A49" t="s">
        <v>807</v>
      </c>
      <c r="B49">
        <f>D33*(1+H41)</f>
        <v>12188.330999999998</v>
      </c>
      <c r="C49" s="121">
        <f>D33</f>
        <v>11619</v>
      </c>
      <c r="D49" s="106">
        <v>1</v>
      </c>
      <c r="E49">
        <v>874</v>
      </c>
    </row>
    <row r="50" spans="1:7" x14ac:dyDescent="0.25">
      <c r="A50" s="123" t="s">
        <v>798</v>
      </c>
      <c r="B50" s="124">
        <f>C50*(1+H41)</f>
        <v>4997.4359999999997</v>
      </c>
      <c r="C50" s="126">
        <f>D34</f>
        <v>4764</v>
      </c>
      <c r="D50" s="127">
        <f>E34</f>
        <v>0.41</v>
      </c>
      <c r="E50" s="125">
        <f>I34</f>
        <v>131</v>
      </c>
      <c r="F50" s="125">
        <f>B50/E50</f>
        <v>38.14836641221374</v>
      </c>
      <c r="G50" s="123"/>
    </row>
    <row r="51" spans="1:7" x14ac:dyDescent="0.25">
      <c r="A51" s="128" t="s">
        <v>804</v>
      </c>
      <c r="B51" s="129">
        <f>E51*F51</f>
        <v>4752.8677705564378</v>
      </c>
      <c r="C51" s="129">
        <f>$C$45*$E$51*$G$51</f>
        <v>4530.8558346581876</v>
      </c>
      <c r="D51" s="130">
        <f>B51/B49</f>
        <v>0.38995230524642288</v>
      </c>
      <c r="E51" s="131">
        <f>I35</f>
        <v>511</v>
      </c>
      <c r="F51" s="132">
        <f>$G$51*$B$45</f>
        <v>9.30111109697933</v>
      </c>
      <c r="G51" s="128">
        <v>1</v>
      </c>
    </row>
    <row r="52" spans="1:7" x14ac:dyDescent="0.25">
      <c r="A52" s="128" t="s">
        <v>108</v>
      </c>
      <c r="B52" s="129">
        <f>B43-B51</f>
        <v>1097.531109443561</v>
      </c>
      <c r="C52" s="132">
        <f>C43-C51</f>
        <v>1046.2641653418123</v>
      </c>
      <c r="D52" s="130">
        <f>B52/B49</f>
        <v>9.0047694753577101E-2</v>
      </c>
      <c r="E52" s="131">
        <f>I37</f>
        <v>118</v>
      </c>
      <c r="F52" s="132">
        <f>B52/E52</f>
        <v>9.30111109697933</v>
      </c>
      <c r="G52" s="128">
        <v>1</v>
      </c>
    </row>
  </sheetData>
  <mergeCells count="44">
    <mergeCell ref="G29:L29"/>
    <mergeCell ref="A31:L31"/>
    <mergeCell ref="K33:L33"/>
    <mergeCell ref="K39:L39"/>
    <mergeCell ref="A23:L23"/>
    <mergeCell ref="G25:L25"/>
    <mergeCell ref="G26:L26"/>
    <mergeCell ref="G27:L27"/>
    <mergeCell ref="G28:L28"/>
    <mergeCell ref="B18:E18"/>
    <mergeCell ref="F18:L18"/>
    <mergeCell ref="B19:E19"/>
    <mergeCell ref="F19:L19"/>
    <mergeCell ref="B20:E20"/>
    <mergeCell ref="F20:L20"/>
    <mergeCell ref="B15:E15"/>
    <mergeCell ref="F15:L15"/>
    <mergeCell ref="B16:E16"/>
    <mergeCell ref="F16:L16"/>
    <mergeCell ref="B17:E17"/>
    <mergeCell ref="F17:L17"/>
    <mergeCell ref="B12:E12"/>
    <mergeCell ref="F12:L12"/>
    <mergeCell ref="B13:E13"/>
    <mergeCell ref="F13:L13"/>
    <mergeCell ref="B14:E14"/>
    <mergeCell ref="F14:L14"/>
    <mergeCell ref="B9:E9"/>
    <mergeCell ref="F9:L9"/>
    <mergeCell ref="B10:E10"/>
    <mergeCell ref="F10:L10"/>
    <mergeCell ref="B11:E11"/>
    <mergeCell ref="F11:L11"/>
    <mergeCell ref="B6:E6"/>
    <mergeCell ref="F6:L6"/>
    <mergeCell ref="B7:E7"/>
    <mergeCell ref="F7:L7"/>
    <mergeCell ref="B8:E8"/>
    <mergeCell ref="F8:L8"/>
    <mergeCell ref="A1:L1"/>
    <mergeCell ref="A2:L2"/>
    <mergeCell ref="A4:L4"/>
    <mergeCell ref="B5:E5"/>
    <mergeCell ref="F5:L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2"/>
  <sheetViews>
    <sheetView topLeftCell="A34" zoomScaleNormal="100" workbookViewId="0">
      <selection activeCell="B11" sqref="B11:D11"/>
    </sheetView>
  </sheetViews>
  <sheetFormatPr defaultColWidth="8.7109375" defaultRowHeight="15" x14ac:dyDescent="0.25"/>
  <cols>
    <col min="1" max="1" width="38" customWidth="1"/>
    <col min="2" max="2" width="40" customWidth="1"/>
    <col min="3" max="4" width="14" customWidth="1"/>
    <col min="5" max="5" width="54" customWidth="1"/>
    <col min="6" max="8" width="14" customWidth="1"/>
  </cols>
  <sheetData>
    <row r="1" spans="1:8" ht="15" customHeight="1" x14ac:dyDescent="0.25">
      <c r="A1" s="14" t="s">
        <v>472</v>
      </c>
      <c r="B1" s="14"/>
      <c r="C1" s="14"/>
      <c r="D1" s="14"/>
      <c r="E1" s="14"/>
      <c r="F1" s="14"/>
      <c r="G1" s="14"/>
      <c r="H1" s="14"/>
    </row>
    <row r="2" spans="1:8" ht="15" customHeight="1" x14ac:dyDescent="0.25">
      <c r="A2" s="13" t="s">
        <v>473</v>
      </c>
      <c r="B2" s="13"/>
      <c r="C2" s="13"/>
      <c r="D2" s="13"/>
      <c r="E2" s="13"/>
      <c r="F2" s="13"/>
      <c r="G2" s="13"/>
      <c r="H2" s="13"/>
    </row>
    <row r="4" spans="1:8" ht="15" customHeight="1" x14ac:dyDescent="0.25">
      <c r="A4" s="14" t="s">
        <v>474</v>
      </c>
      <c r="B4" s="14"/>
      <c r="C4" s="14"/>
      <c r="D4" s="14"/>
      <c r="E4" s="14"/>
      <c r="F4" s="14"/>
      <c r="G4" s="14"/>
      <c r="H4" s="14"/>
    </row>
    <row r="5" spans="1:8" ht="25.5" x14ac:dyDescent="0.25">
      <c r="A5" s="15" t="s">
        <v>475</v>
      </c>
      <c r="B5" s="15" t="s">
        <v>476</v>
      </c>
      <c r="C5" s="15" t="s">
        <v>477</v>
      </c>
    </row>
    <row r="6" spans="1:8" ht="15" customHeight="1" x14ac:dyDescent="0.25">
      <c r="A6" s="48" t="s">
        <v>478</v>
      </c>
      <c r="B6" s="98" t="s">
        <v>479</v>
      </c>
      <c r="C6" s="98"/>
      <c r="D6" s="98"/>
      <c r="E6" s="8" t="s">
        <v>480</v>
      </c>
      <c r="F6" s="8"/>
      <c r="G6" s="8"/>
      <c r="H6" s="8"/>
    </row>
    <row r="7" spans="1:8" ht="15" customHeight="1" x14ac:dyDescent="0.25">
      <c r="A7" s="23" t="s">
        <v>481</v>
      </c>
      <c r="B7" s="99" t="s">
        <v>482</v>
      </c>
      <c r="C7" s="99"/>
      <c r="D7" s="99"/>
      <c r="E7" s="7" t="s">
        <v>483</v>
      </c>
      <c r="F7" s="7"/>
      <c r="G7" s="7"/>
      <c r="H7" s="7"/>
    </row>
    <row r="8" spans="1:8" ht="15" customHeight="1" x14ac:dyDescent="0.25">
      <c r="A8" s="48" t="s">
        <v>484</v>
      </c>
      <c r="B8" s="98" t="s">
        <v>485</v>
      </c>
      <c r="C8" s="98"/>
      <c r="D8" s="98"/>
      <c r="E8" s="8" t="s">
        <v>486</v>
      </c>
      <c r="F8" s="8"/>
      <c r="G8" s="8"/>
      <c r="H8" s="8"/>
    </row>
    <row r="9" spans="1:8" ht="15" customHeight="1" x14ac:dyDescent="0.25">
      <c r="A9" s="23" t="s">
        <v>487</v>
      </c>
      <c r="B9" s="99" t="s">
        <v>488</v>
      </c>
      <c r="C9" s="99"/>
      <c r="D9" s="99"/>
      <c r="E9" s="7" t="s">
        <v>489</v>
      </c>
      <c r="F9" s="7"/>
      <c r="G9" s="7"/>
      <c r="H9" s="7"/>
    </row>
    <row r="10" spans="1:8" ht="15" customHeight="1" x14ac:dyDescent="0.25">
      <c r="A10" s="94" t="s">
        <v>490</v>
      </c>
      <c r="B10" s="6" t="s">
        <v>491</v>
      </c>
      <c r="C10" s="6"/>
      <c r="D10" s="6"/>
      <c r="E10" s="12" t="s">
        <v>492</v>
      </c>
      <c r="F10" s="12"/>
      <c r="G10" s="12"/>
      <c r="H10" s="12"/>
    </row>
    <row r="11" spans="1:8" ht="15" customHeight="1" x14ac:dyDescent="0.25">
      <c r="A11" s="94" t="s">
        <v>493</v>
      </c>
      <c r="B11" s="6" t="s">
        <v>494</v>
      </c>
      <c r="C11" s="6"/>
      <c r="D11" s="6"/>
      <c r="E11" s="12" t="s">
        <v>492</v>
      </c>
      <c r="F11" s="12"/>
      <c r="G11" s="12"/>
      <c r="H11" s="12"/>
    </row>
    <row r="12" spans="1:8" ht="15" customHeight="1" x14ac:dyDescent="0.25">
      <c r="A12" s="94" t="s">
        <v>495</v>
      </c>
      <c r="B12" s="6" t="s">
        <v>496</v>
      </c>
      <c r="C12" s="6"/>
      <c r="D12" s="6"/>
      <c r="E12" s="12" t="s">
        <v>492</v>
      </c>
      <c r="F12" s="12"/>
      <c r="G12" s="12"/>
      <c r="H12" s="12"/>
    </row>
    <row r="13" spans="1:8" ht="15" customHeight="1" x14ac:dyDescent="0.25">
      <c r="A13" s="23" t="s">
        <v>497</v>
      </c>
      <c r="B13" s="99" t="s">
        <v>498</v>
      </c>
      <c r="C13" s="99"/>
      <c r="D13" s="99"/>
      <c r="E13" s="7" t="s">
        <v>499</v>
      </c>
      <c r="F13" s="7"/>
      <c r="G13" s="7"/>
      <c r="H13" s="7"/>
    </row>
    <row r="15" spans="1:8" ht="15" customHeight="1" x14ac:dyDescent="0.25">
      <c r="A15" s="14" t="s">
        <v>500</v>
      </c>
      <c r="B15" s="14"/>
      <c r="C15" s="14"/>
      <c r="D15" s="14"/>
      <c r="E15" s="14"/>
      <c r="F15" s="14"/>
      <c r="G15" s="14"/>
      <c r="H15" s="14"/>
    </row>
    <row r="16" spans="1:8" ht="25.5" x14ac:dyDescent="0.25">
      <c r="A16" s="15" t="s">
        <v>475</v>
      </c>
      <c r="B16" s="15" t="s">
        <v>476</v>
      </c>
      <c r="C16" s="15" t="s">
        <v>477</v>
      </c>
    </row>
    <row r="17" spans="1:8" ht="15" customHeight="1" x14ac:dyDescent="0.25">
      <c r="A17" s="48" t="s">
        <v>478</v>
      </c>
      <c r="B17" s="98" t="s">
        <v>501</v>
      </c>
      <c r="C17" s="98"/>
      <c r="D17" s="98"/>
      <c r="E17" s="8" t="s">
        <v>502</v>
      </c>
      <c r="F17" s="8"/>
      <c r="G17" s="8"/>
      <c r="H17" s="8"/>
    </row>
    <row r="18" spans="1:8" ht="15" customHeight="1" x14ac:dyDescent="0.25">
      <c r="A18" s="23" t="s">
        <v>53</v>
      </c>
      <c r="B18" s="99" t="s">
        <v>503</v>
      </c>
      <c r="C18" s="99"/>
      <c r="D18" s="99"/>
      <c r="E18" s="7" t="s">
        <v>504</v>
      </c>
      <c r="F18" s="7"/>
      <c r="G18" s="7"/>
      <c r="H18" s="7"/>
    </row>
    <row r="19" spans="1:8" ht="15" customHeight="1" x14ac:dyDescent="0.25">
      <c r="A19" s="48" t="s">
        <v>55</v>
      </c>
      <c r="B19" s="98" t="s">
        <v>505</v>
      </c>
      <c r="C19" s="98"/>
      <c r="D19" s="98"/>
      <c r="E19" s="8" t="s">
        <v>506</v>
      </c>
      <c r="F19" s="8"/>
      <c r="G19" s="8"/>
      <c r="H19" s="8"/>
    </row>
    <row r="20" spans="1:8" ht="15" customHeight="1" x14ac:dyDescent="0.25">
      <c r="A20" s="23" t="s">
        <v>46</v>
      </c>
      <c r="B20" s="99" t="s">
        <v>507</v>
      </c>
      <c r="C20" s="99"/>
      <c r="D20" s="99"/>
      <c r="E20" s="7" t="s">
        <v>508</v>
      </c>
      <c r="F20" s="7"/>
      <c r="G20" s="7"/>
      <c r="H20" s="7"/>
    </row>
    <row r="21" spans="1:8" ht="15" customHeight="1" x14ac:dyDescent="0.25">
      <c r="A21" s="48" t="s">
        <v>509</v>
      </c>
      <c r="B21" s="98" t="s">
        <v>510</v>
      </c>
      <c r="C21" s="98"/>
      <c r="D21" s="98"/>
      <c r="E21" s="8" t="s">
        <v>511</v>
      </c>
      <c r="F21" s="8"/>
      <c r="G21" s="8"/>
      <c r="H21" s="8"/>
    </row>
    <row r="22" spans="1:8" ht="15" customHeight="1" x14ac:dyDescent="0.25">
      <c r="A22" s="23" t="s">
        <v>57</v>
      </c>
      <c r="B22" s="99" t="s">
        <v>512</v>
      </c>
      <c r="C22" s="99"/>
      <c r="D22" s="99"/>
      <c r="E22" s="7" t="s">
        <v>513</v>
      </c>
      <c r="F22" s="7"/>
      <c r="G22" s="7"/>
      <c r="H22" s="7"/>
    </row>
    <row r="23" spans="1:8" ht="15" customHeight="1" x14ac:dyDescent="0.25">
      <c r="A23" s="48" t="s">
        <v>51</v>
      </c>
      <c r="B23" s="98" t="s">
        <v>485</v>
      </c>
      <c r="C23" s="98"/>
      <c r="D23" s="98"/>
      <c r="E23" s="8" t="s">
        <v>514</v>
      </c>
      <c r="F23" s="8"/>
      <c r="G23" s="8"/>
      <c r="H23" s="8"/>
    </row>
    <row r="24" spans="1:8" ht="15" customHeight="1" x14ac:dyDescent="0.25">
      <c r="A24" s="23" t="s">
        <v>515</v>
      </c>
      <c r="B24" s="99" t="s">
        <v>516</v>
      </c>
      <c r="C24" s="99"/>
      <c r="D24" s="99"/>
      <c r="E24" s="7" t="s">
        <v>517</v>
      </c>
      <c r="F24" s="7"/>
      <c r="G24" s="7"/>
      <c r="H24" s="7"/>
    </row>
    <row r="25" spans="1:8" ht="15" customHeight="1" x14ac:dyDescent="0.25">
      <c r="A25" s="48" t="s">
        <v>497</v>
      </c>
      <c r="B25" s="98" t="s">
        <v>518</v>
      </c>
      <c r="C25" s="98"/>
      <c r="D25" s="98"/>
      <c r="E25" s="8" t="s">
        <v>519</v>
      </c>
      <c r="F25" s="8"/>
      <c r="G25" s="8"/>
      <c r="H25" s="8"/>
    </row>
    <row r="27" spans="1:8" ht="15" customHeight="1" x14ac:dyDescent="0.25">
      <c r="A27" s="14" t="s">
        <v>520</v>
      </c>
      <c r="B27" s="14"/>
      <c r="C27" s="14"/>
      <c r="D27" s="14"/>
      <c r="E27" s="14"/>
      <c r="F27" s="14"/>
      <c r="G27" s="14"/>
      <c r="H27" s="14"/>
    </row>
    <row r="28" spans="1:8" ht="25.5" x14ac:dyDescent="0.25">
      <c r="A28" s="15" t="s">
        <v>475</v>
      </c>
      <c r="B28" s="15" t="s">
        <v>476</v>
      </c>
      <c r="C28" s="15" t="s">
        <v>477</v>
      </c>
    </row>
    <row r="29" spans="1:8" ht="15" customHeight="1" x14ac:dyDescent="0.25">
      <c r="A29" s="48" t="s">
        <v>14</v>
      </c>
      <c r="B29" s="98" t="s">
        <v>521</v>
      </c>
      <c r="C29" s="98"/>
      <c r="D29" s="98"/>
      <c r="E29" s="8" t="s">
        <v>522</v>
      </c>
      <c r="F29" s="8"/>
      <c r="G29" s="8"/>
      <c r="H29" s="8"/>
    </row>
    <row r="30" spans="1:8" ht="15" customHeight="1" x14ac:dyDescent="0.25">
      <c r="A30" s="23" t="s">
        <v>523</v>
      </c>
      <c r="B30" s="99" t="s">
        <v>524</v>
      </c>
      <c r="C30" s="99"/>
      <c r="D30" s="99"/>
      <c r="E30" s="7" t="s">
        <v>525</v>
      </c>
      <c r="F30" s="7"/>
      <c r="G30" s="7"/>
      <c r="H30" s="7"/>
    </row>
    <row r="31" spans="1:8" ht="15" customHeight="1" x14ac:dyDescent="0.25">
      <c r="A31" s="48" t="s">
        <v>75</v>
      </c>
      <c r="B31" s="98" t="s">
        <v>526</v>
      </c>
      <c r="C31" s="98"/>
      <c r="D31" s="98"/>
      <c r="E31" s="8" t="s">
        <v>527</v>
      </c>
      <c r="F31" s="8"/>
      <c r="G31" s="8"/>
      <c r="H31" s="8"/>
    </row>
    <row r="32" spans="1:8" ht="15" customHeight="1" x14ac:dyDescent="0.25">
      <c r="A32" s="95" t="s">
        <v>528</v>
      </c>
      <c r="B32" s="5" t="s">
        <v>529</v>
      </c>
      <c r="C32" s="5"/>
      <c r="D32" s="5"/>
      <c r="E32" s="2" t="s">
        <v>530</v>
      </c>
      <c r="F32" s="2"/>
      <c r="G32" s="2"/>
      <c r="H32" s="2"/>
    </row>
    <row r="33" spans="1:8" ht="15" customHeight="1" x14ac:dyDescent="0.25">
      <c r="A33" s="48" t="s">
        <v>531</v>
      </c>
      <c r="B33" s="98" t="s">
        <v>532</v>
      </c>
      <c r="C33" s="98"/>
      <c r="D33" s="98"/>
      <c r="E33" s="8" t="s">
        <v>533</v>
      </c>
      <c r="F33" s="8"/>
      <c r="G33" s="8"/>
      <c r="H33" s="8"/>
    </row>
    <row r="34" spans="1:8" ht="15" customHeight="1" x14ac:dyDescent="0.25">
      <c r="A34" s="23" t="s">
        <v>534</v>
      </c>
      <c r="B34" s="99" t="s">
        <v>535</v>
      </c>
      <c r="C34" s="99"/>
      <c r="D34" s="99"/>
      <c r="E34" s="7" t="s">
        <v>536</v>
      </c>
      <c r="F34" s="7"/>
      <c r="G34" s="7"/>
      <c r="H34" s="7"/>
    </row>
    <row r="35" spans="1:8" ht="15" customHeight="1" x14ac:dyDescent="0.25">
      <c r="A35" s="48" t="s">
        <v>72</v>
      </c>
      <c r="B35" s="98" t="s">
        <v>537</v>
      </c>
      <c r="C35" s="98"/>
      <c r="D35" s="98"/>
      <c r="E35" s="8" t="s">
        <v>538</v>
      </c>
      <c r="F35" s="8"/>
      <c r="G35" s="8"/>
      <c r="H35" s="8"/>
    </row>
    <row r="37" spans="1:8" ht="15" customHeight="1" x14ac:dyDescent="0.25">
      <c r="A37" s="14" t="s">
        <v>539</v>
      </c>
      <c r="B37" s="14"/>
      <c r="C37" s="14"/>
      <c r="D37" s="14"/>
      <c r="E37" s="14"/>
      <c r="F37" s="14"/>
      <c r="G37" s="14"/>
      <c r="H37" s="14"/>
    </row>
    <row r="38" spans="1:8" ht="25.5" x14ac:dyDescent="0.25">
      <c r="A38" s="15" t="s">
        <v>475</v>
      </c>
      <c r="B38" s="15" t="s">
        <v>476</v>
      </c>
      <c r="C38" s="15" t="s">
        <v>477</v>
      </c>
    </row>
    <row r="39" spans="1:8" ht="15" customHeight="1" x14ac:dyDescent="0.25">
      <c r="A39" s="48" t="s">
        <v>14</v>
      </c>
      <c r="B39" s="98" t="s">
        <v>540</v>
      </c>
      <c r="C39" s="98"/>
      <c r="D39" s="98"/>
      <c r="E39" s="8" t="s">
        <v>541</v>
      </c>
      <c r="F39" s="8"/>
      <c r="G39" s="8"/>
      <c r="H39" s="8"/>
    </row>
    <row r="40" spans="1:8" ht="15" customHeight="1" x14ac:dyDescent="0.25">
      <c r="A40" s="23" t="s">
        <v>542</v>
      </c>
      <c r="B40" s="99" t="s">
        <v>543</v>
      </c>
      <c r="C40" s="99"/>
      <c r="D40" s="99"/>
      <c r="E40" s="7" t="s">
        <v>544</v>
      </c>
      <c r="F40" s="7"/>
      <c r="G40" s="7"/>
      <c r="H40" s="7"/>
    </row>
    <row r="41" spans="1:8" ht="15" customHeight="1" x14ac:dyDescent="0.25">
      <c r="A41" s="95" t="s">
        <v>545</v>
      </c>
      <c r="B41" s="5" t="s">
        <v>546</v>
      </c>
      <c r="C41" s="5"/>
      <c r="D41" s="5"/>
      <c r="E41" s="2" t="s">
        <v>547</v>
      </c>
      <c r="F41" s="2"/>
      <c r="G41" s="2"/>
      <c r="H41" s="2"/>
    </row>
    <row r="42" spans="1:8" ht="15" customHeight="1" x14ac:dyDescent="0.25">
      <c r="A42" s="94" t="s">
        <v>548</v>
      </c>
      <c r="B42" s="6" t="s">
        <v>549</v>
      </c>
      <c r="C42" s="6"/>
      <c r="D42" s="6"/>
      <c r="E42" s="12" t="s">
        <v>550</v>
      </c>
      <c r="F42" s="12"/>
      <c r="G42" s="12"/>
      <c r="H42" s="12"/>
    </row>
    <row r="43" spans="1:8" ht="15" customHeight="1" x14ac:dyDescent="0.25">
      <c r="A43" s="48" t="s">
        <v>551</v>
      </c>
      <c r="B43" s="98" t="s">
        <v>552</v>
      </c>
      <c r="C43" s="98"/>
      <c r="D43" s="98"/>
      <c r="E43" s="8" t="s">
        <v>553</v>
      </c>
      <c r="F43" s="8"/>
      <c r="G43" s="8"/>
      <c r="H43" s="8"/>
    </row>
    <row r="45" spans="1:8" ht="15" customHeight="1" x14ac:dyDescent="0.25">
      <c r="A45" s="14" t="s">
        <v>554</v>
      </c>
      <c r="B45" s="14"/>
      <c r="C45" s="14"/>
      <c r="D45" s="14"/>
      <c r="E45" s="14"/>
      <c r="F45" s="14"/>
      <c r="G45" s="14"/>
      <c r="H45" s="14"/>
    </row>
    <row r="46" spans="1:8" ht="25.5" x14ac:dyDescent="0.25">
      <c r="A46" s="15" t="s">
        <v>475</v>
      </c>
      <c r="B46" s="15" t="s">
        <v>476</v>
      </c>
      <c r="C46" s="15" t="s">
        <v>477</v>
      </c>
    </row>
    <row r="47" spans="1:8" ht="15" customHeight="1" x14ac:dyDescent="0.25">
      <c r="A47" s="48" t="s">
        <v>555</v>
      </c>
      <c r="B47" s="98" t="s">
        <v>556</v>
      </c>
      <c r="C47" s="98"/>
      <c r="D47" s="98"/>
      <c r="E47" s="8" t="s">
        <v>557</v>
      </c>
      <c r="F47" s="8"/>
      <c r="G47" s="8"/>
      <c r="H47" s="8"/>
    </row>
    <row r="48" spans="1:8" ht="15" customHeight="1" x14ac:dyDescent="0.25">
      <c r="A48" s="95" t="s">
        <v>558</v>
      </c>
      <c r="B48" s="5" t="s">
        <v>559</v>
      </c>
      <c r="C48" s="5"/>
      <c r="D48" s="5"/>
      <c r="E48" s="2" t="s">
        <v>560</v>
      </c>
      <c r="F48" s="2"/>
      <c r="G48" s="2"/>
      <c r="H48" s="2"/>
    </row>
    <row r="49" spans="1:8" ht="15" customHeight="1" x14ac:dyDescent="0.25">
      <c r="A49" s="48" t="s">
        <v>561</v>
      </c>
      <c r="B49" s="98" t="s">
        <v>562</v>
      </c>
      <c r="C49" s="98"/>
      <c r="D49" s="98"/>
      <c r="E49" s="8" t="s">
        <v>563</v>
      </c>
      <c r="F49" s="8"/>
      <c r="G49" s="8"/>
      <c r="H49" s="8"/>
    </row>
    <row r="50" spans="1:8" ht="15" customHeight="1" x14ac:dyDescent="0.25">
      <c r="A50" s="23" t="s">
        <v>564</v>
      </c>
      <c r="B50" s="99" t="s">
        <v>565</v>
      </c>
      <c r="C50" s="99"/>
      <c r="D50" s="99"/>
      <c r="E50" s="7" t="s">
        <v>566</v>
      </c>
      <c r="F50" s="7"/>
      <c r="G50" s="7"/>
      <c r="H50" s="7"/>
    </row>
    <row r="51" spans="1:8" ht="15" customHeight="1" x14ac:dyDescent="0.25">
      <c r="A51" s="48" t="s">
        <v>111</v>
      </c>
      <c r="B51" s="98" t="s">
        <v>567</v>
      </c>
      <c r="C51" s="98"/>
      <c r="D51" s="98"/>
      <c r="E51" s="8" t="s">
        <v>568</v>
      </c>
      <c r="F51" s="8"/>
      <c r="G51" s="8"/>
      <c r="H51" s="8"/>
    </row>
    <row r="52" spans="1:8" ht="15" customHeight="1" x14ac:dyDescent="0.25">
      <c r="A52" s="23" t="s">
        <v>569</v>
      </c>
      <c r="B52" s="99" t="s">
        <v>570</v>
      </c>
      <c r="C52" s="99"/>
      <c r="D52" s="99"/>
      <c r="E52" s="7" t="s">
        <v>571</v>
      </c>
      <c r="F52" s="7"/>
      <c r="G52" s="7"/>
      <c r="H52" s="7"/>
    </row>
  </sheetData>
  <mergeCells count="77">
    <mergeCell ref="B51:D51"/>
    <mergeCell ref="E51:H51"/>
    <mergeCell ref="B52:D52"/>
    <mergeCell ref="E52:H52"/>
    <mergeCell ref="B48:D48"/>
    <mergeCell ref="E48:H48"/>
    <mergeCell ref="B49:D49"/>
    <mergeCell ref="E49:H49"/>
    <mergeCell ref="B50:D50"/>
    <mergeCell ref="E50:H50"/>
    <mergeCell ref="B43:D43"/>
    <mergeCell ref="E43:H43"/>
    <mergeCell ref="A45:H45"/>
    <mergeCell ref="B47:D47"/>
    <mergeCell ref="E47:H47"/>
    <mergeCell ref="B40:D40"/>
    <mergeCell ref="E40:H40"/>
    <mergeCell ref="B41:D41"/>
    <mergeCell ref="E41:H41"/>
    <mergeCell ref="B42:D42"/>
    <mergeCell ref="E42:H42"/>
    <mergeCell ref="B35:D35"/>
    <mergeCell ref="E35:H35"/>
    <mergeCell ref="A37:H37"/>
    <mergeCell ref="B39:D39"/>
    <mergeCell ref="E39:H39"/>
    <mergeCell ref="B32:D32"/>
    <mergeCell ref="E32:H32"/>
    <mergeCell ref="B33:D33"/>
    <mergeCell ref="E33:H33"/>
    <mergeCell ref="B34:D34"/>
    <mergeCell ref="E34:H34"/>
    <mergeCell ref="B29:D29"/>
    <mergeCell ref="E29:H29"/>
    <mergeCell ref="B30:D30"/>
    <mergeCell ref="E30:H30"/>
    <mergeCell ref="B31:D31"/>
    <mergeCell ref="E31:H31"/>
    <mergeCell ref="B24:D24"/>
    <mergeCell ref="E24:H24"/>
    <mergeCell ref="B25:D25"/>
    <mergeCell ref="E25:H25"/>
    <mergeCell ref="A27:H27"/>
    <mergeCell ref="B21:D21"/>
    <mergeCell ref="E21:H21"/>
    <mergeCell ref="B22:D22"/>
    <mergeCell ref="E22:H22"/>
    <mergeCell ref="B23:D23"/>
    <mergeCell ref="E23:H23"/>
    <mergeCell ref="B18:D18"/>
    <mergeCell ref="E18:H18"/>
    <mergeCell ref="B19:D19"/>
    <mergeCell ref="E19:H19"/>
    <mergeCell ref="B20:D20"/>
    <mergeCell ref="E20:H20"/>
    <mergeCell ref="B13:D13"/>
    <mergeCell ref="E13:H13"/>
    <mergeCell ref="A15:H15"/>
    <mergeCell ref="B17:D17"/>
    <mergeCell ref="E17:H17"/>
    <mergeCell ref="B10:D10"/>
    <mergeCell ref="E10:H10"/>
    <mergeCell ref="B11:D11"/>
    <mergeCell ref="E11:H11"/>
    <mergeCell ref="B12:D12"/>
    <mergeCell ref="E12:H12"/>
    <mergeCell ref="B7:D7"/>
    <mergeCell ref="E7:H7"/>
    <mergeCell ref="B8:D8"/>
    <mergeCell ref="E8:H8"/>
    <mergeCell ref="B9:D9"/>
    <mergeCell ref="E9:H9"/>
    <mergeCell ref="A1:H1"/>
    <mergeCell ref="A2:H2"/>
    <mergeCell ref="A4:H4"/>
    <mergeCell ref="B6:D6"/>
    <mergeCell ref="E6:H6"/>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4"/>
  <sheetViews>
    <sheetView zoomScaleNormal="100" workbookViewId="0">
      <pane ySplit="5" topLeftCell="A12" activePane="bottomLeft" state="frozen"/>
      <selection sqref="A1:P1"/>
      <selection pane="bottomLeft" activeCell="C24" sqref="C24"/>
    </sheetView>
  </sheetViews>
  <sheetFormatPr defaultColWidth="8.7109375" defaultRowHeight="15" x14ac:dyDescent="0.25"/>
  <cols>
    <col min="1" max="1" width="30" customWidth="1"/>
    <col min="2" max="2" width="18" customWidth="1"/>
    <col min="3" max="3" width="46" customWidth="1"/>
    <col min="4" max="4" width="16" customWidth="1"/>
    <col min="5" max="5" width="36" customWidth="1"/>
    <col min="6" max="6" width="42" customWidth="1"/>
    <col min="7" max="8" width="14" customWidth="1"/>
  </cols>
  <sheetData>
    <row r="1" spans="1:8" ht="15" customHeight="1" x14ac:dyDescent="0.25">
      <c r="A1" s="14" t="s">
        <v>572</v>
      </c>
      <c r="B1" s="14"/>
      <c r="C1" s="14"/>
      <c r="D1" s="14"/>
      <c r="E1" s="14"/>
      <c r="F1" s="14"/>
      <c r="G1" s="14"/>
      <c r="H1" s="14"/>
    </row>
    <row r="2" spans="1:8" ht="15" customHeight="1" x14ac:dyDescent="0.25">
      <c r="A2" s="13" t="s">
        <v>573</v>
      </c>
      <c r="B2" s="13"/>
      <c r="C2" s="13"/>
      <c r="D2" s="13"/>
      <c r="E2" s="13"/>
      <c r="F2" s="13"/>
      <c r="G2" s="13"/>
      <c r="H2" s="13"/>
    </row>
    <row r="4" spans="1:8" ht="15" customHeight="1" x14ac:dyDescent="0.25">
      <c r="A4" s="14" t="s">
        <v>574</v>
      </c>
      <c r="B4" s="14"/>
      <c r="C4" s="14"/>
      <c r="D4" s="14"/>
      <c r="E4" s="14"/>
      <c r="F4" s="14"/>
      <c r="G4" s="14"/>
      <c r="H4" s="14"/>
    </row>
    <row r="5" spans="1:8" x14ac:dyDescent="0.25">
      <c r="A5" s="15" t="s">
        <v>165</v>
      </c>
      <c r="B5" s="15" t="s">
        <v>9</v>
      </c>
      <c r="C5" s="15" t="s">
        <v>575</v>
      </c>
      <c r="D5" s="15" t="s">
        <v>576</v>
      </c>
      <c r="E5" s="15" t="s">
        <v>577</v>
      </c>
      <c r="F5" s="15" t="s">
        <v>578</v>
      </c>
    </row>
    <row r="6" spans="1:8" ht="23.85" customHeight="1" x14ac:dyDescent="0.25">
      <c r="A6" s="48" t="s">
        <v>579</v>
      </c>
      <c r="B6" s="29" t="s">
        <v>580</v>
      </c>
      <c r="C6" s="29" t="s">
        <v>581</v>
      </c>
      <c r="D6" s="29" t="s">
        <v>582</v>
      </c>
      <c r="E6" s="84" t="s">
        <v>583</v>
      </c>
      <c r="F6" s="8" t="s">
        <v>584</v>
      </c>
      <c r="G6" s="8"/>
      <c r="H6" s="8"/>
    </row>
    <row r="7" spans="1:8" ht="35.1" customHeight="1" x14ac:dyDescent="0.25">
      <c r="A7" s="23" t="s">
        <v>585</v>
      </c>
      <c r="B7" s="22" t="s">
        <v>586</v>
      </c>
      <c r="C7" s="22" t="s">
        <v>587</v>
      </c>
      <c r="D7" s="22" t="s">
        <v>588</v>
      </c>
      <c r="E7" s="84" t="s">
        <v>583</v>
      </c>
      <c r="F7" s="7" t="s">
        <v>589</v>
      </c>
      <c r="G7" s="7"/>
      <c r="H7" s="7"/>
    </row>
    <row r="8" spans="1:8" ht="23.85" customHeight="1" x14ac:dyDescent="0.25">
      <c r="A8" s="48" t="s">
        <v>590</v>
      </c>
      <c r="B8" s="29" t="s">
        <v>591</v>
      </c>
      <c r="C8" s="29" t="s">
        <v>592</v>
      </c>
      <c r="D8" s="29" t="s">
        <v>593</v>
      </c>
      <c r="E8" s="85" t="s">
        <v>594</v>
      </c>
      <c r="F8" s="8" t="s">
        <v>595</v>
      </c>
      <c r="G8" s="8"/>
      <c r="H8" s="8"/>
    </row>
    <row r="9" spans="1:8" ht="23.85" customHeight="1" x14ac:dyDescent="0.25">
      <c r="A9" s="23" t="s">
        <v>596</v>
      </c>
      <c r="B9" s="22" t="s">
        <v>597</v>
      </c>
      <c r="C9" s="22" t="s">
        <v>598</v>
      </c>
      <c r="D9" s="22" t="s">
        <v>582</v>
      </c>
      <c r="E9" s="84" t="s">
        <v>599</v>
      </c>
      <c r="F9" s="7" t="s">
        <v>600</v>
      </c>
      <c r="G9" s="7"/>
      <c r="H9" s="7"/>
    </row>
    <row r="10" spans="1:8" ht="23.85" customHeight="1" x14ac:dyDescent="0.25">
      <c r="A10" s="48" t="s">
        <v>601</v>
      </c>
      <c r="B10" s="29" t="s">
        <v>602</v>
      </c>
      <c r="C10" s="29" t="s">
        <v>603</v>
      </c>
      <c r="D10" s="29" t="s">
        <v>593</v>
      </c>
      <c r="E10" s="85" t="s">
        <v>604</v>
      </c>
      <c r="F10" s="8" t="s">
        <v>605</v>
      </c>
      <c r="G10" s="8"/>
      <c r="H10" s="8"/>
    </row>
    <row r="11" spans="1:8" ht="15" customHeight="1" x14ac:dyDescent="0.25">
      <c r="A11" s="23" t="s">
        <v>606</v>
      </c>
      <c r="B11" s="22" t="s">
        <v>602</v>
      </c>
      <c r="C11" s="22" t="s">
        <v>607</v>
      </c>
      <c r="D11" s="22" t="s">
        <v>608</v>
      </c>
      <c r="E11" s="84" t="s">
        <v>609</v>
      </c>
      <c r="F11" s="7" t="s">
        <v>610</v>
      </c>
      <c r="G11" s="7"/>
      <c r="H11" s="7"/>
    </row>
    <row r="12" spans="1:8" ht="15" customHeight="1" x14ac:dyDescent="0.25">
      <c r="A12" s="48" t="s">
        <v>611</v>
      </c>
      <c r="B12" s="29" t="s">
        <v>75</v>
      </c>
      <c r="C12" s="29" t="s">
        <v>612</v>
      </c>
      <c r="D12" s="29" t="s">
        <v>593</v>
      </c>
      <c r="E12" s="84" t="s">
        <v>613</v>
      </c>
      <c r="F12" s="8" t="s">
        <v>614</v>
      </c>
      <c r="G12" s="8"/>
      <c r="H12" s="8"/>
    </row>
    <row r="13" spans="1:8" ht="23.85" customHeight="1" x14ac:dyDescent="0.25">
      <c r="A13" s="23" t="s">
        <v>615</v>
      </c>
      <c r="B13" s="22" t="s">
        <v>75</v>
      </c>
      <c r="C13" s="22" t="s">
        <v>616</v>
      </c>
      <c r="D13" s="22" t="s">
        <v>608</v>
      </c>
      <c r="E13" s="84" t="s">
        <v>583</v>
      </c>
      <c r="F13" s="7" t="s">
        <v>617</v>
      </c>
      <c r="G13" s="7"/>
      <c r="H13" s="7"/>
    </row>
    <row r="14" spans="1:8" ht="23.85" customHeight="1" x14ac:dyDescent="0.25">
      <c r="A14" s="48" t="s">
        <v>618</v>
      </c>
      <c r="B14" s="29" t="s">
        <v>619</v>
      </c>
      <c r="C14" s="29" t="s">
        <v>620</v>
      </c>
      <c r="D14" s="29" t="s">
        <v>582</v>
      </c>
      <c r="E14" s="84" t="s">
        <v>621</v>
      </c>
      <c r="F14" s="8" t="s">
        <v>622</v>
      </c>
      <c r="G14" s="8"/>
      <c r="H14" s="8"/>
    </row>
    <row r="15" spans="1:8" ht="23.85" customHeight="1" x14ac:dyDescent="0.25">
      <c r="A15" s="23" t="s">
        <v>623</v>
      </c>
      <c r="B15" s="22" t="s">
        <v>624</v>
      </c>
      <c r="C15" s="22" t="s">
        <v>625</v>
      </c>
      <c r="D15" s="22" t="s">
        <v>626</v>
      </c>
      <c r="E15" s="85" t="s">
        <v>627</v>
      </c>
      <c r="F15" s="7" t="s">
        <v>628</v>
      </c>
      <c r="G15" s="7"/>
      <c r="H15" s="7"/>
    </row>
    <row r="16" spans="1:8" ht="23.85" customHeight="1" x14ac:dyDescent="0.25">
      <c r="A16" s="48" t="s">
        <v>365</v>
      </c>
      <c r="B16" s="29" t="s">
        <v>629</v>
      </c>
      <c r="C16" s="29" t="s">
        <v>630</v>
      </c>
      <c r="D16" s="29" t="s">
        <v>631</v>
      </c>
      <c r="E16" s="85" t="s">
        <v>632</v>
      </c>
      <c r="F16" s="8" t="s">
        <v>633</v>
      </c>
      <c r="G16" s="8"/>
      <c r="H16" s="8"/>
    </row>
    <row r="19" spans="1:8" ht="15" customHeight="1" x14ac:dyDescent="0.25">
      <c r="A19" s="14" t="s">
        <v>634</v>
      </c>
      <c r="B19" s="14"/>
      <c r="C19" s="14"/>
      <c r="D19" s="14"/>
      <c r="E19" s="14"/>
      <c r="F19" s="14"/>
      <c r="G19" s="14"/>
      <c r="H19" s="14"/>
    </row>
    <row r="20" spans="1:8" x14ac:dyDescent="0.25">
      <c r="A20" s="15" t="s">
        <v>635</v>
      </c>
      <c r="B20" s="15" t="s">
        <v>636</v>
      </c>
      <c r="C20" s="15" t="s">
        <v>637</v>
      </c>
      <c r="D20" s="15" t="s">
        <v>638</v>
      </c>
      <c r="E20" s="15" t="s">
        <v>639</v>
      </c>
      <c r="F20" s="15" t="s">
        <v>640</v>
      </c>
    </row>
    <row r="21" spans="1:8" ht="35.1" customHeight="1" x14ac:dyDescent="0.25">
      <c r="A21" s="96" t="s">
        <v>641</v>
      </c>
      <c r="B21" s="97" t="s">
        <v>642</v>
      </c>
      <c r="C21" s="97" t="s">
        <v>643</v>
      </c>
      <c r="D21" s="96" t="s">
        <v>644</v>
      </c>
      <c r="E21" s="97" t="s">
        <v>645</v>
      </c>
      <c r="F21" s="3" t="s">
        <v>646</v>
      </c>
      <c r="G21" s="3"/>
      <c r="H21" s="3"/>
    </row>
    <row r="22" spans="1:8" ht="23.85" customHeight="1" x14ac:dyDescent="0.25">
      <c r="A22" s="96" t="s">
        <v>647</v>
      </c>
      <c r="B22" s="97" t="s">
        <v>648</v>
      </c>
      <c r="C22" s="97" t="s">
        <v>649</v>
      </c>
      <c r="D22" s="96" t="s">
        <v>644</v>
      </c>
      <c r="E22" s="97" t="s">
        <v>650</v>
      </c>
      <c r="F22" s="3" t="s">
        <v>651</v>
      </c>
      <c r="G22" s="3"/>
      <c r="H22" s="3"/>
    </row>
    <row r="23" spans="1:8" ht="35.1" customHeight="1" x14ac:dyDescent="0.25">
      <c r="A23" s="95" t="s">
        <v>652</v>
      </c>
      <c r="B23" s="85" t="s">
        <v>653</v>
      </c>
      <c r="C23" s="85" t="s">
        <v>654</v>
      </c>
      <c r="D23" s="95" t="s">
        <v>632</v>
      </c>
      <c r="E23" s="85" t="s">
        <v>655</v>
      </c>
      <c r="F23" s="2" t="s">
        <v>656</v>
      </c>
      <c r="G23" s="2"/>
      <c r="H23" s="2"/>
    </row>
    <row r="24" spans="1:8" ht="23.85" customHeight="1" x14ac:dyDescent="0.25">
      <c r="A24" s="23" t="s">
        <v>657</v>
      </c>
      <c r="B24" s="22" t="s">
        <v>658</v>
      </c>
      <c r="C24" s="22" t="s">
        <v>659</v>
      </c>
      <c r="D24" s="95" t="s">
        <v>660</v>
      </c>
      <c r="E24" s="22" t="s">
        <v>661</v>
      </c>
      <c r="F24" s="7" t="s">
        <v>662</v>
      </c>
      <c r="G24" s="7"/>
      <c r="H24" s="7"/>
    </row>
    <row r="25" spans="1:8" ht="35.1" customHeight="1" x14ac:dyDescent="0.25">
      <c r="A25" s="23" t="s">
        <v>663</v>
      </c>
      <c r="B25" s="22" t="s">
        <v>664</v>
      </c>
      <c r="C25" s="22" t="s">
        <v>665</v>
      </c>
      <c r="D25" s="95" t="s">
        <v>666</v>
      </c>
      <c r="E25" s="22" t="s">
        <v>667</v>
      </c>
      <c r="F25" s="7" t="s">
        <v>668</v>
      </c>
      <c r="G25" s="7"/>
      <c r="H25" s="7"/>
    </row>
    <row r="26" spans="1:8" ht="35.1" customHeight="1" x14ac:dyDescent="0.25">
      <c r="A26" s="95" t="s">
        <v>669</v>
      </c>
      <c r="B26" s="85" t="s">
        <v>670</v>
      </c>
      <c r="C26" s="85" t="s">
        <v>671</v>
      </c>
      <c r="D26" s="95" t="s">
        <v>632</v>
      </c>
      <c r="E26" s="85" t="s">
        <v>672</v>
      </c>
      <c r="F26" s="2" t="s">
        <v>673</v>
      </c>
      <c r="G26" s="2"/>
      <c r="H26" s="2"/>
    </row>
    <row r="27" spans="1:8" ht="46.35" customHeight="1" x14ac:dyDescent="0.25">
      <c r="A27" s="96" t="s">
        <v>674</v>
      </c>
      <c r="B27" s="97" t="s">
        <v>664</v>
      </c>
      <c r="C27" s="97" t="s">
        <v>675</v>
      </c>
      <c r="D27" s="96" t="s">
        <v>644</v>
      </c>
      <c r="E27" s="97" t="s">
        <v>676</v>
      </c>
      <c r="F27" s="3" t="s">
        <v>677</v>
      </c>
      <c r="G27" s="3"/>
      <c r="H27" s="3"/>
    </row>
    <row r="28" spans="1:8" ht="35.1" customHeight="1" x14ac:dyDescent="0.25">
      <c r="A28" s="95" t="s">
        <v>678</v>
      </c>
      <c r="B28" s="85" t="s">
        <v>679</v>
      </c>
      <c r="C28" s="85" t="s">
        <v>680</v>
      </c>
      <c r="D28" s="95" t="s">
        <v>632</v>
      </c>
      <c r="E28" s="85" t="s">
        <v>681</v>
      </c>
      <c r="F28" s="2" t="s">
        <v>682</v>
      </c>
      <c r="G28" s="2"/>
      <c r="H28" s="2"/>
    </row>
    <row r="29" spans="1:8" ht="35.1" customHeight="1" x14ac:dyDescent="0.25">
      <c r="A29" s="23" t="s">
        <v>683</v>
      </c>
      <c r="B29" s="22" t="s">
        <v>658</v>
      </c>
      <c r="C29" s="22" t="s">
        <v>684</v>
      </c>
      <c r="D29" s="95" t="s">
        <v>666</v>
      </c>
      <c r="E29" s="22" t="s">
        <v>685</v>
      </c>
      <c r="F29" s="7" t="s">
        <v>686</v>
      </c>
      <c r="G29" s="7"/>
      <c r="H29" s="7"/>
    </row>
    <row r="30" spans="1:8" ht="46.35" customHeight="1" x14ac:dyDescent="0.25">
      <c r="A30" s="23" t="s">
        <v>687</v>
      </c>
      <c r="B30" s="22" t="s">
        <v>688</v>
      </c>
      <c r="C30" s="22" t="s">
        <v>689</v>
      </c>
      <c r="D30" s="95" t="s">
        <v>666</v>
      </c>
      <c r="E30" s="22" t="s">
        <v>690</v>
      </c>
      <c r="F30" s="7" t="s">
        <v>691</v>
      </c>
      <c r="G30" s="7"/>
      <c r="H30" s="7"/>
    </row>
    <row r="33" spans="1:8" ht="15" customHeight="1" x14ac:dyDescent="0.25">
      <c r="A33" s="14" t="s">
        <v>692</v>
      </c>
      <c r="B33" s="14"/>
      <c r="C33" s="14"/>
      <c r="D33" s="14"/>
      <c r="E33" s="14"/>
      <c r="F33" s="14"/>
      <c r="G33" s="14"/>
      <c r="H33" s="14"/>
    </row>
    <row r="34" spans="1:8" x14ac:dyDescent="0.25">
      <c r="A34" s="15" t="s">
        <v>8</v>
      </c>
      <c r="B34" s="15" t="s">
        <v>693</v>
      </c>
      <c r="C34" s="15" t="s">
        <v>694</v>
      </c>
      <c r="D34" s="15" t="s">
        <v>695</v>
      </c>
    </row>
    <row r="35" spans="1:8" ht="23.85" customHeight="1" x14ac:dyDescent="0.25">
      <c r="A35" s="85" t="s">
        <v>696</v>
      </c>
      <c r="B35" s="95" t="s">
        <v>657</v>
      </c>
      <c r="C35" s="11" t="s">
        <v>697</v>
      </c>
      <c r="D35" s="11"/>
      <c r="E35" s="11"/>
      <c r="F35" s="100" t="s">
        <v>698</v>
      </c>
      <c r="G35" s="100"/>
      <c r="H35" s="100"/>
    </row>
    <row r="36" spans="1:8" ht="23.85" customHeight="1" x14ac:dyDescent="0.25">
      <c r="A36" s="85" t="s">
        <v>699</v>
      </c>
      <c r="B36" s="95" t="s">
        <v>700</v>
      </c>
      <c r="C36" s="11" t="s">
        <v>701</v>
      </c>
      <c r="D36" s="11"/>
      <c r="E36" s="11"/>
      <c r="F36" s="100" t="s">
        <v>702</v>
      </c>
      <c r="G36" s="100"/>
      <c r="H36" s="100"/>
    </row>
    <row r="37" spans="1:8" ht="23.85" customHeight="1" x14ac:dyDescent="0.25">
      <c r="A37" s="85" t="s">
        <v>703</v>
      </c>
      <c r="B37" s="95" t="s">
        <v>704</v>
      </c>
      <c r="C37" s="11" t="s">
        <v>705</v>
      </c>
      <c r="D37" s="11"/>
      <c r="E37" s="11"/>
      <c r="F37" s="100" t="s">
        <v>706</v>
      </c>
      <c r="G37" s="100"/>
      <c r="H37" s="100"/>
    </row>
    <row r="38" spans="1:8" ht="23.85" customHeight="1" x14ac:dyDescent="0.25">
      <c r="A38" s="85" t="s">
        <v>707</v>
      </c>
      <c r="B38" s="95" t="s">
        <v>708</v>
      </c>
      <c r="C38" s="11" t="s">
        <v>709</v>
      </c>
      <c r="D38" s="11"/>
      <c r="E38" s="11"/>
      <c r="F38" s="100" t="s">
        <v>710</v>
      </c>
      <c r="G38" s="100"/>
      <c r="H38" s="100"/>
    </row>
    <row r="39" spans="1:8" ht="23.85" customHeight="1" x14ac:dyDescent="0.25">
      <c r="A39" s="85" t="s">
        <v>711</v>
      </c>
      <c r="B39" s="95" t="s">
        <v>712</v>
      </c>
      <c r="C39" s="11" t="s">
        <v>713</v>
      </c>
      <c r="D39" s="11"/>
      <c r="E39" s="11"/>
      <c r="F39" s="100" t="s">
        <v>714</v>
      </c>
      <c r="G39" s="100"/>
      <c r="H39" s="100"/>
    </row>
    <row r="40" spans="1:8" ht="23.85" customHeight="1" x14ac:dyDescent="0.25">
      <c r="A40" s="85" t="s">
        <v>715</v>
      </c>
      <c r="B40" s="95" t="s">
        <v>716</v>
      </c>
      <c r="C40" s="11" t="s">
        <v>717</v>
      </c>
      <c r="D40" s="11"/>
      <c r="E40" s="11"/>
      <c r="F40" s="100" t="s">
        <v>718</v>
      </c>
      <c r="G40" s="100"/>
      <c r="H40" s="100"/>
    </row>
    <row r="41" spans="1:8" ht="23.85" customHeight="1" x14ac:dyDescent="0.25">
      <c r="A41" s="85" t="s">
        <v>719</v>
      </c>
      <c r="B41" s="95" t="s">
        <v>720</v>
      </c>
      <c r="C41" s="11" t="s">
        <v>721</v>
      </c>
      <c r="D41" s="11"/>
      <c r="E41" s="11"/>
      <c r="F41" s="100" t="s">
        <v>722</v>
      </c>
      <c r="G41" s="100"/>
      <c r="H41" s="100"/>
    </row>
    <row r="42" spans="1:8" ht="23.85" customHeight="1" x14ac:dyDescent="0.25">
      <c r="A42" s="85" t="s">
        <v>723</v>
      </c>
      <c r="B42" s="95" t="s">
        <v>687</v>
      </c>
      <c r="C42" s="11" t="s">
        <v>724</v>
      </c>
      <c r="D42" s="11"/>
      <c r="E42" s="11"/>
      <c r="F42" s="100" t="s">
        <v>725</v>
      </c>
      <c r="G42" s="100"/>
      <c r="H42" s="100"/>
    </row>
    <row r="43" spans="1:8" ht="23.85" customHeight="1" x14ac:dyDescent="0.25">
      <c r="A43" s="85" t="s">
        <v>726</v>
      </c>
      <c r="B43" s="95" t="s">
        <v>727</v>
      </c>
      <c r="C43" s="11" t="s">
        <v>728</v>
      </c>
      <c r="D43" s="11"/>
      <c r="E43" s="11"/>
      <c r="F43" s="100" t="s">
        <v>729</v>
      </c>
      <c r="G43" s="100"/>
      <c r="H43" s="100"/>
    </row>
    <row r="44" spans="1:8" ht="23.85" customHeight="1" x14ac:dyDescent="0.25">
      <c r="A44" s="85" t="s">
        <v>730</v>
      </c>
      <c r="B44" s="95" t="s">
        <v>731</v>
      </c>
      <c r="C44" s="11" t="s">
        <v>732</v>
      </c>
      <c r="D44" s="11"/>
      <c r="E44" s="11"/>
      <c r="F44" s="100" t="s">
        <v>733</v>
      </c>
      <c r="G44" s="100"/>
      <c r="H44" s="100"/>
    </row>
  </sheetData>
  <mergeCells count="46">
    <mergeCell ref="C43:E43"/>
    <mergeCell ref="F43:H43"/>
    <mergeCell ref="C44:E44"/>
    <mergeCell ref="F44:H44"/>
    <mergeCell ref="C40:E40"/>
    <mergeCell ref="F40:H40"/>
    <mergeCell ref="C41:E41"/>
    <mergeCell ref="F41:H41"/>
    <mergeCell ref="C42:E42"/>
    <mergeCell ref="F42:H42"/>
    <mergeCell ref="C37:E37"/>
    <mergeCell ref="F37:H37"/>
    <mergeCell ref="C38:E38"/>
    <mergeCell ref="F38:H38"/>
    <mergeCell ref="C39:E39"/>
    <mergeCell ref="F39:H39"/>
    <mergeCell ref="A33:H33"/>
    <mergeCell ref="C35:E35"/>
    <mergeCell ref="F35:H35"/>
    <mergeCell ref="C36:E36"/>
    <mergeCell ref="F36:H36"/>
    <mergeCell ref="F26:H26"/>
    <mergeCell ref="F27:H27"/>
    <mergeCell ref="F28:H28"/>
    <mergeCell ref="F29:H29"/>
    <mergeCell ref="F30:H30"/>
    <mergeCell ref="F21:H21"/>
    <mergeCell ref="F22:H22"/>
    <mergeCell ref="F23:H23"/>
    <mergeCell ref="F24:H24"/>
    <mergeCell ref="F25:H25"/>
    <mergeCell ref="F13:H13"/>
    <mergeCell ref="F14:H14"/>
    <mergeCell ref="F15:H15"/>
    <mergeCell ref="F16:H16"/>
    <mergeCell ref="A19:H19"/>
    <mergeCell ref="F8:H8"/>
    <mergeCell ref="F9:H9"/>
    <mergeCell ref="F10:H10"/>
    <mergeCell ref="F11:H11"/>
    <mergeCell ref="F12:H12"/>
    <mergeCell ref="A1:H1"/>
    <mergeCell ref="A2:H2"/>
    <mergeCell ref="A4:H4"/>
    <mergeCell ref="F6:H6"/>
    <mergeCell ref="F7:H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Master Summary</vt:lpstr>
      <vt:lpstr>Metro Brands</vt:lpstr>
      <vt:lpstr>Arvind Fashions</vt:lpstr>
      <vt:lpstr>Trent</vt:lpstr>
      <vt:lpstr>ABFRL</vt:lpstr>
      <vt:lpstr>Lifestyle International</vt:lpstr>
      <vt:lpstr>Assumptions &amp; Methodology</vt:lpstr>
      <vt:lpstr>Sources &amp; Data Quality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priyanshu sengar</cp:lastModifiedBy>
  <cp:revision>0</cp:revision>
  <dcterms:created xsi:type="dcterms:W3CDTF">2026-06-22T08:08:59Z</dcterms:created>
  <dcterms:modified xsi:type="dcterms:W3CDTF">2026-06-22T13:14:38Z</dcterms:modified>
  <dc:language>en-US</dc:language>
</cp:coreProperties>
</file>