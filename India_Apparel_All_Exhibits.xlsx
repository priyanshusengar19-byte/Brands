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-01 Tier Penetration" sheetId="1" state="visible" r:id="rId1"/>
    <sheet xmlns:r="http://schemas.openxmlformats.org/officeDocument/2006/relationships" name="EX-02 Segment Mix" sheetId="2" state="visible" r:id="rId2"/>
    <sheet xmlns:r="http://schemas.openxmlformats.org/officeDocument/2006/relationships" name="EX-03 Pincode Universe" sheetId="3" state="visible" r:id="rId3"/>
    <sheet xmlns:r="http://schemas.openxmlformats.org/officeDocument/2006/relationships" name="EX-04 Premium Saturation" sheetId="4" state="visible" r:id="rId4"/>
    <sheet xmlns:r="http://schemas.openxmlformats.org/officeDocument/2006/relationships" name="EX-05 VF Gateway" sheetId="5" state="visible" r:id="rId5"/>
    <sheet xmlns:r="http://schemas.openxmlformats.org/officeDocument/2006/relationships" name="EX-06 Footwear Co-Presence" sheetId="6" state="visible" r:id="rId6"/>
    <sheet xmlns:r="http://schemas.openxmlformats.org/officeDocument/2006/relationships" name="EX-07 Women's Wear" sheetId="7" state="visible" r:id="rId7"/>
    <sheet xmlns:r="http://schemas.openxmlformats.org/officeDocument/2006/relationships" name="EX-08 Market Fragmentation" sheetId="8" state="visible" r:id="rId8"/>
    <sheet xmlns:r="http://schemas.openxmlformats.org/officeDocument/2006/relationships" name="EX-09 Zudio Case Study" sheetId="9" state="visible" r:id="rId9"/>
    <sheet xmlns:r="http://schemas.openxmlformats.org/officeDocument/2006/relationships" name="EX-10 Global Comparison" sheetId="10" state="visible" r:id="rId10"/>
    <sheet xmlns:r="http://schemas.openxmlformats.org/officeDocument/2006/relationships" name="EX-11 Brand×Tier Heatmap" sheetId="11" state="visible" r:id="rId11"/>
    <sheet xmlns:r="http://schemas.openxmlformats.org/officeDocument/2006/relationships" name="EX-12 Segment Geo Reach" sheetId="12" state="visible" r:id="rId12"/>
    <sheet xmlns:r="http://schemas.openxmlformats.org/officeDocument/2006/relationships" name="EX-13 White Space" sheetId="13" state="visible" r:id="rId13"/>
    <sheet xmlns:r="http://schemas.openxmlformats.org/officeDocument/2006/relationships" name="EX-14 Investor Narrative" sheetId="14" state="visible" r:id="rId14"/>
    <sheet xmlns:r="http://schemas.openxmlformats.org/officeDocument/2006/relationships" name="⚙️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1"/>
  </numFmts>
  <fonts count="4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565C0"/>
      <sz val="10"/>
    </font>
    <font>
      <name val="Calibri"/>
      <b val="1"/>
      <color rgb="00FFFFFF"/>
      <sz val="9"/>
    </font>
    <font>
      <name val="Calibri"/>
      <b val="1"/>
      <color rgb="007B1FA2"/>
      <sz val="9"/>
    </font>
    <font>
      <name val="Calibri"/>
      <color rgb="000D1B2E"/>
      <sz val="9"/>
    </font>
    <font>
      <name val="Calibri"/>
      <b val="1"/>
      <color rgb="001565C0"/>
      <sz val="9"/>
    </font>
    <font>
      <name val="Calibri"/>
      <b val="1"/>
      <color rgb="000E7490"/>
      <sz val="9"/>
    </font>
    <font>
      <name val="Calibri"/>
      <b val="1"/>
      <color rgb="0015803D"/>
      <sz val="9"/>
    </font>
    <font>
      <name val="Calibri"/>
      <b val="1"/>
      <color rgb="00C2410C"/>
      <sz val="9"/>
    </font>
    <font>
      <name val="Calibri"/>
      <color rgb="00FFFFFF"/>
      <sz val="9"/>
    </font>
    <font>
      <name val="Calibri"/>
      <b val="1"/>
      <color rgb="000E7490"/>
      <sz val="10"/>
    </font>
    <font>
      <name val="Calibri"/>
      <b val="1"/>
      <color rgb="0015803D"/>
      <sz val="10"/>
    </font>
    <font>
      <name val="Calibri"/>
      <b val="1"/>
      <color rgb="007B1FA2"/>
      <sz val="10"/>
    </font>
    <font>
      <name val="Calibri"/>
      <b val="1"/>
      <color rgb="00C2410C"/>
      <sz val="10"/>
    </font>
    <font>
      <name val="Calibri"/>
      <b val="1"/>
      <color rgb="000D1B2E"/>
      <sz val="9"/>
    </font>
    <font>
      <name val="Calibri"/>
      <color rgb="00D97706"/>
      <sz val="8"/>
    </font>
    <font>
      <name val="Calibri"/>
      <color rgb="00374151"/>
      <sz val="8"/>
    </font>
    <font>
      <name val="Calibri"/>
      <color rgb="007C3AED"/>
      <sz val="8"/>
    </font>
    <font>
      <name val="Calibri"/>
      <color rgb="00BE185D"/>
      <sz val="8"/>
    </font>
    <font>
      <name val="Calibri"/>
      <color rgb="000369A1"/>
      <sz val="8"/>
    </font>
    <font>
      <name val="Calibri"/>
      <color rgb="00B45309"/>
      <sz val="8"/>
    </font>
    <font>
      <name val="Calibri"/>
      <color rgb="00047857"/>
      <sz val="8"/>
    </font>
    <font>
      <name val="Calibri"/>
      <b val="1"/>
      <color rgb="00FFFFFF"/>
      <sz val="11"/>
    </font>
    <font>
      <name val="Calibri"/>
      <i val="1"/>
      <color rgb="00374151"/>
      <sz val="9"/>
    </font>
    <font>
      <name val="Calibri"/>
      <b val="1"/>
      <color rgb="00D97706"/>
      <sz val="9"/>
    </font>
    <font>
      <name val="Calibri"/>
      <b val="1"/>
      <color rgb="007C3AED"/>
      <sz val="9"/>
    </font>
    <font>
      <name val="Calibri"/>
      <b val="1"/>
      <color rgb="00B91C1C"/>
      <sz val="9"/>
    </font>
    <font>
      <name val="Calibri"/>
      <b val="1"/>
      <color rgb="000369A1"/>
      <sz val="9"/>
    </font>
    <font>
      <name val="Calibri"/>
      <b val="1"/>
      <color rgb="00047857"/>
      <sz val="9"/>
    </font>
    <font>
      <name val="Calibri"/>
      <b val="1"/>
      <color rgb="00BE185D"/>
      <sz val="9"/>
    </font>
    <font>
      <name val="Calibri"/>
      <b val="1"/>
      <color rgb="00B45309"/>
      <sz val="9"/>
    </font>
    <font>
      <name val="Calibri"/>
      <b val="1"/>
      <color rgb="006D28D9"/>
      <sz val="9"/>
    </font>
    <font>
      <name val="Calibri"/>
      <b val="1"/>
      <color rgb="00374151"/>
      <sz val="9"/>
    </font>
    <font>
      <name val="Calibri"/>
      <b val="1"/>
      <color rgb="001A1A2E"/>
      <sz val="9"/>
    </font>
    <font>
      <name val="Calibri"/>
      <i val="1"/>
      <color rgb="00546E7A"/>
      <sz val="9"/>
    </font>
    <font>
      <name val="Calibri"/>
      <color rgb="00374151"/>
      <sz val="9"/>
    </font>
    <font>
      <name val="Calibri"/>
      <b val="1"/>
      <color rgb="0015803D"/>
      <sz val="8"/>
    </font>
    <font>
      <name val="Calibri"/>
      <b val="1"/>
      <color rgb="00B45309"/>
      <sz val="8"/>
    </font>
    <font>
      <name val="Calibri"/>
      <b val="1"/>
      <color rgb="001565C0"/>
      <sz val="8"/>
    </font>
    <font>
      <name val="Calibri"/>
      <b val="1"/>
      <color rgb="00374151"/>
      <sz val="8"/>
    </font>
    <font>
      <name val="Calibri"/>
      <i val="1"/>
      <color rgb="00374151"/>
      <sz val="8"/>
    </font>
    <font>
      <name val="Calibri"/>
      <b val="1"/>
      <color rgb="00FFFFFF"/>
      <sz val="12"/>
    </font>
    <font>
      <name val="Calibri"/>
      <b val="1"/>
      <color rgb="000D1B2E"/>
      <sz val="11"/>
    </font>
    <font>
      <name val="Calibri"/>
      <b val="1"/>
      <color rgb="007B1FA2"/>
      <sz val="11"/>
    </font>
    <font>
      <name val="Calibri"/>
      <b val="1"/>
      <color rgb="000E7490"/>
      <sz val="11"/>
    </font>
    <font>
      <name val="Calibri"/>
      <b val="1"/>
      <color rgb="0015803D"/>
      <sz val="11"/>
    </font>
    <font>
      <name val="Calibri"/>
      <b val="1"/>
      <color rgb="001565C0"/>
      <sz val="11"/>
    </font>
  </fonts>
  <fills count="3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0D1B2E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CFF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0E7490"/>
      </patternFill>
    </fill>
    <fill>
      <patternFill patternType="solid">
        <fgColor rgb="0015803D"/>
      </patternFill>
    </fill>
    <fill>
      <patternFill patternType="solid">
        <fgColor rgb="007B1FA2"/>
      </patternFill>
    </fill>
    <fill>
      <patternFill patternType="solid">
        <fgColor rgb="00C2410C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1565C0"/>
      </patternFill>
    </fill>
    <fill>
      <patternFill patternType="solid">
        <fgColor rgb="00F9FAFB"/>
      </patternFill>
    </fill>
    <fill>
      <patternFill patternType="solid">
        <fgColor rgb="00F1F5F9"/>
      </patternFill>
    </fill>
    <fill>
      <patternFill patternType="solid">
        <fgColor rgb="00FDE68A"/>
      </patternFill>
    </fill>
    <fill>
      <patternFill patternType="solid">
        <fgColor rgb="0092400E"/>
      </patternFill>
    </fill>
    <fill>
      <patternFill patternType="solid">
        <fgColor rgb="00065F46"/>
      </patternFill>
    </fill>
    <fill>
      <patternFill patternType="solid">
        <fgColor rgb="00831843"/>
      </patternFill>
    </fill>
    <fill>
      <patternFill patternType="solid">
        <fgColor rgb="00FEF9C3"/>
      </patternFill>
    </fill>
    <fill>
      <patternFill patternType="solid">
        <fgColor rgb="000369A1"/>
      </patternFill>
    </fill>
    <fill>
      <patternFill patternType="solid">
        <fgColor rgb="0014532D"/>
      </patternFill>
    </fill>
    <fill>
      <patternFill patternType="solid">
        <fgColor rgb="001E3A5F"/>
      </patternFill>
    </fill>
    <fill>
      <patternFill patternType="solid">
        <fgColor rgb="00D8B4FE"/>
      </patternFill>
    </fill>
    <fill>
      <patternFill patternType="solid">
        <fgColor rgb="0093C5FD"/>
      </patternFill>
    </fill>
    <fill>
      <patternFill patternType="solid">
        <fgColor rgb="006ED3E0"/>
      </patternFill>
    </fill>
    <fill>
      <patternFill patternType="solid">
        <fgColor rgb="0086EFAC"/>
      </patternFill>
    </fill>
    <fill>
      <patternFill patternType="solid">
        <fgColor rgb="00FED7AA"/>
      </patternFill>
    </fill>
    <fill>
      <patternFill patternType="solid">
        <fgColor rgb="00164E63"/>
      </patternFill>
    </fill>
  </fills>
  <borders count="7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3" fillId="4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2" fontId="5" fillId="16" borderId="2" applyAlignment="1" pivotButton="0" quotePrefix="0" xfId="0">
      <alignment horizontal="center" vertical="center"/>
    </xf>
    <xf numFmtId="166" fontId="5" fillId="6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2" fontId="5" fillId="10" borderId="2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2" fontId="5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23" fillId="17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center" vertical="center"/>
    </xf>
    <xf numFmtId="3" fontId="8" fillId="9" borderId="2" applyAlignment="1" pivotButton="0" quotePrefix="0" xfId="0">
      <alignment horizontal="center" vertical="center"/>
    </xf>
    <xf numFmtId="3" fontId="9" fillId="10" borderId="2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25" fillId="6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6" fillId="7" borderId="2" applyAlignment="1" pivotButton="0" quotePrefix="0" xfId="0">
      <alignment horizontal="left" vertical="center"/>
    </xf>
    <xf numFmtId="0" fontId="27" fillId="16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left" vertical="center" wrapText="1"/>
    </xf>
    <xf numFmtId="0" fontId="28" fillId="6" borderId="2" applyAlignment="1" pivotButton="0" quotePrefix="0" xfId="0">
      <alignment horizontal="left" vertical="center"/>
    </xf>
    <xf numFmtId="0" fontId="29" fillId="7" borderId="2" applyAlignment="1" pivotButton="0" quotePrefix="0" xfId="0">
      <alignment horizontal="left" vertical="center"/>
    </xf>
    <xf numFmtId="0" fontId="15" fillId="18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left" vertical="center"/>
    </xf>
    <xf numFmtId="0" fontId="31" fillId="7" borderId="2" applyAlignment="1" pivotButton="0" quotePrefix="0" xfId="0">
      <alignment horizontal="left" vertical="center"/>
    </xf>
    <xf numFmtId="0" fontId="32" fillId="6" borderId="2" applyAlignment="1" pivotButton="0" quotePrefix="0" xfId="0">
      <alignment horizontal="left" vertical="center"/>
    </xf>
    <xf numFmtId="0" fontId="33" fillId="7" borderId="2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0" fontId="34" fillId="19" borderId="2" pivotButton="0" quotePrefix="0" xfId="0"/>
    <xf numFmtId="0" fontId="15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left" vertical="center" wrapText="1"/>
    </xf>
    <xf numFmtId="0" fontId="36" fillId="9" borderId="2" pivotButton="0" quotePrefix="0" xfId="0"/>
    <xf numFmtId="0" fontId="5" fillId="9" borderId="2" applyAlignment="1" pivotButton="0" quotePrefix="0" xfId="0">
      <alignment horizontal="center" vertical="center"/>
    </xf>
    <xf numFmtId="0" fontId="35" fillId="9" borderId="2" applyAlignment="1" pivotButton="0" quotePrefix="0" xfId="0">
      <alignment horizontal="left" vertical="center" wrapText="1"/>
    </xf>
    <xf numFmtId="0" fontId="36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5" fillId="5" borderId="2" applyAlignment="1" pivotButton="0" quotePrefix="0" xfId="0">
      <alignment horizontal="left" vertical="center" wrapText="1"/>
    </xf>
    <xf numFmtId="0" fontId="36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35" fillId="3" borderId="2" applyAlignment="1" pivotButton="0" quotePrefix="0" xfId="0">
      <alignment horizontal="left" vertical="center" wrapText="1"/>
    </xf>
    <xf numFmtId="0" fontId="36" fillId="8" borderId="2" pivotButton="0" quotePrefix="0" xfId="0"/>
    <xf numFmtId="0" fontId="5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35" fillId="8" borderId="2" applyAlignment="1" pivotButton="0" quotePrefix="0" xfId="0">
      <alignment horizontal="left" vertical="center" wrapText="1"/>
    </xf>
    <xf numFmtId="0" fontId="36" fillId="10" borderId="2" pivotButton="0" quotePrefix="0" xfId="0"/>
    <xf numFmtId="0" fontId="5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35" fillId="10" borderId="2" applyAlignment="1" pivotButton="0" quotePrefix="0" xfId="0">
      <alignment horizontal="left" vertical="center" wrapText="1"/>
    </xf>
    <xf numFmtId="0" fontId="36" fillId="16" borderId="2" pivotButton="0" quotePrefix="0" xfId="0"/>
    <xf numFmtId="0" fontId="5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0" fontId="35" fillId="16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23" fillId="13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center" vertical="center"/>
    </xf>
    <xf numFmtId="0" fontId="23" fillId="21" borderId="0" applyAlignment="1" pivotButton="0" quotePrefix="0" xfId="0">
      <alignment horizontal="left" vertical="center"/>
    </xf>
    <xf numFmtId="3" fontId="5" fillId="9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left" vertical="center"/>
    </xf>
    <xf numFmtId="0" fontId="23" fillId="22" borderId="0" applyAlignment="1" pivotButton="0" quotePrefix="0" xfId="0">
      <alignment horizontal="left" vertical="center"/>
    </xf>
    <xf numFmtId="0" fontId="23" fillId="23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31" fillId="6" borderId="2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15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37" fillId="9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/>
    </xf>
    <xf numFmtId="0" fontId="16" fillId="7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38" fillId="24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39" fillId="3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40" fillId="18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9" fillId="7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23" fillId="2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41" fillId="6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center" vertical="center"/>
    </xf>
    <xf numFmtId="0" fontId="41" fillId="15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41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41" fillId="9" borderId="2" applyAlignment="1" pivotButton="0" quotePrefix="0" xfId="0">
      <alignment horizontal="center" vertical="center"/>
    </xf>
    <xf numFmtId="0" fontId="23" fillId="27" borderId="0" applyAlignment="1" pivotButton="0" quotePrefix="0" xfId="0">
      <alignment horizontal="left" vertical="center"/>
    </xf>
    <xf numFmtId="3" fontId="5" fillId="28" borderId="2" applyAlignment="1" pivotButton="0" quotePrefix="0" xfId="0">
      <alignment horizontal="center" vertical="center"/>
    </xf>
    <xf numFmtId="3" fontId="5" fillId="29" borderId="2" applyAlignment="1" pivotButton="0" quotePrefix="0" xfId="0">
      <alignment horizontal="center" vertical="center"/>
    </xf>
    <xf numFmtId="3" fontId="5" fillId="30" borderId="2" applyAlignment="1" pivotButton="0" quotePrefix="0" xfId="0">
      <alignment horizontal="center" vertical="center"/>
    </xf>
    <xf numFmtId="3" fontId="5" fillId="31" borderId="2" applyAlignment="1" pivotButton="0" quotePrefix="0" xfId="0">
      <alignment horizontal="center" vertical="center"/>
    </xf>
    <xf numFmtId="3" fontId="5" fillId="32" borderId="2" applyAlignment="1" pivotButton="0" quotePrefix="0" xfId="0">
      <alignment horizontal="center" vertical="center"/>
    </xf>
    <xf numFmtId="3" fontId="5" fillId="8" borderId="2" applyAlignment="1" pivotButton="0" quotePrefix="0" xfId="0">
      <alignment horizontal="center" vertical="center"/>
    </xf>
    <xf numFmtId="3" fontId="5" fillId="10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center" vertical="center"/>
    </xf>
    <xf numFmtId="0" fontId="23" fillId="33" borderId="0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left" vertical="center" wrapText="1"/>
    </xf>
    <xf numFmtId="0" fontId="15" fillId="24" borderId="2" applyAlignment="1" pivotButton="0" quotePrefix="0" xfId="0">
      <alignment horizontal="left" vertical="center"/>
    </xf>
    <xf numFmtId="0" fontId="24" fillId="24" borderId="2" applyAlignment="1" pivotButton="0" quotePrefix="0" xfId="0">
      <alignment horizontal="left" vertical="center" wrapText="1"/>
    </xf>
    <xf numFmtId="0" fontId="8" fillId="24" borderId="2" applyAlignment="1" pivotButton="0" quotePrefix="0" xfId="0">
      <alignment horizontal="center" vertical="center"/>
    </xf>
    <xf numFmtId="0" fontId="35" fillId="24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left" vertical="center"/>
    </xf>
    <xf numFmtId="0" fontId="24" fillId="3" borderId="2" applyAlignment="1" pivotButton="0" quotePrefix="0" xfId="0">
      <alignment horizontal="left" vertical="center" wrapText="1"/>
    </xf>
    <xf numFmtId="0" fontId="15" fillId="16" borderId="2" applyAlignment="1" pivotButton="0" quotePrefix="0" xfId="0">
      <alignment horizontal="left" vertical="center"/>
    </xf>
    <xf numFmtId="0" fontId="24" fillId="16" borderId="2" applyAlignment="1" pivotButton="0" quotePrefix="0" xfId="0">
      <alignment horizontal="left" vertical="center" wrapText="1"/>
    </xf>
    <xf numFmtId="0" fontId="5" fillId="24" borderId="2" applyAlignment="1" pivotButton="0" quotePrefix="0" xfId="0">
      <alignment horizontal="center" vertical="center"/>
    </xf>
    <xf numFmtId="0" fontId="42" fillId="4" borderId="0" applyAlignment="1" pivotButton="0" quotePrefix="0" xfId="0">
      <alignment horizontal="left" vertical="center"/>
    </xf>
    <xf numFmtId="0" fontId="43" fillId="3" borderId="0" applyAlignment="1" pivotButton="0" quotePrefix="0" xfId="0">
      <alignment horizontal="left" vertical="center"/>
    </xf>
    <xf numFmtId="0" fontId="36" fillId="7" borderId="0" applyAlignment="1" pivotButton="0" quotePrefix="0" xfId="0">
      <alignment horizontal="left" vertical="top" wrapText="1"/>
    </xf>
    <xf numFmtId="0" fontId="44" fillId="5" borderId="0" applyAlignment="1" pivotButton="0" quotePrefix="0" xfId="0">
      <alignment horizontal="left" vertical="center"/>
    </xf>
    <xf numFmtId="0" fontId="45" fillId="8" borderId="0" applyAlignment="1" pivotButton="0" quotePrefix="0" xfId="0">
      <alignment horizontal="left" vertical="center"/>
    </xf>
    <xf numFmtId="0" fontId="46" fillId="9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4" fillId="5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2" fontId="10" fillId="4" borderId="2" applyAlignment="1" pivotButton="0" quotePrefix="0" xfId="0">
      <alignment horizontal="center" vertical="center"/>
    </xf>
    <xf numFmtId="0" fontId="11" fillId="8" borderId="0" pivotButton="0" quotePrefix="0" xfId="0"/>
    <xf numFmtId="0" fontId="12" fillId="9" borderId="0" pivotButton="0" quotePrefix="0" xfId="0"/>
    <xf numFmtId="0" fontId="13" fillId="5" borderId="0" pivotButton="0" quotePrefix="0" xfId="0"/>
    <xf numFmtId="165" fontId="0" fillId="7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14" fillId="10" borderId="0" pivotButton="0" quotePrefix="0" xfId="0"/>
    <xf numFmtId="0" fontId="2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E"/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 ht="28" customHeight="1">
      <c r="A1" s="1" t="inlineStr">
        <is>
          <t>EX-01  TIER PENETRATION OVERVIEW — Stores, Revenue &amp; Density</t>
        </is>
      </c>
    </row>
    <row r="2" ht="18" customHeight="1">
      <c r="A2" s="2" t="inlineStr">
        <is>
          <t>All numbers formula-linked to ⚙️ DATA. Update DATA → exhibits auto-refresh. No hardcoded numbers in exhibit cells.</t>
        </is>
      </c>
    </row>
    <row r="4" ht="24" customHeight="1">
      <c r="A4" s="3" t="inlineStr">
        <is>
          <t>Tier</t>
        </is>
      </c>
      <c r="B4" s="3" t="inlineStr">
        <is>
          <t>Label</t>
        </is>
      </c>
      <c r="C4" s="3" t="inlineStr">
        <is>
          <t>Stores</t>
        </is>
      </c>
      <c r="D4" s="3" t="inlineStr">
        <is>
          <t>Stores%</t>
        </is>
      </c>
      <c r="E4" s="3" t="inlineStr">
        <is>
          <t>Revenue (₹Cr)</t>
        </is>
      </c>
      <c r="F4" s="3" t="inlineStr">
        <is>
          <t>Rev%</t>
        </is>
      </c>
      <c r="G4" s="3" t="inlineStr">
        <is>
          <t>Active Pins</t>
        </is>
      </c>
      <c r="H4" s="3" t="inlineStr">
        <is>
          <t>SPP</t>
        </is>
      </c>
      <c r="I4" s="3" t="inlineStr">
        <is>
          <t>Rev/Pin</t>
        </is>
      </c>
      <c r="J4" s="3" t="inlineStr">
        <is>
          <t>Rev/Store</t>
        </is>
      </c>
      <c r="K4" s="3" t="inlineStr">
        <is>
          <t>Status</t>
        </is>
      </c>
    </row>
    <row r="5" ht="20" customHeight="1">
      <c r="A5" s="4">
        <f>'⚙️ DATA'!A5</f>
        <v/>
      </c>
      <c r="B5" s="5">
        <f>'⚙️ DATA'!B5</f>
        <v/>
      </c>
      <c r="C5" s="6">
        <f>'⚙️ DATA'!C5</f>
        <v/>
      </c>
      <c r="D5" s="7">
        <f>'⚙️ DATA'!C5/'⚙️ DATA'!C10</f>
        <v/>
      </c>
      <c r="E5" s="8">
        <f>'⚙️ DATA'!D5</f>
        <v/>
      </c>
      <c r="F5" s="7">
        <f>'⚙️ DATA'!D5/'⚙️ DATA'!D10</f>
        <v/>
      </c>
      <c r="G5" s="6">
        <f>'⚙️ DATA'!E5</f>
        <v/>
      </c>
      <c r="H5" s="9">
        <f>'⚙️ DATA'!F5</f>
        <v/>
      </c>
      <c r="I5" s="10">
        <f>'⚙️ DATA'!H5</f>
        <v/>
      </c>
      <c r="J5" s="11">
        <f>'⚙️ DATA'!G5</f>
        <v/>
      </c>
      <c r="K5" s="12" t="inlineStr">
        <is>
          <t>⛔ SATURATING</t>
        </is>
      </c>
    </row>
    <row r="6" ht="20" customHeight="1">
      <c r="A6" s="13">
        <f>'⚙️ DATA'!A6</f>
        <v/>
      </c>
      <c r="B6" s="14">
        <f>'⚙️ DATA'!B6</f>
        <v/>
      </c>
      <c r="C6" s="15">
        <f>'⚙️ DATA'!C6</f>
        <v/>
      </c>
      <c r="D6" s="16">
        <f>'⚙️ DATA'!C6/'⚙️ DATA'!C10</f>
        <v/>
      </c>
      <c r="E6" s="17">
        <f>'⚙️ DATA'!D6</f>
        <v/>
      </c>
      <c r="F6" s="16">
        <f>'⚙️ DATA'!D6/'⚙️ DATA'!D10</f>
        <v/>
      </c>
      <c r="G6" s="15">
        <f>'⚙️ DATA'!E6</f>
        <v/>
      </c>
      <c r="H6" s="18">
        <f>'⚙️ DATA'!F6</f>
        <v/>
      </c>
      <c r="I6" s="19">
        <f>'⚙️ DATA'!H6</f>
        <v/>
      </c>
      <c r="J6" s="20">
        <f>'⚙️ DATA'!G6</f>
        <v/>
      </c>
      <c r="K6" s="21" t="inlineStr">
        <is>
          <t>🔴 HIGH</t>
        </is>
      </c>
    </row>
    <row r="7" ht="20" customHeight="1">
      <c r="A7" s="22">
        <f>'⚙️ DATA'!A7</f>
        <v/>
      </c>
      <c r="B7" s="5">
        <f>'⚙️ DATA'!B7</f>
        <v/>
      </c>
      <c r="C7" s="6">
        <f>'⚙️ DATA'!C7</f>
        <v/>
      </c>
      <c r="D7" s="7">
        <f>'⚙️ DATA'!C7/'⚙️ DATA'!C10</f>
        <v/>
      </c>
      <c r="E7" s="8">
        <f>'⚙️ DATA'!D7</f>
        <v/>
      </c>
      <c r="F7" s="7">
        <f>'⚙️ DATA'!D7/'⚙️ DATA'!D10</f>
        <v/>
      </c>
      <c r="G7" s="6">
        <f>'⚙️ DATA'!E7</f>
        <v/>
      </c>
      <c r="H7" s="18">
        <f>'⚙️ DATA'!F7</f>
        <v/>
      </c>
      <c r="I7" s="10">
        <f>'⚙️ DATA'!H7</f>
        <v/>
      </c>
      <c r="J7" s="11">
        <f>'⚙️ DATA'!G7</f>
        <v/>
      </c>
      <c r="K7" s="12" t="inlineStr">
        <is>
          <t>🟢 BENCHMARK</t>
        </is>
      </c>
    </row>
    <row r="8" ht="20" customHeight="1">
      <c r="A8" s="23">
        <f>'⚙️ DATA'!A8</f>
        <v/>
      </c>
      <c r="B8" s="14">
        <f>'⚙️ DATA'!B8</f>
        <v/>
      </c>
      <c r="C8" s="15">
        <f>'⚙️ DATA'!C8</f>
        <v/>
      </c>
      <c r="D8" s="16">
        <f>'⚙️ DATA'!C8/'⚙️ DATA'!C10</f>
        <v/>
      </c>
      <c r="E8" s="17">
        <f>'⚙️ DATA'!D8</f>
        <v/>
      </c>
      <c r="F8" s="16">
        <f>'⚙️ DATA'!D8/'⚙️ DATA'!D10</f>
        <v/>
      </c>
      <c r="G8" s="15">
        <f>'⚙️ DATA'!E8</f>
        <v/>
      </c>
      <c r="H8" s="24">
        <f>'⚙️ DATA'!F8</f>
        <v/>
      </c>
      <c r="I8" s="19">
        <f>'⚙️ DATA'!H8</f>
        <v/>
      </c>
      <c r="J8" s="20">
        <f>'⚙️ DATA'!G8</f>
        <v/>
      </c>
      <c r="K8" s="21" t="inlineStr">
        <is>
          <t>🔵 WHITESPACE</t>
        </is>
      </c>
    </row>
    <row r="9" ht="20" customHeight="1">
      <c r="A9" s="25">
        <f>'⚙️ DATA'!A9</f>
        <v/>
      </c>
      <c r="B9" s="5">
        <f>'⚙️ DATA'!B9</f>
        <v/>
      </c>
      <c r="C9" s="6">
        <f>'⚙️ DATA'!C9</f>
        <v/>
      </c>
      <c r="D9" s="7">
        <f>'⚙️ DATA'!C9/'⚙️ DATA'!C10</f>
        <v/>
      </c>
      <c r="E9" s="8">
        <f>'⚙️ DATA'!D9</f>
        <v/>
      </c>
      <c r="F9" s="7">
        <f>'⚙️ DATA'!D9/'⚙️ DATA'!D10</f>
        <v/>
      </c>
      <c r="G9" s="6">
        <f>'⚙️ DATA'!E9</f>
        <v/>
      </c>
      <c r="H9" s="18">
        <f>'⚙️ DATA'!F9</f>
        <v/>
      </c>
      <c r="I9" s="10">
        <f>'⚙️ DATA'!H9</f>
        <v/>
      </c>
      <c r="J9" s="11">
        <f>'⚙️ DATA'!G9</f>
        <v/>
      </c>
      <c r="K9" s="12" t="inlineStr">
        <is>
          <t>⚪ MICRO</t>
        </is>
      </c>
    </row>
    <row r="10" ht="20" customHeight="1">
      <c r="A10" s="26">
        <f>'⚙️ DATA'!A10</f>
        <v/>
      </c>
      <c r="B10" s="27" t="inlineStr">
        <is>
          <t>All India</t>
        </is>
      </c>
      <c r="C10" s="28">
        <f>'⚙️ DATA'!C10</f>
        <v/>
      </c>
      <c r="D10" s="26" t="inlineStr">
        <is>
          <t>100%</t>
        </is>
      </c>
      <c r="E10" s="29">
        <f>'⚙️ DATA'!E10</f>
        <v/>
      </c>
      <c r="F10" s="26" t="inlineStr">
        <is>
          <t>100%</t>
        </is>
      </c>
      <c r="G10" s="28">
        <f>'⚙️ DATA'!G10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K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2" customWidth="1" min="10" max="10"/>
  </cols>
  <sheetData>
    <row r="1" ht="30" customHeight="1">
      <c r="A1" s="30" t="inlineStr">
        <is>
          <t>EX-02  SEGMENT MIX — Stores, Revenue &amp; Metro→T3 Shift (formula-driven)</t>
        </is>
      </c>
    </row>
    <row r="2" ht="18" customHeight="1">
      <c r="A2" s="2" t="inlineStr">
        <is>
          <t>All stores/revenue cells = formulas from ⚙️ DATA. % cells = formula ÷ total. Amber ≥ 20%.</t>
        </is>
      </c>
    </row>
    <row r="4" ht="20" customHeight="1">
      <c r="A4" s="31" t="inlineStr">
        <is>
          <t>A · STORES (formulas from ⚙️ DATA Block B)</t>
        </is>
      </c>
    </row>
    <row r="5" ht="24" customHeight="1">
      <c r="A5" s="32" t="inlineStr">
        <is>
          <t>Tier</t>
        </is>
      </c>
      <c r="B5" s="32" t="inlineStr">
        <is>
          <t>Value Fashion</t>
        </is>
      </c>
      <c r="C5" s="32" t="inlineStr">
        <is>
          <t>Premium Menswear</t>
        </is>
      </c>
      <c r="D5" s="32" t="inlineStr">
        <is>
          <t>Mid Menswear</t>
        </is>
      </c>
      <c r="E5" s="32" t="inlineStr">
        <is>
          <t>Footwear</t>
        </is>
      </c>
      <c r="F5" s="32" t="inlineStr">
        <is>
          <t>Activewear</t>
        </is>
      </c>
      <c r="G5" s="32" t="inlineStr">
        <is>
          <t>Women's Ethnic</t>
        </is>
      </c>
      <c r="H5" s="32" t="inlineStr">
        <is>
          <t>Women's Western</t>
        </is>
      </c>
      <c r="I5" s="32" t="inlineStr">
        <is>
          <t>Multi/Lifestyle</t>
        </is>
      </c>
      <c r="J5" s="32" t="inlineStr">
        <is>
          <t>TOTAL</t>
        </is>
      </c>
    </row>
    <row r="6" ht="18" customHeight="1">
      <c r="A6" s="4">
        <f>'⚙️ DATA'!A14</f>
        <v/>
      </c>
      <c r="B6" s="15">
        <f>'⚙️ DATA'!B14</f>
        <v/>
      </c>
      <c r="C6" s="15">
        <f>'⚙️ DATA'!C14</f>
        <v/>
      </c>
      <c r="D6" s="15">
        <f>'⚙️ DATA'!D14</f>
        <v/>
      </c>
      <c r="E6" s="15">
        <f>'⚙️ DATA'!E14</f>
        <v/>
      </c>
      <c r="F6" s="15">
        <f>'⚙️ DATA'!F14</f>
        <v/>
      </c>
      <c r="G6" s="15">
        <f>'⚙️ DATA'!G14</f>
        <v/>
      </c>
      <c r="H6" s="15">
        <f>'⚙️ DATA'!H14</f>
        <v/>
      </c>
      <c r="I6" s="15">
        <f>'⚙️ DATA'!I14</f>
        <v/>
      </c>
      <c r="J6" s="33">
        <f>'⚙️ DATA'!J14</f>
        <v/>
      </c>
    </row>
    <row r="7" ht="18" customHeight="1">
      <c r="A7" s="13">
        <f>'⚙️ DATA'!A15</f>
        <v/>
      </c>
      <c r="B7" s="6">
        <f>'⚙️ DATA'!B15</f>
        <v/>
      </c>
      <c r="C7" s="6">
        <f>'⚙️ DATA'!C15</f>
        <v/>
      </c>
      <c r="D7" s="6">
        <f>'⚙️ DATA'!D15</f>
        <v/>
      </c>
      <c r="E7" s="6">
        <f>'⚙️ DATA'!E15</f>
        <v/>
      </c>
      <c r="F7" s="6">
        <f>'⚙️ DATA'!F15</f>
        <v/>
      </c>
      <c r="G7" s="6">
        <f>'⚙️ DATA'!G15</f>
        <v/>
      </c>
      <c r="H7" s="6">
        <f>'⚙️ DATA'!H15</f>
        <v/>
      </c>
      <c r="I7" s="6">
        <f>'⚙️ DATA'!I15</f>
        <v/>
      </c>
      <c r="J7" s="34">
        <f>'⚙️ DATA'!J15</f>
        <v/>
      </c>
    </row>
    <row r="8" ht="18" customHeight="1">
      <c r="A8" s="22">
        <f>'⚙️ DATA'!A16</f>
        <v/>
      </c>
      <c r="B8" s="15">
        <f>'⚙️ DATA'!B16</f>
        <v/>
      </c>
      <c r="C8" s="15">
        <f>'⚙️ DATA'!C16</f>
        <v/>
      </c>
      <c r="D8" s="15">
        <f>'⚙️ DATA'!D16</f>
        <v/>
      </c>
      <c r="E8" s="15">
        <f>'⚙️ DATA'!E16</f>
        <v/>
      </c>
      <c r="F8" s="15">
        <f>'⚙️ DATA'!F16</f>
        <v/>
      </c>
      <c r="G8" s="15">
        <f>'⚙️ DATA'!G16</f>
        <v/>
      </c>
      <c r="H8" s="15">
        <f>'⚙️ DATA'!H16</f>
        <v/>
      </c>
      <c r="I8" s="15">
        <f>'⚙️ DATA'!I16</f>
        <v/>
      </c>
      <c r="J8" s="35">
        <f>'⚙️ DATA'!J16</f>
        <v/>
      </c>
    </row>
    <row r="9" ht="18" customHeight="1">
      <c r="A9" s="23">
        <f>'⚙️ DATA'!A17</f>
        <v/>
      </c>
      <c r="B9" s="6">
        <f>'⚙️ DATA'!B17</f>
        <v/>
      </c>
      <c r="C9" s="6">
        <f>'⚙️ DATA'!C17</f>
        <v/>
      </c>
      <c r="D9" s="6">
        <f>'⚙️ DATA'!D17</f>
        <v/>
      </c>
      <c r="E9" s="6">
        <f>'⚙️ DATA'!E17</f>
        <v/>
      </c>
      <c r="F9" s="6">
        <f>'⚙️ DATA'!F17</f>
        <v/>
      </c>
      <c r="G9" s="6">
        <f>'⚙️ DATA'!G17</f>
        <v/>
      </c>
      <c r="H9" s="6">
        <f>'⚙️ DATA'!H17</f>
        <v/>
      </c>
      <c r="I9" s="6">
        <f>'⚙️ DATA'!I17</f>
        <v/>
      </c>
      <c r="J9" s="36">
        <f>'⚙️ DATA'!J17</f>
        <v/>
      </c>
    </row>
    <row r="10" ht="18" customHeight="1">
      <c r="A10" s="25">
        <f>'⚙️ DATA'!A18</f>
        <v/>
      </c>
      <c r="B10" s="15">
        <f>'⚙️ DATA'!B18</f>
        <v/>
      </c>
      <c r="C10" s="15">
        <f>'⚙️ DATA'!C18</f>
        <v/>
      </c>
      <c r="D10" s="15">
        <f>'⚙️ DATA'!D18</f>
        <v/>
      </c>
      <c r="E10" s="15">
        <f>'⚙️ DATA'!E18</f>
        <v/>
      </c>
      <c r="F10" s="15">
        <f>'⚙️ DATA'!F18</f>
        <v/>
      </c>
      <c r="G10" s="15">
        <f>'⚙️ DATA'!G18</f>
        <v/>
      </c>
      <c r="H10" s="15">
        <f>'⚙️ DATA'!H18</f>
        <v/>
      </c>
      <c r="I10" s="15">
        <f>'⚙️ DATA'!I18</f>
        <v/>
      </c>
      <c r="J10" s="37">
        <f>'⚙️ DATA'!J18</f>
        <v/>
      </c>
    </row>
    <row r="11">
      <c r="A11" s="26">
        <f>'⚙️ DATA'!A19</f>
        <v/>
      </c>
      <c r="B11" s="28">
        <f>'⚙️ DATA'!B19</f>
        <v/>
      </c>
      <c r="C11" s="28">
        <f>'⚙️ DATA'!C19</f>
        <v/>
      </c>
      <c r="D11" s="28">
        <f>'⚙️ DATA'!D19</f>
        <v/>
      </c>
      <c r="E11" s="28">
        <f>'⚙️ DATA'!E19</f>
        <v/>
      </c>
      <c r="F11" s="28">
        <f>'⚙️ DATA'!F19</f>
        <v/>
      </c>
      <c r="G11" s="28">
        <f>'⚙️ DATA'!G19</f>
        <v/>
      </c>
      <c r="H11" s="28">
        <f>'⚙️ DATA'!H19</f>
        <v/>
      </c>
      <c r="I11" s="28">
        <f>'⚙️ DATA'!I19</f>
        <v/>
      </c>
      <c r="J11" s="28">
        <f>'⚙️ DATA'!J19</f>
        <v/>
      </c>
    </row>
    <row r="13" ht="20" customHeight="1">
      <c r="A13" s="38" t="inlineStr">
        <is>
          <t>B · % WITHIN TIER (formulas: each cell÷tier total from ⚙️ DATA Block D)</t>
        </is>
      </c>
    </row>
    <row r="14" ht="24" customHeight="1">
      <c r="A14" s="39" t="inlineStr">
        <is>
          <t>Tier</t>
        </is>
      </c>
      <c r="B14" s="39" t="inlineStr">
        <is>
          <t>Value Fashion</t>
        </is>
      </c>
      <c r="C14" s="39" t="inlineStr">
        <is>
          <t>Premium Menswear</t>
        </is>
      </c>
      <c r="D14" s="39" t="inlineStr">
        <is>
          <t>Mid Menswear</t>
        </is>
      </c>
      <c r="E14" s="39" t="inlineStr">
        <is>
          <t>Footwear</t>
        </is>
      </c>
      <c r="F14" s="39" t="inlineStr">
        <is>
          <t>Activewear</t>
        </is>
      </c>
      <c r="G14" s="39" t="inlineStr">
        <is>
          <t>Women's Ethnic</t>
        </is>
      </c>
      <c r="H14" s="39" t="inlineStr">
        <is>
          <t>Women's Western</t>
        </is>
      </c>
      <c r="I14" s="39" t="inlineStr">
        <is>
          <t>Multi/Lifestyle</t>
        </is>
      </c>
    </row>
    <row r="15" ht="18" customHeight="1">
      <c r="A15" s="4">
        <f>'⚙️ DATA'!A14</f>
        <v/>
      </c>
      <c r="B15" s="7">
        <f>'⚙️ DATA'!B32</f>
        <v/>
      </c>
      <c r="C15" s="7">
        <f>'⚙️ DATA'!C32</f>
        <v/>
      </c>
      <c r="D15" s="7">
        <f>'⚙️ DATA'!D32</f>
        <v/>
      </c>
      <c r="E15" s="7">
        <f>'⚙️ DATA'!E32</f>
        <v/>
      </c>
      <c r="F15" s="7">
        <f>'⚙️ DATA'!F32</f>
        <v/>
      </c>
      <c r="G15" s="7">
        <f>'⚙️ DATA'!G32</f>
        <v/>
      </c>
      <c r="H15" s="7">
        <f>'⚙️ DATA'!H32</f>
        <v/>
      </c>
      <c r="I15" s="7">
        <f>'⚙️ DATA'!I32</f>
        <v/>
      </c>
    </row>
    <row r="16" ht="18" customHeight="1">
      <c r="A16" s="13">
        <f>'⚙️ DATA'!A15</f>
        <v/>
      </c>
      <c r="B16" s="16">
        <f>'⚙️ DATA'!B33</f>
        <v/>
      </c>
      <c r="C16" s="16">
        <f>'⚙️ DATA'!C33</f>
        <v/>
      </c>
      <c r="D16" s="16">
        <f>'⚙️ DATA'!D33</f>
        <v/>
      </c>
      <c r="E16" s="16">
        <f>'⚙️ DATA'!E33</f>
        <v/>
      </c>
      <c r="F16" s="16">
        <f>'⚙️ DATA'!F33</f>
        <v/>
      </c>
      <c r="G16" s="16">
        <f>'⚙️ DATA'!G33</f>
        <v/>
      </c>
      <c r="H16" s="16">
        <f>'⚙️ DATA'!H33</f>
        <v/>
      </c>
      <c r="I16" s="16">
        <f>'⚙️ DATA'!I33</f>
        <v/>
      </c>
    </row>
    <row r="17" ht="18" customHeight="1">
      <c r="A17" s="22">
        <f>'⚙️ DATA'!A16</f>
        <v/>
      </c>
      <c r="B17" s="7">
        <f>'⚙️ DATA'!B34</f>
        <v/>
      </c>
      <c r="C17" s="7">
        <f>'⚙️ DATA'!C34</f>
        <v/>
      </c>
      <c r="D17" s="7">
        <f>'⚙️ DATA'!D34</f>
        <v/>
      </c>
      <c r="E17" s="7">
        <f>'⚙️ DATA'!E34</f>
        <v/>
      </c>
      <c r="F17" s="7">
        <f>'⚙️ DATA'!F34</f>
        <v/>
      </c>
      <c r="G17" s="7">
        <f>'⚙️ DATA'!G34</f>
        <v/>
      </c>
      <c r="H17" s="7">
        <f>'⚙️ DATA'!H34</f>
        <v/>
      </c>
      <c r="I17" s="7">
        <f>'⚙️ DATA'!I34</f>
        <v/>
      </c>
    </row>
    <row r="18" ht="18" customHeight="1">
      <c r="A18" s="23">
        <f>'⚙️ DATA'!A17</f>
        <v/>
      </c>
      <c r="B18" s="16">
        <f>'⚙️ DATA'!B35</f>
        <v/>
      </c>
      <c r="C18" s="16">
        <f>'⚙️ DATA'!C35</f>
        <v/>
      </c>
      <c r="D18" s="16">
        <f>'⚙️ DATA'!D35</f>
        <v/>
      </c>
      <c r="E18" s="16">
        <f>'⚙️ DATA'!E35</f>
        <v/>
      </c>
      <c r="F18" s="16">
        <f>'⚙️ DATA'!F35</f>
        <v/>
      </c>
      <c r="G18" s="16">
        <f>'⚙️ DATA'!G35</f>
        <v/>
      </c>
      <c r="H18" s="16">
        <f>'⚙️ DATA'!H35</f>
        <v/>
      </c>
      <c r="I18" s="16">
        <f>'⚙️ DATA'!I35</f>
        <v/>
      </c>
    </row>
    <row r="19" ht="18" customHeight="1">
      <c r="A19" s="25">
        <f>'⚙️ DATA'!A18</f>
        <v/>
      </c>
      <c r="B19" s="7">
        <f>'⚙️ DATA'!B36</f>
        <v/>
      </c>
      <c r="C19" s="7">
        <f>'⚙️ DATA'!C36</f>
        <v/>
      </c>
      <c r="D19" s="7">
        <f>'⚙️ DATA'!D36</f>
        <v/>
      </c>
      <c r="E19" s="7">
        <f>'⚙️ DATA'!E36</f>
        <v/>
      </c>
      <c r="F19" s="7">
        <f>'⚙️ DATA'!F36</f>
        <v/>
      </c>
      <c r="G19" s="7">
        <f>'⚙️ DATA'!G36</f>
        <v/>
      </c>
      <c r="H19" s="7">
        <f>'⚙️ DATA'!H36</f>
        <v/>
      </c>
      <c r="I19" s="7">
        <f>'⚙️ DATA'!I36</f>
        <v/>
      </c>
    </row>
    <row r="22" ht="20" customHeight="1">
      <c r="A22" s="40" t="inlineStr">
        <is>
          <t>C · REVENUE ₹Cr (formulas from ⚙️ DATA Block C)</t>
        </is>
      </c>
    </row>
    <row r="23" ht="24" customHeight="1">
      <c r="A23" s="41" t="inlineStr">
        <is>
          <t>Tier</t>
        </is>
      </c>
      <c r="B23" s="41" t="inlineStr">
        <is>
          <t>Value Fashion</t>
        </is>
      </c>
      <c r="C23" s="41" t="inlineStr">
        <is>
          <t>Premium Menswear</t>
        </is>
      </c>
      <c r="D23" s="41" t="inlineStr">
        <is>
          <t>Mid Menswear</t>
        </is>
      </c>
      <c r="E23" s="41" t="inlineStr">
        <is>
          <t>Footwear</t>
        </is>
      </c>
      <c r="F23" s="41" t="inlineStr">
        <is>
          <t>Activewear</t>
        </is>
      </c>
      <c r="G23" s="41" t="inlineStr">
        <is>
          <t>Women's Ethnic</t>
        </is>
      </c>
      <c r="H23" s="41" t="inlineStr">
        <is>
          <t>Women's Western</t>
        </is>
      </c>
      <c r="I23" s="41" t="inlineStr">
        <is>
          <t>Multi/Lifestyle</t>
        </is>
      </c>
      <c r="J23" s="41" t="inlineStr">
        <is>
          <t>TOTAL</t>
        </is>
      </c>
    </row>
    <row r="24" ht="18" customHeight="1">
      <c r="A24" s="4">
        <f>'⚙️ DATA'!A23</f>
        <v/>
      </c>
      <c r="B24" s="17">
        <f>'⚙️ DATA'!B23</f>
        <v/>
      </c>
      <c r="C24" s="17">
        <f>'⚙️ DATA'!C23</f>
        <v/>
      </c>
      <c r="D24" s="17">
        <f>'⚙️ DATA'!D23</f>
        <v/>
      </c>
      <c r="E24" s="17">
        <f>'⚙️ DATA'!E23</f>
        <v/>
      </c>
      <c r="F24" s="17">
        <f>'⚙️ DATA'!F23</f>
        <v/>
      </c>
      <c r="G24" s="17">
        <f>'⚙️ DATA'!G23</f>
        <v/>
      </c>
      <c r="H24" s="17">
        <f>'⚙️ DATA'!H23</f>
        <v/>
      </c>
      <c r="I24" s="17">
        <f>'⚙️ DATA'!I23</f>
        <v/>
      </c>
      <c r="J24" s="42">
        <f>'⚙️ DATA'!J23</f>
        <v/>
      </c>
    </row>
    <row r="25" ht="18" customHeight="1">
      <c r="A25" s="13">
        <f>'⚙️ DATA'!A24</f>
        <v/>
      </c>
      <c r="B25" s="8">
        <f>'⚙️ DATA'!B24</f>
        <v/>
      </c>
      <c r="C25" s="8">
        <f>'⚙️ DATA'!C24</f>
        <v/>
      </c>
      <c r="D25" s="8">
        <f>'⚙️ DATA'!D24</f>
        <v/>
      </c>
      <c r="E25" s="8">
        <f>'⚙️ DATA'!E24</f>
        <v/>
      </c>
      <c r="F25" s="8">
        <f>'⚙️ DATA'!F24</f>
        <v/>
      </c>
      <c r="G25" s="8">
        <f>'⚙️ DATA'!G24</f>
        <v/>
      </c>
      <c r="H25" s="8">
        <f>'⚙️ DATA'!H24</f>
        <v/>
      </c>
      <c r="I25" s="8">
        <f>'⚙️ DATA'!I24</f>
        <v/>
      </c>
      <c r="J25" s="43">
        <f>'⚙️ DATA'!J24</f>
        <v/>
      </c>
    </row>
    <row r="26" ht="18" customHeight="1">
      <c r="A26" s="22">
        <f>'⚙️ DATA'!A25</f>
        <v/>
      </c>
      <c r="B26" s="17">
        <f>'⚙️ DATA'!B25</f>
        <v/>
      </c>
      <c r="C26" s="17">
        <f>'⚙️ DATA'!C25</f>
        <v/>
      </c>
      <c r="D26" s="17">
        <f>'⚙️ DATA'!D25</f>
        <v/>
      </c>
      <c r="E26" s="17">
        <f>'⚙️ DATA'!E25</f>
        <v/>
      </c>
      <c r="F26" s="17">
        <f>'⚙️ DATA'!F25</f>
        <v/>
      </c>
      <c r="G26" s="17">
        <f>'⚙️ DATA'!G25</f>
        <v/>
      </c>
      <c r="H26" s="17">
        <f>'⚙️ DATA'!H25</f>
        <v/>
      </c>
      <c r="I26" s="17">
        <f>'⚙️ DATA'!I25</f>
        <v/>
      </c>
      <c r="J26" s="44">
        <f>'⚙️ DATA'!J25</f>
        <v/>
      </c>
    </row>
    <row r="27" ht="18" customHeight="1">
      <c r="A27" s="23">
        <f>'⚙️ DATA'!A26</f>
        <v/>
      </c>
      <c r="B27" s="8">
        <f>'⚙️ DATA'!B26</f>
        <v/>
      </c>
      <c r="C27" s="8">
        <f>'⚙️ DATA'!C26</f>
        <v/>
      </c>
      <c r="D27" s="8">
        <f>'⚙️ DATA'!D26</f>
        <v/>
      </c>
      <c r="E27" s="8">
        <f>'⚙️ DATA'!E26</f>
        <v/>
      </c>
      <c r="F27" s="8">
        <f>'⚙️ DATA'!F26</f>
        <v/>
      </c>
      <c r="G27" s="8">
        <f>'⚙️ DATA'!G26</f>
        <v/>
      </c>
      <c r="H27" s="8">
        <f>'⚙️ DATA'!H26</f>
        <v/>
      </c>
      <c r="I27" s="8">
        <f>'⚙️ DATA'!I26</f>
        <v/>
      </c>
      <c r="J27" s="45">
        <f>'⚙️ DATA'!J26</f>
        <v/>
      </c>
    </row>
    <row r="28" ht="18" customHeight="1">
      <c r="A28" s="25">
        <f>'⚙️ DATA'!A27</f>
        <v/>
      </c>
      <c r="B28" s="17">
        <f>'⚙️ DATA'!B27</f>
        <v/>
      </c>
      <c r="C28" s="17">
        <f>'⚙️ DATA'!C27</f>
        <v/>
      </c>
      <c r="D28" s="17">
        <f>'⚙️ DATA'!D27</f>
        <v/>
      </c>
      <c r="E28" s="17">
        <f>'⚙️ DATA'!E27</f>
        <v/>
      </c>
      <c r="F28" s="17">
        <f>'⚙️ DATA'!F27</f>
        <v/>
      </c>
      <c r="G28" s="17">
        <f>'⚙️ DATA'!G27</f>
        <v/>
      </c>
      <c r="H28" s="17">
        <f>'⚙️ DATA'!H27</f>
        <v/>
      </c>
      <c r="I28" s="17">
        <f>'⚙️ DATA'!I27</f>
        <v/>
      </c>
      <c r="J28" s="46">
        <f>'⚙️ DATA'!J27</f>
        <v/>
      </c>
    </row>
    <row r="31" ht="20" customHeight="1">
      <c r="A31" s="47" t="inlineStr">
        <is>
          <t>D · METRO → T3 SHIFT — Stores + Revenue Signal</t>
        </is>
      </c>
    </row>
    <row r="32" ht="24" customHeight="1">
      <c r="A32" s="3" t="inlineStr">
        <is>
          <t>Segment</t>
        </is>
      </c>
      <c r="B32" s="3" t="inlineStr">
        <is>
          <t>Metro%</t>
        </is>
      </c>
      <c r="C32" s="3" t="inlineStr">
        <is>
          <t>T3%</t>
        </is>
      </c>
      <c r="D32" s="3" t="inlineStr">
        <is>
          <t>Δ Store</t>
        </is>
      </c>
      <c r="E32" s="3" t="inlineStr">
        <is>
          <t>Metro Rev</t>
        </is>
      </c>
      <c r="F32" s="3" t="inlineStr">
        <is>
          <t>T3 Rev</t>
        </is>
      </c>
      <c r="G32" s="3" t="inlineStr">
        <is>
          <t>Signal</t>
        </is>
      </c>
      <c r="H32" s="3" t="inlineStr">
        <is>
          <t>Investor Read</t>
        </is>
      </c>
    </row>
    <row r="33" ht="20" customHeight="1">
      <c r="A33" s="48" t="inlineStr">
        <is>
          <t>Value Fashion</t>
        </is>
      </c>
      <c r="B33" s="5" t="inlineStr">
        <is>
          <t>17.9%</t>
        </is>
      </c>
      <c r="C33" s="5" t="inlineStr">
        <is>
          <t>25.4%</t>
        </is>
      </c>
      <c r="D33" s="23" t="inlineStr">
        <is>
          <t>+7.5pp</t>
        </is>
      </c>
      <c r="E33" s="8" t="n">
        <v>6379.8</v>
      </c>
      <c r="F33" s="8" t="n">
        <v>11833.9</v>
      </c>
      <c r="G33" s="49" t="inlineStr">
        <is>
          <t>🟢 RISES</t>
        </is>
      </c>
      <c r="H33" s="50" t="inlineStr">
        <is>
          <t>Tier-agnostic — rises Metro→T3</t>
        </is>
      </c>
      <c r="I33" s="51" t="n"/>
      <c r="J33" s="51" t="n"/>
      <c r="K33" s="52" t="n"/>
    </row>
    <row r="34" ht="20" customHeight="1">
      <c r="A34" s="53" t="inlineStr">
        <is>
          <t>Premium Menswear</t>
        </is>
      </c>
      <c r="B34" s="14" t="inlineStr">
        <is>
          <t>28.8%</t>
        </is>
      </c>
      <c r="C34" s="14" t="inlineStr">
        <is>
          <t>12.9%</t>
        </is>
      </c>
      <c r="D34" s="54" t="inlineStr">
        <is>
          <t>-15.9pp</t>
        </is>
      </c>
      <c r="E34" s="17" t="n">
        <v>2324</v>
      </c>
      <c r="F34" s="17" t="n">
        <v>691.2</v>
      </c>
      <c r="G34" s="55" t="inlineStr">
        <is>
          <t>🔴 FALLS</t>
        </is>
      </c>
      <c r="H34" s="56" t="inlineStr">
        <is>
          <t>Metro luxury, T3 near-zero</t>
        </is>
      </c>
      <c r="I34" s="51" t="n"/>
      <c r="J34" s="51" t="n"/>
      <c r="K34" s="52" t="n"/>
    </row>
    <row r="35" ht="20" customHeight="1">
      <c r="A35" s="57" t="inlineStr">
        <is>
          <t>Mid Menswear</t>
        </is>
      </c>
      <c r="B35" s="5" t="inlineStr">
        <is>
          <t>19.9%</t>
        </is>
      </c>
      <c r="C35" s="5" t="inlineStr">
        <is>
          <t>23.4%</t>
        </is>
      </c>
      <c r="D35" s="23" t="inlineStr">
        <is>
          <t>+3.5pp</t>
        </is>
      </c>
      <c r="E35" s="8" t="n">
        <v>598.4</v>
      </c>
      <c r="F35" s="8" t="n">
        <v>1155.1</v>
      </c>
      <c r="G35" s="49" t="inlineStr">
        <is>
          <t>🟡 RISES</t>
        </is>
      </c>
      <c r="H35" s="50" t="inlineStr">
        <is>
          <t>Work-casual T3 strength</t>
        </is>
      </c>
      <c r="I35" s="51" t="n"/>
      <c r="J35" s="51" t="n"/>
      <c r="K35" s="52" t="n"/>
    </row>
    <row r="36" ht="20" customHeight="1">
      <c r="A36" s="58" t="inlineStr">
        <is>
          <t>Footwear</t>
        </is>
      </c>
      <c r="B36" s="14" t="inlineStr">
        <is>
          <t>26.6%</t>
        </is>
      </c>
      <c r="C36" s="14" t="inlineStr">
        <is>
          <t>18.0%</t>
        </is>
      </c>
      <c r="D36" s="54" t="inlineStr">
        <is>
          <t>-8.6pp</t>
        </is>
      </c>
      <c r="E36" s="17" t="n">
        <v>2446.3</v>
      </c>
      <c r="F36" s="17" t="n">
        <v>1439.1</v>
      </c>
      <c r="G36" s="59" t="inlineStr">
        <is>
          <t>⚪ STABLE</t>
        </is>
      </c>
      <c r="H36" s="56" t="inlineStr">
        <is>
          <t>Balanced — 14-18% all tiers</t>
        </is>
      </c>
      <c r="I36" s="51" t="n"/>
      <c r="J36" s="51" t="n"/>
      <c r="K36" s="52" t="n"/>
    </row>
    <row r="37" ht="20" customHeight="1">
      <c r="A37" s="60" t="inlineStr">
        <is>
          <t>Activewear</t>
        </is>
      </c>
      <c r="B37" s="5" t="inlineStr">
        <is>
          <t>28.2%</t>
        </is>
      </c>
      <c r="C37" s="5" t="inlineStr">
        <is>
          <t>14.2%</t>
        </is>
      </c>
      <c r="D37" s="54" t="inlineStr">
        <is>
          <t>-14.0pp</t>
        </is>
      </c>
      <c r="E37" s="8" t="n">
        <v>1605.5</v>
      </c>
      <c r="F37" s="8" t="n">
        <v>304.6</v>
      </c>
      <c r="G37" s="55" t="inlineStr">
        <is>
          <t>🔴 FALLS</t>
        </is>
      </c>
      <c r="H37" s="50" t="inlineStr">
        <is>
          <t>Gym-culture urban skew</t>
        </is>
      </c>
      <c r="I37" s="51" t="n"/>
      <c r="J37" s="51" t="n"/>
      <c r="K37" s="52" t="n"/>
    </row>
    <row r="38" ht="20" customHeight="1">
      <c r="A38" s="61" t="inlineStr">
        <is>
          <t>Women's Ethnic</t>
        </is>
      </c>
      <c r="B38" s="14" t="inlineStr">
        <is>
          <t>35.1%</t>
        </is>
      </c>
      <c r="C38" s="14" t="inlineStr">
        <is>
          <t>9.4%</t>
        </is>
      </c>
      <c r="D38" s="54" t="inlineStr">
        <is>
          <t>-25.7pp</t>
        </is>
      </c>
      <c r="E38" s="17" t="n">
        <v>759.5</v>
      </c>
      <c r="F38" s="17" t="n">
        <v>340.3</v>
      </c>
      <c r="G38" s="55" t="inlineStr">
        <is>
          <t>🔴 FALLS</t>
        </is>
      </c>
      <c r="H38" s="56" t="inlineStr">
        <is>
          <t>74% Metro+T1, T3 whitespace</t>
        </is>
      </c>
      <c r="I38" s="51" t="n"/>
      <c r="J38" s="51" t="n"/>
      <c r="K38" s="52" t="n"/>
    </row>
    <row r="39" ht="20" customHeight="1">
      <c r="A39" s="62" t="inlineStr">
        <is>
          <t>Women's Western</t>
        </is>
      </c>
      <c r="B39" s="5" t="inlineStr">
        <is>
          <t>35.2%</t>
        </is>
      </c>
      <c r="C39" s="5" t="inlineStr">
        <is>
          <t>9.3%</t>
        </is>
      </c>
      <c r="D39" s="54" t="inlineStr">
        <is>
          <t>-25.9pp</t>
        </is>
      </c>
      <c r="E39" s="8" t="n">
        <v>467</v>
      </c>
      <c r="F39" s="8" t="n">
        <v>114.1</v>
      </c>
      <c r="G39" s="55" t="inlineStr">
        <is>
          <t>🔴 FALLS</t>
        </is>
      </c>
      <c r="H39" s="50" t="inlineStr">
        <is>
          <t>Biggest absolute whitespace</t>
        </is>
      </c>
      <c r="I39" s="51" t="n"/>
      <c r="J39" s="51" t="n"/>
      <c r="K39" s="52" t="n"/>
    </row>
    <row r="40" ht="20" customHeight="1">
      <c r="A40" s="63" t="inlineStr">
        <is>
          <t>Multi/Lifestyle</t>
        </is>
      </c>
      <c r="B40" s="14" t="inlineStr">
        <is>
          <t>23.6%</t>
        </is>
      </c>
      <c r="C40" s="14" t="inlineStr">
        <is>
          <t>29.9%</t>
        </is>
      </c>
      <c r="D40" s="23" t="inlineStr">
        <is>
          <t>+6.3pp</t>
        </is>
      </c>
      <c r="E40" s="17" t="n">
        <v>6730</v>
      </c>
      <c r="F40" s="17" t="n">
        <v>3410.8</v>
      </c>
      <c r="G40" s="59" t="inlineStr">
        <is>
          <t>⚪ STABLE</t>
        </is>
      </c>
      <c r="H40" s="56" t="inlineStr">
        <is>
          <t>Mall-format dependent</t>
        </is>
      </c>
      <c r="I40" s="51" t="n"/>
      <c r="J40" s="51" t="n"/>
      <c r="K40" s="52" t="n"/>
    </row>
  </sheetData>
  <mergeCells count="14">
    <mergeCell ref="H36:K36"/>
    <mergeCell ref="A1:J1"/>
    <mergeCell ref="A31:J31"/>
    <mergeCell ref="H40:K40"/>
    <mergeCell ref="A22:J22"/>
    <mergeCell ref="H39:K39"/>
    <mergeCell ref="H34:K34"/>
    <mergeCell ref="H35:K35"/>
    <mergeCell ref="H38:K38"/>
    <mergeCell ref="A4:J4"/>
    <mergeCell ref="A2:J2"/>
    <mergeCell ref="H33:K33"/>
    <mergeCell ref="A13:J13"/>
    <mergeCell ref="H37:K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64" t="inlineStr">
        <is>
          <t>EX-03  PINCODE UNIVERSE — 19,000 → 3,922 Active  (Revenue-Stratified)</t>
        </is>
      </c>
    </row>
    <row r="4" ht="24" customHeight="1">
      <c r="A4" s="3" t="inlineStr">
        <is>
          <t>Category</t>
        </is>
      </c>
      <c r="B4" s="3" t="inlineStr">
        <is>
          <t>Pincodes</t>
        </is>
      </c>
      <c r="C4" s="3" t="inlineStr">
        <is>
          <t>Revenue (₹Cr)</t>
        </is>
      </c>
      <c r="D4" s="3" t="inlineStr">
        <is>
          <t>% of 19k</t>
        </is>
      </c>
      <c r="E4" s="3" t="inlineStr">
        <is>
          <t>Context</t>
        </is>
      </c>
    </row>
    <row r="5" ht="20" customHeight="1">
      <c r="A5" s="65" t="inlineStr">
        <is>
          <t>India Serviceable Pincodes</t>
        </is>
      </c>
      <c r="B5" s="66" t="inlineStr">
        <is>
          <t>19,000</t>
        </is>
      </c>
      <c r="C5" s="67" t="inlineStr">
        <is>
          <t>—</t>
        </is>
      </c>
      <c r="D5" s="68" t="inlineStr">
        <is>
          <t>100%</t>
        </is>
      </c>
      <c r="E5" s="69" t="inlineStr">
        <is>
          <t>All addressable retail pincodes</t>
        </is>
      </c>
      <c r="F5" s="51" t="n"/>
      <c r="G5" s="51" t="n"/>
      <c r="H5" s="51" t="n"/>
      <c r="I5" s="51" t="n"/>
      <c r="J5" s="52" t="n"/>
    </row>
    <row r="6" ht="20" customHeight="1">
      <c r="A6" s="70" t="inlineStr">
        <is>
          <t xml:space="preserve">  Has Organised Apparel</t>
        </is>
      </c>
      <c r="B6" s="71" t="inlineStr">
        <is>
          <t>3,922</t>
        </is>
      </c>
      <c r="C6" s="23" t="inlineStr">
        <is>
          <t>₹90,546 Cr</t>
        </is>
      </c>
      <c r="D6" s="71" t="inlineStr">
        <is>
          <t>20.6%</t>
        </is>
      </c>
      <c r="E6" s="72" t="inlineStr">
        <is>
          <t>≥1 branded store</t>
        </is>
      </c>
      <c r="F6" s="51" t="n"/>
      <c r="G6" s="51" t="n"/>
      <c r="H6" s="51" t="n"/>
      <c r="I6" s="51" t="n"/>
      <c r="J6" s="52" t="n"/>
    </row>
    <row r="7" ht="20" customHeight="1">
      <c r="A7" s="73" t="inlineStr">
        <is>
          <t xml:space="preserve">    Metro Active</t>
        </is>
      </c>
      <c r="B7" s="74" t="inlineStr">
        <is>
          <t>611</t>
        </is>
      </c>
      <c r="C7" s="75" t="inlineStr">
        <is>
          <t>₹21,311 Cr</t>
        </is>
      </c>
      <c r="D7" s="74" t="inlineStr">
        <is>
          <t>3.2%</t>
        </is>
      </c>
      <c r="E7" s="76" t="inlineStr">
        <is>
          <t>13.1 SPP | ₹34.9 Cr/pin</t>
        </is>
      </c>
      <c r="F7" s="51" t="n"/>
      <c r="G7" s="51" t="n"/>
      <c r="H7" s="51" t="n"/>
      <c r="I7" s="51" t="n"/>
      <c r="J7" s="52" t="n"/>
    </row>
    <row r="8" ht="20" customHeight="1">
      <c r="A8" s="77" t="inlineStr">
        <is>
          <t xml:space="preserve">    T1 Active</t>
        </is>
      </c>
      <c r="B8" s="78" t="inlineStr">
        <is>
          <t>679</t>
        </is>
      </c>
      <c r="C8" s="79" t="inlineStr">
        <is>
          <t>₹19,039 Cr</t>
        </is>
      </c>
      <c r="D8" s="78" t="inlineStr">
        <is>
          <t>3.6%</t>
        </is>
      </c>
      <c r="E8" s="80" t="inlineStr">
        <is>
          <t>10.8 SPP | ₹28.0 Cr/pin</t>
        </is>
      </c>
      <c r="F8" s="51" t="n"/>
      <c r="G8" s="51" t="n"/>
      <c r="H8" s="51" t="n"/>
      <c r="I8" s="51" t="n"/>
      <c r="J8" s="52" t="n"/>
    </row>
    <row r="9" ht="20" customHeight="1">
      <c r="A9" s="81" t="inlineStr">
        <is>
          <t xml:space="preserve">    T2 Active</t>
        </is>
      </c>
      <c r="B9" s="82" t="inlineStr">
        <is>
          <t>1,429</t>
        </is>
      </c>
      <c r="C9" s="83" t="inlineStr">
        <is>
          <t>₹27,785 Cr</t>
        </is>
      </c>
      <c r="D9" s="82" t="inlineStr">
        <is>
          <t>7.5%</t>
        </is>
      </c>
      <c r="E9" s="84" t="inlineStr">
        <is>
          <t>6.7 SPP | ₹19.4 Cr/pin — BENCHMARK</t>
        </is>
      </c>
      <c r="F9" s="51" t="n"/>
      <c r="G9" s="51" t="n"/>
      <c r="H9" s="51" t="n"/>
      <c r="I9" s="51" t="n"/>
      <c r="J9" s="52" t="n"/>
    </row>
    <row r="10" ht="20" customHeight="1">
      <c r="A10" s="70" t="inlineStr">
        <is>
          <t xml:space="preserve">    T3 Active</t>
        </is>
      </c>
      <c r="B10" s="71" t="inlineStr">
        <is>
          <t>1,285</t>
        </is>
      </c>
      <c r="C10" s="23" t="inlineStr">
        <is>
          <t>₹19,289 Cr</t>
        </is>
      </c>
      <c r="D10" s="71" t="inlineStr">
        <is>
          <t>6.8%</t>
        </is>
      </c>
      <c r="E10" s="72" t="inlineStr">
        <is>
          <t>4.6 SPP | ₹15.0 Cr/pin — WHITESPACE</t>
        </is>
      </c>
      <c r="F10" s="51" t="n"/>
      <c r="G10" s="51" t="n"/>
      <c r="H10" s="51" t="n"/>
      <c r="I10" s="51" t="n"/>
      <c r="J10" s="52" t="n"/>
    </row>
    <row r="11" ht="20" customHeight="1">
      <c r="A11" s="85" t="inlineStr">
        <is>
          <t xml:space="preserve">    T4 Active</t>
        </is>
      </c>
      <c r="B11" s="86" t="inlineStr">
        <is>
          <t>140</t>
        </is>
      </c>
      <c r="C11" s="87" t="inlineStr">
        <is>
          <t>₹3,122 Cr</t>
        </is>
      </c>
      <c r="D11" s="86" t="inlineStr">
        <is>
          <t>0.7%</t>
        </is>
      </c>
      <c r="E11" s="88" t="inlineStr">
        <is>
          <t>Micro-markets</t>
        </is>
      </c>
      <c r="F11" s="51" t="n"/>
      <c r="G11" s="51" t="n"/>
      <c r="H11" s="51" t="n"/>
      <c r="I11" s="51" t="n"/>
      <c r="J11" s="52" t="n"/>
    </row>
    <row r="12" ht="20" customHeight="1">
      <c r="A12" s="89" t="inlineStr">
        <is>
          <t xml:space="preserve">  Zero Organised Apparel</t>
        </is>
      </c>
      <c r="B12" s="90" t="inlineStr">
        <is>
          <t>15,078</t>
        </is>
      </c>
      <c r="C12" s="91" t="inlineStr">
        <is>
          <t>—</t>
        </is>
      </c>
      <c r="D12" s="90" t="inlineStr">
        <is>
          <t>79.4%</t>
        </is>
      </c>
      <c r="E12" s="92" t="inlineStr">
        <is>
          <t>Unorganised — the TAM</t>
        </is>
      </c>
      <c r="F12" s="51" t="n"/>
      <c r="G12" s="51" t="n"/>
      <c r="H12" s="51" t="n"/>
      <c r="I12" s="51" t="n"/>
      <c r="J12" s="52" t="n"/>
    </row>
    <row r="15" ht="20" customHeight="1">
      <c r="A15" s="38" t="inlineStr">
        <is>
          <t>BRAND BUCKET DISTRIBUTION BY TIER + REVENUE</t>
        </is>
      </c>
    </row>
    <row r="16" ht="24" customHeight="1">
      <c r="A16" s="39" t="inlineStr">
        <is>
          <t>Tier</t>
        </is>
      </c>
      <c r="B16" s="39" t="inlineStr">
        <is>
          <t>Active Pins</t>
        </is>
      </c>
      <c r="C16" s="39" t="inlineStr">
        <is>
          <t>Moat (1)</t>
        </is>
      </c>
      <c r="D16" s="39" t="inlineStr">
        <is>
          <t>Light 2-4</t>
        </is>
      </c>
      <c r="E16" s="39" t="inlineStr">
        <is>
          <t>Comp 5-9</t>
        </is>
      </c>
      <c r="F16" s="39" t="inlineStr">
        <is>
          <t>Crowd 10-19</t>
        </is>
      </c>
      <c r="G16" s="39" t="inlineStr">
        <is>
          <t>Sat 20+</t>
        </is>
      </c>
      <c r="H16" s="39" t="inlineStr">
        <is>
          <t>Revenue (₹Cr)</t>
        </is>
      </c>
    </row>
    <row r="17" ht="28" customHeight="1">
      <c r="A17" s="4">
        <f>'⚙️ DATA'!A5</f>
        <v/>
      </c>
      <c r="B17" s="6" t="n">
        <v>611</v>
      </c>
      <c r="C17" s="93" t="inlineStr">
        <is>
          <t>132
21.6%</t>
        </is>
      </c>
      <c r="D17" s="94" t="inlineStr">
        <is>
          <t>162
26.5%</t>
        </is>
      </c>
      <c r="E17" s="94" t="inlineStr">
        <is>
          <t>118
19.3%</t>
        </is>
      </c>
      <c r="F17" s="95" t="inlineStr">
        <is>
          <t>99
16.2%</t>
        </is>
      </c>
      <c r="G17" s="95" t="inlineStr">
        <is>
          <t>100
16.4%</t>
        </is>
      </c>
      <c r="H17" s="8">
        <f>'⚙️ DATA'!D5</f>
        <v/>
      </c>
    </row>
    <row r="18" ht="28" customHeight="1">
      <c r="A18" s="13">
        <f>'⚙️ DATA'!A6</f>
        <v/>
      </c>
      <c r="B18" s="15" t="n">
        <v>678</v>
      </c>
      <c r="C18" s="93" t="inlineStr">
        <is>
          <t>190
28.0%</t>
        </is>
      </c>
      <c r="D18" s="96" t="inlineStr">
        <is>
          <t>196
28.9%</t>
        </is>
      </c>
      <c r="E18" s="96" t="inlineStr">
        <is>
          <t>128
18.9%</t>
        </is>
      </c>
      <c r="F18" s="95" t="inlineStr">
        <is>
          <t>74
10.9%</t>
        </is>
      </c>
      <c r="G18" s="95" t="inlineStr">
        <is>
          <t>90
13.3%</t>
        </is>
      </c>
      <c r="H18" s="17">
        <f>'⚙️ DATA'!D6</f>
        <v/>
      </c>
    </row>
    <row r="19" ht="28" customHeight="1">
      <c r="A19" s="22">
        <f>'⚙️ DATA'!A7</f>
        <v/>
      </c>
      <c r="B19" s="6" t="n">
        <v>1429</v>
      </c>
      <c r="C19" s="93" t="inlineStr">
        <is>
          <t>563
39.4%</t>
        </is>
      </c>
      <c r="D19" s="94" t="inlineStr">
        <is>
          <t>444
31.1%</t>
        </is>
      </c>
      <c r="E19" s="94" t="inlineStr">
        <is>
          <t>199
13.9%</t>
        </is>
      </c>
      <c r="F19" s="95" t="inlineStr">
        <is>
          <t>126
8.8%</t>
        </is>
      </c>
      <c r="G19" s="95" t="inlineStr">
        <is>
          <t>97
6.8%</t>
        </is>
      </c>
      <c r="H19" s="8">
        <f>'⚙️ DATA'!D7</f>
        <v/>
      </c>
    </row>
    <row r="20" ht="28" customHeight="1">
      <c r="A20" s="23">
        <f>'⚙️ DATA'!A8</f>
        <v/>
      </c>
      <c r="B20" s="15" t="n">
        <v>1072</v>
      </c>
      <c r="C20" s="93" t="inlineStr">
        <is>
          <t>429
40.0%</t>
        </is>
      </c>
      <c r="D20" s="96" t="inlineStr">
        <is>
          <t>329
30.7%</t>
        </is>
      </c>
      <c r="E20" s="96" t="inlineStr">
        <is>
          <t>144
13.4%</t>
        </is>
      </c>
      <c r="F20" s="95" t="inlineStr">
        <is>
          <t>129
12.0%</t>
        </is>
      </c>
      <c r="G20" s="95" t="inlineStr">
        <is>
          <t>41
3.8%</t>
        </is>
      </c>
      <c r="H20" s="17">
        <f>'⚙️ DATA'!D8</f>
        <v/>
      </c>
    </row>
    <row r="21" ht="28" customHeight="1">
      <c r="A21" s="25">
        <f>'⚙️ DATA'!A9</f>
        <v/>
      </c>
      <c r="B21" s="6" t="n">
        <v>140</v>
      </c>
      <c r="C21" s="93" t="inlineStr">
        <is>
          <t>49
35.0%</t>
        </is>
      </c>
      <c r="D21" s="94" t="inlineStr">
        <is>
          <t>43
30.7%</t>
        </is>
      </c>
      <c r="E21" s="94" t="inlineStr">
        <is>
          <t>22
15.7%</t>
        </is>
      </c>
      <c r="F21" s="95" t="inlineStr">
        <is>
          <t>12
8.6%</t>
        </is>
      </c>
      <c r="G21" s="95" t="inlineStr">
        <is>
          <t>14
10.0%</t>
        </is>
      </c>
      <c r="H21" s="8">
        <f>'⚙️ DATA'!D9</f>
        <v/>
      </c>
    </row>
  </sheetData>
  <mergeCells count="10">
    <mergeCell ref="A1:J1"/>
    <mergeCell ref="E11:J11"/>
    <mergeCell ref="E10:J10"/>
    <mergeCell ref="E5:J5"/>
    <mergeCell ref="E9:J9"/>
    <mergeCell ref="E8:J8"/>
    <mergeCell ref="A15:J15"/>
    <mergeCell ref="E12:J12"/>
    <mergeCell ref="E6:J6"/>
    <mergeCell ref="E7:J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 ht="30" customHeight="1">
      <c r="A1" s="97" t="inlineStr">
        <is>
          <t>EX-04  PREMIUM SATURATION — Metro Captive, T3 Near-Zero (₹ Revenue Validated)</t>
        </is>
      </c>
    </row>
    <row r="2" ht="18" customHeight="1">
      <c r="A2" s="2" t="inlineStr">
        <is>
          <t>Premium = 28.8% Metro stores, ₹2,324 Cr Metro revenue. T3 = 12.9% share, ₹691 Cr. The saturation gap in ₹.</t>
        </is>
      </c>
    </row>
    <row r="4" ht="20" customHeight="1">
      <c r="A4" s="47" t="inlineStr">
        <is>
          <t>PREMIUM MENSWEAR TIER BREAKDOWN</t>
        </is>
      </c>
    </row>
    <row r="5" ht="24" customHeight="1">
      <c r="A5" s="98" t="inlineStr">
        <is>
          <t>Tier</t>
        </is>
      </c>
      <c r="B5" s="98" t="inlineStr">
        <is>
          <t>Stores</t>
        </is>
      </c>
      <c r="C5" s="98" t="inlineStr">
        <is>
          <t>St%</t>
        </is>
      </c>
      <c r="D5" s="98" t="inlineStr">
        <is>
          <t>Revenue (₹Cr)</t>
        </is>
      </c>
      <c r="E5" s="98" t="inlineStr">
        <is>
          <t>Rev%</t>
        </is>
      </c>
      <c r="F5" s="98" t="inlineStr">
        <is>
          <t>Rev/Store</t>
        </is>
      </c>
      <c r="G5" s="98" t="inlineStr">
        <is>
          <t>Moat Pins</t>
        </is>
      </c>
      <c r="H5" s="98" t="inlineStr">
        <is>
          <t>Moat%</t>
        </is>
      </c>
      <c r="I5" s="98" t="inlineStr">
        <is>
          <t>Coverage</t>
        </is>
      </c>
      <c r="J5" s="98" t="inlineStr">
        <is>
          <t>Signal</t>
        </is>
      </c>
    </row>
    <row r="6" ht="22" customHeight="1">
      <c r="A6" s="4">
        <f>'⚙️ DATA'!A5</f>
        <v/>
      </c>
      <c r="B6" s="15" t="n">
        <v>1867</v>
      </c>
      <c r="C6" s="14" t="inlineStr">
        <is>
          <t>28.8%</t>
        </is>
      </c>
      <c r="D6" s="17" t="n">
        <v>2324</v>
      </c>
      <c r="E6" s="90" t="inlineStr">
        <is>
          <t>33.2%</t>
        </is>
      </c>
      <c r="F6" s="20" t="n">
        <v>1.24</v>
      </c>
      <c r="G6" s="15" t="n">
        <v>109</v>
      </c>
      <c r="H6" s="14" t="inlineStr">
        <is>
          <t>36.0%</t>
        </is>
      </c>
      <c r="I6" s="14" t="inlineStr">
        <is>
          <t>49.6%</t>
        </is>
      </c>
      <c r="J6" s="56" t="inlineStr">
        <is>
          <t>5+ brands in 38% pins — crowded</t>
        </is>
      </c>
      <c r="K6" s="51" t="n"/>
      <c r="L6" s="52" t="n"/>
    </row>
    <row r="7" ht="22" customHeight="1">
      <c r="A7" s="13">
        <f>'⚙️ DATA'!A6</f>
        <v/>
      </c>
      <c r="B7" s="6" t="n">
        <v>1672</v>
      </c>
      <c r="C7" s="5" t="inlineStr">
        <is>
          <t>25.8%</t>
        </is>
      </c>
      <c r="D7" s="8" t="n">
        <v>1873.3</v>
      </c>
      <c r="E7" s="5" t="inlineStr">
        <is>
          <t>26.8%</t>
        </is>
      </c>
      <c r="F7" s="11" t="n">
        <v>1.12</v>
      </c>
      <c r="G7" s="6" t="n">
        <v>123</v>
      </c>
      <c r="H7" s="5" t="inlineStr">
        <is>
          <t>42.1%</t>
        </is>
      </c>
      <c r="I7" s="5" t="inlineStr">
        <is>
          <t>43.0%</t>
        </is>
      </c>
      <c r="J7" s="50" t="inlineStr">
        <is>
          <t>High but still room — selective</t>
        </is>
      </c>
      <c r="K7" s="51" t="n"/>
      <c r="L7" s="52" t="n"/>
    </row>
    <row r="8" ht="22" customHeight="1">
      <c r="A8" s="22">
        <f>'⚙️ DATA'!A7</f>
        <v/>
      </c>
      <c r="B8" s="15" t="n">
        <v>1946</v>
      </c>
      <c r="C8" s="90" t="inlineStr">
        <is>
          <t>30.1%</t>
        </is>
      </c>
      <c r="D8" s="17" t="n">
        <v>1949</v>
      </c>
      <c r="E8" s="14" t="inlineStr">
        <is>
          <t>27.8%</t>
        </is>
      </c>
      <c r="F8" s="20" t="n">
        <v>1</v>
      </c>
      <c r="G8" s="15" t="n">
        <v>208</v>
      </c>
      <c r="H8" s="14" t="inlineStr">
        <is>
          <t>43.3%</t>
        </is>
      </c>
      <c r="I8" s="14" t="inlineStr">
        <is>
          <t>33.6%</t>
        </is>
      </c>
      <c r="J8" s="56" t="inlineStr">
        <is>
          <t>33% coverage — building</t>
        </is>
      </c>
      <c r="K8" s="51" t="n"/>
      <c r="L8" s="52" t="n"/>
    </row>
    <row r="9" ht="22" customHeight="1">
      <c r="A9" s="23">
        <f>'⚙️ DATA'!A8</f>
        <v/>
      </c>
      <c r="B9" s="6" t="n">
        <v>837</v>
      </c>
      <c r="C9" s="5" t="inlineStr">
        <is>
          <t>12.9%</t>
        </is>
      </c>
      <c r="D9" s="8" t="n">
        <v>691.2</v>
      </c>
      <c r="E9" s="5" t="inlineStr">
        <is>
          <t>9.9%</t>
        </is>
      </c>
      <c r="F9" s="11" t="n">
        <v>0.83</v>
      </c>
      <c r="G9" s="6" t="n">
        <v>176</v>
      </c>
      <c r="H9" s="5" t="inlineStr">
        <is>
          <t>52.2%</t>
        </is>
      </c>
      <c r="I9" s="5" t="inlineStr">
        <is>
          <t>26.2%</t>
        </is>
      </c>
      <c r="J9" s="50" t="inlineStr">
        <is>
          <t>32% coverage — wide open</t>
        </is>
      </c>
      <c r="K9" s="51" t="n"/>
      <c r="L9" s="52" t="n"/>
    </row>
    <row r="10" ht="22" customHeight="1">
      <c r="A10" s="25">
        <f>'⚙️ DATA'!A9</f>
        <v/>
      </c>
      <c r="B10" s="15" t="n">
        <v>153</v>
      </c>
      <c r="C10" s="14" t="inlineStr">
        <is>
          <t>2.4%</t>
        </is>
      </c>
      <c r="D10" s="17" t="n">
        <v>161.5</v>
      </c>
      <c r="E10" s="14" t="inlineStr">
        <is>
          <t>2.3%</t>
        </is>
      </c>
      <c r="F10" s="20" t="n">
        <v>1.06</v>
      </c>
      <c r="G10" s="15" t="n">
        <v>14</v>
      </c>
      <c r="H10" s="14" t="inlineStr">
        <is>
          <t>34.1%</t>
        </is>
      </c>
      <c r="I10" s="14" t="inlineStr">
        <is>
          <t>29.3%</t>
        </is>
      </c>
      <c r="J10" s="56" t="inlineStr">
        <is>
          <t>29% presence — micro moat</t>
        </is>
      </c>
      <c r="K10" s="51" t="n"/>
      <c r="L10" s="52" t="n"/>
    </row>
    <row r="13" ht="20" customHeight="1">
      <c r="A13" s="38" t="inlineStr">
        <is>
          <t>ALL SEGMENTS — COVERAGE × REVENUE LEADER</t>
        </is>
      </c>
    </row>
    <row r="14" ht="24" customHeight="1">
      <c r="A14" s="3" t="inlineStr">
        <is>
          <t>Segment</t>
        </is>
      </c>
      <c r="B14" s="3" t="inlineStr">
        <is>
          <t>Metro</t>
        </is>
      </c>
      <c r="C14" s="3" t="inlineStr">
        <is>
          <t>T1</t>
        </is>
      </c>
      <c r="D14" s="3" t="inlineStr">
        <is>
          <t>T2</t>
        </is>
      </c>
      <c r="E14" s="3" t="inlineStr">
        <is>
          <t>T3</t>
        </is>
      </c>
      <c r="F14" s="3" t="inlineStr">
        <is>
          <t>T4</t>
        </is>
      </c>
      <c r="G14" s="3" t="inlineStr">
        <is>
          <t>Rev Leader Tier</t>
        </is>
      </c>
      <c r="H14" s="3" t="inlineStr">
        <is>
          <t>Highest Rev (₹Cr)</t>
        </is>
      </c>
    </row>
    <row r="15" ht="18" customHeight="1">
      <c r="A15" s="48" t="inlineStr">
        <is>
          <t>Value Fashion</t>
        </is>
      </c>
      <c r="B15" s="71" t="inlineStr">
        <is>
          <t>68.4%</t>
        </is>
      </c>
      <c r="C15" s="99" t="inlineStr">
        <is>
          <t>72.5%</t>
        </is>
      </c>
      <c r="D15" s="99" t="inlineStr">
        <is>
          <t>74.2%</t>
        </is>
      </c>
      <c r="E15" s="71" t="inlineStr">
        <is>
          <t>62.5%</t>
        </is>
      </c>
      <c r="F15" s="99" t="inlineStr">
        <is>
          <t>75.0%</t>
        </is>
      </c>
      <c r="G15" s="22" t="inlineStr">
        <is>
          <t>T2</t>
        </is>
      </c>
      <c r="H15" s="8" t="n">
        <v>14804.8</v>
      </c>
    </row>
    <row r="16" ht="18" customHeight="1">
      <c r="A16" s="53" t="inlineStr">
        <is>
          <t>Premium Menswear</t>
        </is>
      </c>
      <c r="B16" s="71" t="inlineStr">
        <is>
          <t>49.6%</t>
        </is>
      </c>
      <c r="C16" s="71" t="inlineStr">
        <is>
          <t>43.0%</t>
        </is>
      </c>
      <c r="D16" s="14" t="inlineStr">
        <is>
          <t>33.6%</t>
        </is>
      </c>
      <c r="E16" s="14" t="inlineStr">
        <is>
          <t>26.2%</t>
        </is>
      </c>
      <c r="F16" s="14" t="inlineStr">
        <is>
          <t>29.3%</t>
        </is>
      </c>
      <c r="G16" s="4" t="inlineStr">
        <is>
          <t>Metro</t>
        </is>
      </c>
      <c r="H16" s="17" t="n">
        <v>2324</v>
      </c>
    </row>
    <row r="17" ht="18" customHeight="1">
      <c r="A17" s="57" t="inlineStr">
        <is>
          <t>Mid Menswear</t>
        </is>
      </c>
      <c r="B17" s="71" t="inlineStr">
        <is>
          <t>44.0%</t>
        </is>
      </c>
      <c r="C17" s="5" t="inlineStr">
        <is>
          <t>38.9%</t>
        </is>
      </c>
      <c r="D17" s="5" t="inlineStr">
        <is>
          <t>31.8%</t>
        </is>
      </c>
      <c r="E17" s="5" t="inlineStr">
        <is>
          <t>31.4%</t>
        </is>
      </c>
      <c r="F17" s="71" t="inlineStr">
        <is>
          <t>44.3%</t>
        </is>
      </c>
      <c r="G17" s="22" t="inlineStr">
        <is>
          <t>T2</t>
        </is>
      </c>
      <c r="H17" s="8" t="n">
        <v>1185.1</v>
      </c>
    </row>
    <row r="18" ht="18" customHeight="1">
      <c r="A18" s="58" t="inlineStr">
        <is>
          <t>Footwear</t>
        </is>
      </c>
      <c r="B18" s="71" t="inlineStr">
        <is>
          <t>64.0%</t>
        </is>
      </c>
      <c r="C18" s="71" t="inlineStr">
        <is>
          <t>53.6%</t>
        </is>
      </c>
      <c r="D18" s="71" t="inlineStr">
        <is>
          <t>40.8%</t>
        </is>
      </c>
      <c r="E18" s="14" t="inlineStr">
        <is>
          <t>33.2%</t>
        </is>
      </c>
      <c r="F18" s="71" t="inlineStr">
        <is>
          <t>50.7%</t>
        </is>
      </c>
      <c r="G18" s="22" t="inlineStr">
        <is>
          <t>T2</t>
        </is>
      </c>
      <c r="H18" s="17" t="n">
        <v>2706.9</v>
      </c>
    </row>
    <row r="19" ht="18" customHeight="1">
      <c r="A19" s="60" t="inlineStr">
        <is>
          <t>Activewear</t>
        </is>
      </c>
      <c r="B19" s="71" t="inlineStr">
        <is>
          <t>50.4%</t>
        </is>
      </c>
      <c r="C19" s="71" t="inlineStr">
        <is>
          <t>46.1%</t>
        </is>
      </c>
      <c r="D19" s="5" t="inlineStr">
        <is>
          <t>31.1%</t>
        </is>
      </c>
      <c r="E19" s="5" t="inlineStr">
        <is>
          <t>24.4%</t>
        </is>
      </c>
      <c r="F19" s="5" t="inlineStr">
        <is>
          <t>31.4%</t>
        </is>
      </c>
      <c r="G19" s="4" t="inlineStr">
        <is>
          <t>Metro</t>
        </is>
      </c>
      <c r="H19" s="8" t="n">
        <v>1605.5</v>
      </c>
    </row>
    <row r="20" ht="18" customHeight="1">
      <c r="A20" s="61" t="inlineStr">
        <is>
          <t>Women's Ethnic</t>
        </is>
      </c>
      <c r="B20" s="14" t="inlineStr">
        <is>
          <t>34.0%</t>
        </is>
      </c>
      <c r="C20" s="14" t="inlineStr">
        <is>
          <t>24.0%</t>
        </is>
      </c>
      <c r="D20" s="14" t="inlineStr">
        <is>
          <t>16.2%</t>
        </is>
      </c>
      <c r="E20" s="14" t="inlineStr">
        <is>
          <t>8.2%</t>
        </is>
      </c>
      <c r="F20" s="14" t="inlineStr">
        <is>
          <t>17.1%</t>
        </is>
      </c>
      <c r="G20" s="4" t="inlineStr">
        <is>
          <t>Metro</t>
        </is>
      </c>
      <c r="H20" s="17" t="n">
        <v>759.5</v>
      </c>
    </row>
    <row r="21" ht="18" customHeight="1">
      <c r="A21" s="62" t="inlineStr">
        <is>
          <t>Women's Western</t>
        </is>
      </c>
      <c r="B21" s="5" t="inlineStr">
        <is>
          <t>36.8%</t>
        </is>
      </c>
      <c r="C21" s="5" t="inlineStr">
        <is>
          <t>28.4%</t>
        </is>
      </c>
      <c r="D21" s="5" t="inlineStr">
        <is>
          <t>13.2%</t>
        </is>
      </c>
      <c r="E21" s="5" t="inlineStr">
        <is>
          <t>7.4%</t>
        </is>
      </c>
      <c r="F21" s="5" t="inlineStr">
        <is>
          <t>9.3%</t>
        </is>
      </c>
      <c r="G21" s="4" t="inlineStr">
        <is>
          <t>Metro</t>
        </is>
      </c>
      <c r="H21" s="8" t="n">
        <v>467</v>
      </c>
    </row>
    <row r="22" ht="18" customHeight="1">
      <c r="A22" s="63" t="inlineStr">
        <is>
          <t>Multi/Lifestyle</t>
        </is>
      </c>
      <c r="B22" s="14" t="inlineStr">
        <is>
          <t>39.1%</t>
        </is>
      </c>
      <c r="C22" s="14" t="inlineStr">
        <is>
          <t>32.8%</t>
        </is>
      </c>
      <c r="D22" s="14" t="inlineStr">
        <is>
          <t>27.3%</t>
        </is>
      </c>
      <c r="E22" s="71" t="inlineStr">
        <is>
          <t>41.3%</t>
        </is>
      </c>
      <c r="F22" s="14" t="inlineStr">
        <is>
          <t>26.4%</t>
        </is>
      </c>
      <c r="G22" s="4" t="inlineStr">
        <is>
          <t>Metro</t>
        </is>
      </c>
      <c r="H22" s="17" t="n">
        <v>6730</v>
      </c>
    </row>
  </sheetData>
  <mergeCells count="9">
    <mergeCell ref="J7:L7"/>
    <mergeCell ref="J6:L6"/>
    <mergeCell ref="A1:J1"/>
    <mergeCell ref="J10:L10"/>
    <mergeCell ref="A4:J4"/>
    <mergeCell ref="J8:L8"/>
    <mergeCell ref="A2:J2"/>
    <mergeCell ref="J9:L9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00" t="inlineStr">
        <is>
          <t>EX-05  VALUE FASHION GATEWAY — VF Enters First, Revenue Follows</t>
        </is>
      </c>
    </row>
    <row r="2" ht="18" customHeight="1">
      <c r="A2" s="2" t="inlineStr">
        <is>
          <t>T2=42% VF-only pincodes. T3=41%. VF enters, builds wallet, Premium/Mid follow within 2-3 yrs. Revenue validates.</t>
        </is>
      </c>
    </row>
    <row r="4" ht="24" customHeight="1">
      <c r="A4" s="3" t="inlineStr">
        <is>
          <t>Tier</t>
        </is>
      </c>
      <c r="B4" s="3" t="inlineStr">
        <is>
          <t>Active Pins</t>
        </is>
      </c>
      <c r="C4" s="3" t="inlineStr">
        <is>
          <t>VF-Only</t>
        </is>
      </c>
      <c r="D4" s="3" t="inlineStr">
        <is>
          <t>VF-Only%</t>
        </is>
      </c>
      <c r="E4" s="3" t="inlineStr">
        <is>
          <t>Multi-Seg</t>
        </is>
      </c>
      <c r="F4" s="3" t="inlineStr">
        <is>
          <t>Multi%</t>
        </is>
      </c>
      <c r="G4" s="3" t="inlineStr">
        <is>
          <t>VF Revenue (₹Cr)</t>
        </is>
      </c>
      <c r="H4" s="3" t="inlineStr">
        <is>
          <t>VF Rev%</t>
        </is>
      </c>
      <c r="I4" s="3" t="inlineStr">
        <is>
          <t>Signal</t>
        </is>
      </c>
    </row>
    <row r="5" ht="22" customHeight="1">
      <c r="A5" s="4">
        <f>'⚙️ DATA'!A5</f>
        <v/>
      </c>
      <c r="B5" s="6" t="n">
        <v>611</v>
      </c>
      <c r="C5" s="5" t="n">
        <v>141</v>
      </c>
      <c r="D5" s="5" t="inlineStr">
        <is>
          <t>23.1%</t>
        </is>
      </c>
      <c r="E5" s="5" t="n">
        <v>177</v>
      </c>
      <c r="F5" s="5" t="inlineStr">
        <is>
          <t>29.0%</t>
        </is>
      </c>
      <c r="G5" s="6" t="n">
        <v>6380</v>
      </c>
      <c r="H5" s="5" t="inlineStr">
        <is>
          <t>15.0%</t>
        </is>
      </c>
      <c r="I5" s="50" t="inlineStr">
        <is>
          <t>23% VF-only — graduated to multi-seg</t>
        </is>
      </c>
      <c r="J5" s="51" t="n"/>
      <c r="K5" s="51" t="n"/>
      <c r="L5" s="52" t="n"/>
    </row>
    <row r="6" ht="22" customHeight="1">
      <c r="A6" s="13">
        <f>'⚙️ DATA'!A6</f>
        <v/>
      </c>
      <c r="B6" s="15" t="n">
        <v>679</v>
      </c>
      <c r="C6" s="14" t="n">
        <v>225</v>
      </c>
      <c r="D6" s="14" t="inlineStr">
        <is>
          <t>33.1%</t>
        </is>
      </c>
      <c r="E6" s="14" t="n">
        <v>169</v>
      </c>
      <c r="F6" s="14" t="inlineStr">
        <is>
          <t>24.9%</t>
        </is>
      </c>
      <c r="G6" s="15" t="n">
        <v>7931</v>
      </c>
      <c r="H6" s="14" t="inlineStr">
        <is>
          <t>18.6%</t>
        </is>
      </c>
      <c r="I6" s="56" t="inlineStr">
        <is>
          <t>33% VF-only — transitioning</t>
        </is>
      </c>
      <c r="J6" s="51" t="n"/>
      <c r="K6" s="51" t="n"/>
      <c r="L6" s="52" t="n"/>
    </row>
    <row r="7" ht="22" customHeight="1">
      <c r="A7" s="22">
        <f>'⚙️ DATA'!A7</f>
        <v/>
      </c>
      <c r="B7" s="6" t="n">
        <v>1429</v>
      </c>
      <c r="C7" s="5" t="n">
        <v>602</v>
      </c>
      <c r="D7" s="99" t="inlineStr">
        <is>
          <t>42.1%</t>
        </is>
      </c>
      <c r="E7" s="5" t="n">
        <v>255</v>
      </c>
      <c r="F7" s="5" t="inlineStr">
        <is>
          <t>17.8%</t>
        </is>
      </c>
      <c r="G7" s="6" t="n">
        <v>14805</v>
      </c>
      <c r="H7" s="5" t="inlineStr">
        <is>
          <t>34.8%</t>
        </is>
      </c>
      <c r="I7" s="50" t="inlineStr">
        <is>
          <t>42% VF-only — THE FRONTIER. Revenue confirms wallet</t>
        </is>
      </c>
      <c r="J7" s="51" t="n"/>
      <c r="K7" s="51" t="n"/>
      <c r="L7" s="52" t="n"/>
    </row>
    <row r="8" ht="22" customHeight="1">
      <c r="A8" s="23">
        <f>'⚙️ DATA'!A8</f>
        <v/>
      </c>
      <c r="B8" s="15" t="n">
        <v>1285</v>
      </c>
      <c r="C8" s="14" t="n">
        <v>438</v>
      </c>
      <c r="D8" s="14" t="inlineStr">
        <is>
          <t>34.1%</t>
        </is>
      </c>
      <c r="E8" s="14" t="n">
        <v>212</v>
      </c>
      <c r="F8" s="14" t="inlineStr">
        <is>
          <t>16.5%</t>
        </is>
      </c>
      <c r="G8" s="15" t="n">
        <v>11834</v>
      </c>
      <c r="H8" s="14" t="inlineStr">
        <is>
          <t>27.8%</t>
        </is>
      </c>
      <c r="I8" s="56" t="inlineStr">
        <is>
          <t>41% VF-only — deeper frontier</t>
        </is>
      </c>
      <c r="J8" s="51" t="n"/>
      <c r="K8" s="51" t="n"/>
      <c r="L8" s="52" t="n"/>
    </row>
    <row r="9" ht="22" customHeight="1">
      <c r="A9" s="25">
        <f>'⚙️ DATA'!A9</f>
        <v/>
      </c>
      <c r="B9" s="6" t="n">
        <v>140</v>
      </c>
      <c r="C9" s="5" t="n">
        <v>52</v>
      </c>
      <c r="D9" s="5" t="inlineStr">
        <is>
          <t>37.1%</t>
        </is>
      </c>
      <c r="E9" s="5" t="n">
        <v>29</v>
      </c>
      <c r="F9" s="5" t="inlineStr">
        <is>
          <t>20.7%</t>
        </is>
      </c>
      <c r="G9" s="6" t="n">
        <v>1596</v>
      </c>
      <c r="H9" s="5" t="inlineStr">
        <is>
          <t>3.8%</t>
        </is>
      </c>
      <c r="I9" s="50" t="inlineStr">
        <is>
          <t>37% — micro-market</t>
        </is>
      </c>
      <c r="J9" s="51" t="n"/>
      <c r="K9" s="51" t="n"/>
      <c r="L9" s="52" t="n"/>
    </row>
    <row r="11" ht="20" customHeight="1">
      <c r="A11" s="40" t="inlineStr">
        <is>
          <t>VF BRAND TIER DEPTH — Revenue + Pincode Reach + Moat</t>
        </is>
      </c>
    </row>
    <row r="12" ht="24" customHeight="1">
      <c r="A12" s="41" t="inlineStr">
        <is>
          <t>Brand</t>
        </is>
      </c>
      <c r="B12" s="41" t="inlineStr">
        <is>
          <t>Rev FY26</t>
        </is>
      </c>
      <c r="C12" s="41" t="inlineStr">
        <is>
          <t>Rev/Store</t>
        </is>
      </c>
      <c r="D12" s="41" t="inlineStr">
        <is>
          <t>Metro</t>
        </is>
      </c>
      <c r="E12" s="41" t="inlineStr">
        <is>
          <t>T1</t>
        </is>
      </c>
      <c r="F12" s="41" t="inlineStr">
        <is>
          <t>T2</t>
        </is>
      </c>
      <c r="G12" s="41" t="inlineStr">
        <is>
          <t>T3</t>
        </is>
      </c>
      <c r="H12" s="41" t="inlineStr">
        <is>
          <t>T4</t>
        </is>
      </c>
      <c r="I12" s="41" t="inlineStr">
        <is>
          <t>Total Pins</t>
        </is>
      </c>
      <c r="J12" s="41" t="inlineStr">
        <is>
          <t>T2+T3+T4</t>
        </is>
      </c>
      <c r="K12" s="41" t="inlineStr">
        <is>
          <t>Moat Pins</t>
        </is>
      </c>
    </row>
    <row r="13" ht="16" customHeight="1">
      <c r="A13" s="48" t="inlineStr">
        <is>
          <t>Reliance Trends</t>
        </is>
      </c>
      <c r="B13" s="6" t="n">
        <v>21200</v>
      </c>
      <c r="C13" s="11" t="n">
        <v>10</v>
      </c>
      <c r="D13" s="6" t="n">
        <v>192</v>
      </c>
      <c r="E13" s="6" t="n">
        <v>281</v>
      </c>
      <c r="F13" s="6" t="n">
        <v>704</v>
      </c>
      <c r="G13" s="6" t="n">
        <v>532</v>
      </c>
      <c r="H13" s="6" t="n">
        <v>58</v>
      </c>
      <c r="I13" s="6" t="n">
        <v>1767</v>
      </c>
      <c r="J13" s="101" t="n">
        <v>1294</v>
      </c>
      <c r="K13" s="101" t="n">
        <v>792</v>
      </c>
    </row>
    <row r="14" ht="16" customHeight="1">
      <c r="A14" s="102" t="inlineStr">
        <is>
          <t>Zudio</t>
        </is>
      </c>
      <c r="B14" s="15" t="n">
        <v>8148</v>
      </c>
      <c r="C14" s="20" t="n">
        <v>8.460000000000001</v>
      </c>
      <c r="D14" s="15" t="n">
        <v>217</v>
      </c>
      <c r="E14" s="15" t="n">
        <v>181</v>
      </c>
      <c r="F14" s="15" t="n">
        <v>225</v>
      </c>
      <c r="G14" s="15" t="n">
        <v>132</v>
      </c>
      <c r="H14" s="15" t="n">
        <v>21</v>
      </c>
      <c r="I14" s="15" t="n">
        <v>776</v>
      </c>
      <c r="J14" s="101" t="n">
        <v>378</v>
      </c>
      <c r="K14" s="101" t="n">
        <v>182</v>
      </c>
    </row>
    <row r="15" ht="16" customHeight="1">
      <c r="A15" s="48" t="inlineStr">
        <is>
          <t>Vishal Mega Mart</t>
        </is>
      </c>
      <c r="B15" s="6" t="n">
        <v>5419</v>
      </c>
      <c r="C15" s="11" t="n">
        <v>6.82</v>
      </c>
      <c r="D15" s="6" t="n">
        <v>102</v>
      </c>
      <c r="E15" s="6" t="n">
        <v>118</v>
      </c>
      <c r="F15" s="6" t="n">
        <v>260</v>
      </c>
      <c r="G15" s="6" t="n">
        <v>223</v>
      </c>
      <c r="H15" s="6" t="n">
        <v>35</v>
      </c>
      <c r="I15" s="6" t="n">
        <v>738</v>
      </c>
      <c r="J15" s="101" t="n">
        <v>518</v>
      </c>
      <c r="K15" s="101" t="n">
        <v>179</v>
      </c>
    </row>
    <row r="16" ht="16" customHeight="1">
      <c r="A16" s="102" t="inlineStr">
        <is>
          <t>V Mart</t>
        </is>
      </c>
      <c r="B16" s="15" t="n">
        <v>2532</v>
      </c>
      <c r="C16" s="20" t="n">
        <v>5.3</v>
      </c>
      <c r="D16" s="15" t="n">
        <v>24</v>
      </c>
      <c r="E16" s="15" t="n">
        <v>97</v>
      </c>
      <c r="F16" s="15" t="n">
        <v>144</v>
      </c>
      <c r="G16" s="15" t="n">
        <v>119</v>
      </c>
      <c r="H16" s="15" t="n">
        <v>18</v>
      </c>
      <c r="I16" s="15" t="n">
        <v>402</v>
      </c>
      <c r="J16" s="15" t="n">
        <v>281</v>
      </c>
      <c r="K16" s="15" t="n">
        <v>71</v>
      </c>
    </row>
    <row r="17" ht="16" customHeight="1">
      <c r="A17" s="48" t="inlineStr">
        <is>
          <t>MBazaar</t>
        </is>
      </c>
      <c r="B17" s="6" t="n">
        <v>1119</v>
      </c>
      <c r="C17" s="11" t="n">
        <v>5.28</v>
      </c>
      <c r="D17" s="6" t="n">
        <v>32</v>
      </c>
      <c r="E17" s="6" t="n">
        <v>24</v>
      </c>
      <c r="F17" s="6" t="n">
        <v>45</v>
      </c>
      <c r="G17" s="6" t="n">
        <v>93</v>
      </c>
      <c r="H17" s="6" t="n">
        <v>12</v>
      </c>
      <c r="I17" s="6" t="n">
        <v>206</v>
      </c>
      <c r="J17" s="6" t="n">
        <v>150</v>
      </c>
      <c r="K17" s="6" t="n">
        <v>59</v>
      </c>
    </row>
    <row r="18" ht="16" customHeight="1">
      <c r="A18" s="102" t="inlineStr">
        <is>
          <t>Max</t>
        </is>
      </c>
      <c r="B18" s="15" t="n">
        <v>5007</v>
      </c>
      <c r="C18" s="20" t="n">
        <v>9.800000000000001</v>
      </c>
      <c r="D18" s="15" t="n">
        <v>102</v>
      </c>
      <c r="E18" s="15" t="n">
        <v>120</v>
      </c>
      <c r="F18" s="15" t="n">
        <v>148</v>
      </c>
      <c r="G18" s="15" t="n">
        <v>66</v>
      </c>
      <c r="H18" s="15" t="n">
        <v>12</v>
      </c>
      <c r="I18" s="15" t="n">
        <v>448</v>
      </c>
      <c r="J18" s="15" t="n">
        <v>226</v>
      </c>
      <c r="K18" s="15" t="n">
        <v>47</v>
      </c>
    </row>
    <row r="19" ht="16" customHeight="1">
      <c r="A19" s="48" t="inlineStr">
        <is>
          <t>Style Bazaar</t>
        </is>
      </c>
      <c r="B19" s="6" t="n">
        <v>1584</v>
      </c>
      <c r="C19" s="11" t="n">
        <v>6.02</v>
      </c>
      <c r="D19" s="6" t="n">
        <v>34</v>
      </c>
      <c r="E19" s="6" t="n">
        <v>28</v>
      </c>
      <c r="F19" s="6" t="n">
        <v>62</v>
      </c>
      <c r="G19" s="6" t="n">
        <v>95</v>
      </c>
      <c r="H19" s="6" t="n">
        <v>13</v>
      </c>
      <c r="I19" s="6" t="n">
        <v>232</v>
      </c>
      <c r="J19" s="6" t="n">
        <v>170</v>
      </c>
      <c r="K19" s="6" t="n">
        <v>29</v>
      </c>
    </row>
    <row r="20" ht="16" customHeight="1">
      <c r="A20" s="102" t="inlineStr">
        <is>
          <t>CityKart</t>
        </is>
      </c>
      <c r="B20" s="15" t="n">
        <v>928</v>
      </c>
      <c r="C20" s="20" t="n">
        <v>5.62</v>
      </c>
      <c r="D20" s="15" t="n">
        <v>4</v>
      </c>
      <c r="E20" s="15" t="n">
        <v>30</v>
      </c>
      <c r="F20" s="15" t="n">
        <v>49</v>
      </c>
      <c r="G20" s="15" t="n">
        <v>52</v>
      </c>
      <c r="H20" s="15" t="n">
        <v>14</v>
      </c>
      <c r="I20" s="15" t="n">
        <v>149</v>
      </c>
      <c r="J20" s="15" t="n">
        <v>115</v>
      </c>
      <c r="K20" s="15" t="n">
        <v>27</v>
      </c>
    </row>
    <row r="21" ht="16" customHeight="1">
      <c r="A21" s="48" t="inlineStr">
        <is>
          <t>CityBazaar Metro</t>
        </is>
      </c>
      <c r="B21" s="6" t="n">
        <v>279</v>
      </c>
      <c r="C21" s="11" t="n">
        <v>3.77</v>
      </c>
      <c r="D21" s="6" t="n">
        <v>9</v>
      </c>
      <c r="E21" s="6" t="n">
        <v>6</v>
      </c>
      <c r="F21" s="6" t="n">
        <v>16</v>
      </c>
      <c r="G21" s="6" t="n">
        <v>32</v>
      </c>
      <c r="H21" s="6" t="n">
        <v>4</v>
      </c>
      <c r="I21" s="6" t="n">
        <v>67</v>
      </c>
      <c r="J21" s="6" t="n">
        <v>52</v>
      </c>
      <c r="K21" s="6" t="n">
        <v>25</v>
      </c>
    </row>
    <row r="22" ht="16" customHeight="1">
      <c r="A22" s="102" t="inlineStr">
        <is>
          <t>V2</t>
        </is>
      </c>
      <c r="B22" s="15" t="n">
        <v>3067</v>
      </c>
      <c r="C22" s="20" t="n">
        <v>9.44</v>
      </c>
      <c r="D22" s="15" t="n">
        <v>24</v>
      </c>
      <c r="E22" s="15" t="n">
        <v>50</v>
      </c>
      <c r="F22" s="15" t="n">
        <v>93</v>
      </c>
      <c r="G22" s="15" t="n">
        <v>119</v>
      </c>
      <c r="H22" s="15" t="n">
        <v>22</v>
      </c>
      <c r="I22" s="15" t="n">
        <v>308</v>
      </c>
      <c r="J22" s="15" t="n">
        <v>234</v>
      </c>
      <c r="K22" s="15" t="n">
        <v>21</v>
      </c>
    </row>
    <row r="23" ht="16" customHeight="1">
      <c r="A23" s="48" t="inlineStr">
        <is>
          <t>V Baazar</t>
        </is>
      </c>
      <c r="B23" s="6" t="n">
        <v>566</v>
      </c>
      <c r="C23" s="11" t="n">
        <v>4.42</v>
      </c>
      <c r="D23" s="6" t="n">
        <v>4</v>
      </c>
      <c r="E23" s="6" t="n">
        <v>13</v>
      </c>
      <c r="F23" s="6" t="n">
        <v>35</v>
      </c>
      <c r="G23" s="6" t="n">
        <v>40</v>
      </c>
      <c r="H23" s="6" t="n">
        <v>10</v>
      </c>
      <c r="I23" s="6" t="n">
        <v>102</v>
      </c>
      <c r="J23" s="6" t="n">
        <v>85</v>
      </c>
      <c r="K23" s="6" t="n">
        <v>19</v>
      </c>
    </row>
    <row r="24" ht="16" customHeight="1">
      <c r="A24" s="102" t="inlineStr">
        <is>
          <t>Easy Buy</t>
        </is>
      </c>
      <c r="B24" s="15" t="n">
        <v>615</v>
      </c>
      <c r="C24" s="20" t="n">
        <v>5.21</v>
      </c>
      <c r="D24" s="15" t="n">
        <v>13</v>
      </c>
      <c r="E24" s="15" t="n">
        <v>31</v>
      </c>
      <c r="F24" s="15" t="n">
        <v>50</v>
      </c>
      <c r="G24" s="15" t="n">
        <v>18</v>
      </c>
      <c r="H24" s="15" t="n">
        <v>2</v>
      </c>
      <c r="I24" s="15" t="n">
        <v>114</v>
      </c>
      <c r="J24" s="15" t="n">
        <v>70</v>
      </c>
      <c r="K24" s="15" t="n">
        <v>13</v>
      </c>
    </row>
  </sheetData>
  <mergeCells count="8">
    <mergeCell ref="A1:J1"/>
    <mergeCell ref="I9:L9"/>
    <mergeCell ref="I8:L8"/>
    <mergeCell ref="I6:L6"/>
    <mergeCell ref="I7:L7"/>
    <mergeCell ref="A2:J2"/>
    <mergeCell ref="I5:L5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40" customWidth="1" min="7" max="7"/>
  </cols>
  <sheetData>
    <row r="1" ht="30" customHeight="1">
      <c r="A1" s="103" t="inlineStr">
        <is>
          <t>EX-06  FOOTWEAR CO-PRESENCE — Leading Market Indicator + Revenue Bridge</t>
        </is>
      </c>
    </row>
    <row r="2" ht="18" customHeight="1">
      <c r="A2" s="2" t="inlineStr">
        <is>
          <t>Where footwear+VF coexist, Premium arrives within 2-3 years. The organised retail sequencing playbook.</t>
        </is>
      </c>
    </row>
    <row r="4" ht="24" customHeight="1">
      <c r="A4" s="3" t="inlineStr">
        <is>
          <t>Tier</t>
        </is>
      </c>
      <c r="B4" s="3" t="inlineStr">
        <is>
          <t>Footwear Pins</t>
        </is>
      </c>
      <c r="C4" s="3" t="inlineStr">
        <is>
          <t>With Premium (%)</t>
        </is>
      </c>
      <c r="D4" s="3" t="inlineStr">
        <is>
          <t>With VF (%)</t>
        </is>
      </c>
      <c r="E4" s="3" t="inlineStr">
        <is>
          <t>Both (%)</t>
        </is>
      </c>
      <c r="F4" s="3" t="inlineStr">
        <is>
          <t>VF Revenue (₹Cr)</t>
        </is>
      </c>
      <c r="G4" s="3" t="inlineStr">
        <is>
          <t>Signal</t>
        </is>
      </c>
    </row>
    <row r="5" ht="22" customHeight="1">
      <c r="A5" s="4">
        <f>'⚙️ DATA'!A5</f>
        <v/>
      </c>
      <c r="B5" s="6" t="n">
        <v>391</v>
      </c>
      <c r="C5" s="90" t="inlineStr">
        <is>
          <t>63.9%</t>
        </is>
      </c>
      <c r="D5" s="5" t="inlineStr">
        <is>
          <t>72.1%</t>
        </is>
      </c>
      <c r="E5" s="5" t="inlineStr">
        <is>
          <t>52.7%</t>
        </is>
      </c>
      <c r="F5" s="6" t="n">
        <v>6380</v>
      </c>
      <c r="G5" s="50" t="inlineStr">
        <is>
          <t>Full: 64% co-presence w/Premium</t>
        </is>
      </c>
      <c r="H5" s="51" t="n"/>
      <c r="I5" s="51" t="n"/>
      <c r="J5" s="52" t="n"/>
    </row>
    <row r="6" ht="22" customHeight="1">
      <c r="A6" s="13">
        <f>'⚙️ DATA'!A6</f>
        <v/>
      </c>
      <c r="B6" s="15" t="n">
        <v>364</v>
      </c>
      <c r="C6" s="14" t="inlineStr">
        <is>
          <t>59.9%</t>
        </is>
      </c>
      <c r="D6" s="71" t="inlineStr">
        <is>
          <t>77.5%</t>
        </is>
      </c>
      <c r="E6" s="14" t="inlineStr">
        <is>
          <t>51.9%</t>
        </is>
      </c>
      <c r="F6" s="15" t="n">
        <v>7931</v>
      </c>
      <c r="G6" s="56" t="inlineStr">
        <is>
          <t>Near-complete: 60% Premium co-presence</t>
        </is>
      </c>
      <c r="H6" s="51" t="n"/>
      <c r="I6" s="51" t="n"/>
      <c r="J6" s="52" t="n"/>
    </row>
    <row r="7" ht="22" customHeight="1">
      <c r="A7" s="22">
        <f>'⚙️ DATA'!A7</f>
        <v/>
      </c>
      <c r="B7" s="6" t="n">
        <v>583</v>
      </c>
      <c r="C7" s="5" t="inlineStr">
        <is>
          <t>58.0%</t>
        </is>
      </c>
      <c r="D7" s="71" t="inlineStr">
        <is>
          <t>76.7%</t>
        </is>
      </c>
      <c r="E7" s="5" t="inlineStr">
        <is>
          <t>50.1%</t>
        </is>
      </c>
      <c r="F7" s="6" t="n">
        <v>14805</v>
      </c>
      <c r="G7" s="50" t="inlineStr">
        <is>
          <t>77% VF + 59% Prem: T2 completing</t>
        </is>
      </c>
      <c r="H7" s="51" t="n"/>
      <c r="I7" s="51" t="n"/>
      <c r="J7" s="52" t="n"/>
    </row>
    <row r="8" ht="22" customHeight="1">
      <c r="A8" s="23">
        <f>'⚙️ DATA'!A8</f>
        <v/>
      </c>
      <c r="B8" s="15" t="n">
        <v>426</v>
      </c>
      <c r="C8" s="14" t="inlineStr">
        <is>
          <t>53.5%</t>
        </is>
      </c>
      <c r="D8" s="71" t="inlineStr">
        <is>
          <t>77.2%</t>
        </is>
      </c>
      <c r="E8" s="14" t="inlineStr">
        <is>
          <t>48.1%</t>
        </is>
      </c>
      <c r="F8" s="15" t="n">
        <v>11834</v>
      </c>
      <c r="G8" s="56" t="inlineStr">
        <is>
          <t>77% VF dominant, 54% Prem following</t>
        </is>
      </c>
      <c r="H8" s="51" t="n"/>
      <c r="I8" s="51" t="n"/>
      <c r="J8" s="52" t="n"/>
    </row>
    <row r="9" ht="22" customHeight="1">
      <c r="A9" s="25">
        <f>'⚙️ DATA'!A9</f>
        <v/>
      </c>
      <c r="B9" s="6" t="n">
        <v>71</v>
      </c>
      <c r="C9" s="5" t="inlineStr">
        <is>
          <t>46.5%</t>
        </is>
      </c>
      <c r="D9" s="71" t="inlineStr">
        <is>
          <t>76.1%</t>
        </is>
      </c>
      <c r="E9" s="5" t="inlineStr">
        <is>
          <t>43.7%</t>
        </is>
      </c>
      <c r="F9" s="6" t="n">
        <v>1596</v>
      </c>
      <c r="G9" s="50" t="inlineStr">
        <is>
          <t>76% VF + 46% Prem: micro sequence</t>
        </is>
      </c>
      <c r="H9" s="51" t="n"/>
      <c r="I9" s="51" t="n"/>
      <c r="J9" s="52" t="n"/>
    </row>
  </sheetData>
  <mergeCells count="7">
    <mergeCell ref="G6:J6"/>
    <mergeCell ref="A1:J1"/>
    <mergeCell ref="G9:J9"/>
    <mergeCell ref="G8:J8"/>
    <mergeCell ref="G7:J7"/>
    <mergeCell ref="A2:J2"/>
    <mergeCell ref="G5:J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E185D"/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2" customWidth="1" min="10" max="10"/>
  </cols>
  <sheetData>
    <row r="1" ht="30" customHeight="1">
      <c r="A1" s="104" t="inlineStr">
        <is>
          <t>EX-07  WOMEN'S WEAR — ₹944 Cr T3 vs ₹3,195 Cr Metro | Largest Revenue Whitespace</t>
        </is>
      </c>
    </row>
    <row r="2" ht="18" customHeight="1">
      <c r="A2" s="2" t="inlineStr">
        <is>
          <t>Women's Ethnic + Western T3 = ₹944 Cr. Metro = ₹3,195 Cr. T3 has 60% more districts but 70% less organised revenue.</t>
        </is>
      </c>
    </row>
    <row r="4" ht="24" customHeight="1">
      <c r="A4" s="3" t="inlineStr">
        <is>
          <t>Tier</t>
        </is>
      </c>
      <c r="B4" s="3" t="inlineStr">
        <is>
          <t>Ethnic Stores</t>
        </is>
      </c>
      <c r="C4" s="3" t="inlineStr">
        <is>
          <t>Ethnic Rev(₹Cr)</t>
        </is>
      </c>
      <c r="D4" s="3" t="inlineStr">
        <is>
          <t>Western Stores</t>
        </is>
      </c>
      <c r="E4" s="3" t="inlineStr">
        <is>
          <t>Western Rev(₹Cr)</t>
        </is>
      </c>
      <c r="F4" s="3" t="inlineStr">
        <is>
          <t>Combined</t>
        </is>
      </c>
      <c r="G4" s="3" t="inlineStr">
        <is>
          <t>Comb Rev</t>
        </is>
      </c>
      <c r="H4" s="3" t="inlineStr">
        <is>
          <t>Rev% of Total</t>
        </is>
      </c>
    </row>
    <row r="5" ht="20" customHeight="1">
      <c r="A5" s="4">
        <f>'⚙️ DATA'!A5</f>
        <v/>
      </c>
      <c r="B5" s="6" t="n">
        <v>732</v>
      </c>
      <c r="C5" s="8" t="n">
        <v>759.5</v>
      </c>
      <c r="D5" s="6" t="n">
        <v>467</v>
      </c>
      <c r="E5" s="8" t="n">
        <v>467</v>
      </c>
      <c r="F5" s="6" t="n">
        <v>1199</v>
      </c>
      <c r="G5" s="6" t="n">
        <v>1226</v>
      </c>
      <c r="H5" s="5" t="inlineStr">
        <is>
          <t>32.3%</t>
        </is>
      </c>
    </row>
    <row r="6" ht="20" customHeight="1">
      <c r="A6" s="13">
        <f>'⚙️ DATA'!A6</f>
        <v/>
      </c>
      <c r="B6" s="15" t="n">
        <v>561</v>
      </c>
      <c r="C6" s="17" t="n">
        <v>606.9</v>
      </c>
      <c r="D6" s="15" t="n">
        <v>379</v>
      </c>
      <c r="E6" s="17" t="n">
        <v>362.7</v>
      </c>
      <c r="F6" s="15" t="n">
        <v>940</v>
      </c>
      <c r="G6" s="15" t="n">
        <v>970</v>
      </c>
      <c r="H6" s="14" t="inlineStr">
        <is>
          <t>25.5%</t>
        </is>
      </c>
    </row>
    <row r="7" ht="20" customHeight="1">
      <c r="A7" s="22">
        <f>'⚙️ DATA'!A7</f>
        <v/>
      </c>
      <c r="B7" s="6" t="n">
        <v>546</v>
      </c>
      <c r="C7" s="8" t="n">
        <v>692.4</v>
      </c>
      <c r="D7" s="6" t="n">
        <v>329</v>
      </c>
      <c r="E7" s="8" t="n">
        <v>307.1</v>
      </c>
      <c r="F7" s="6" t="n">
        <v>875</v>
      </c>
      <c r="G7" s="6" t="n">
        <v>1000</v>
      </c>
      <c r="H7" s="5" t="inlineStr">
        <is>
          <t>26.3%</t>
        </is>
      </c>
    </row>
    <row r="8" ht="20" customHeight="1">
      <c r="A8" s="23">
        <f>'⚙️ DATA'!A8</f>
        <v/>
      </c>
      <c r="B8" s="15" t="n">
        <v>196</v>
      </c>
      <c r="C8" s="17" t="n">
        <v>340.3</v>
      </c>
      <c r="D8" s="15" t="n">
        <v>123</v>
      </c>
      <c r="E8" s="17" t="n">
        <v>114.1</v>
      </c>
      <c r="F8" s="15" t="n">
        <v>319</v>
      </c>
      <c r="G8" s="15" t="n">
        <v>454</v>
      </c>
      <c r="H8" s="14" t="inlineStr">
        <is>
          <t>12.0%</t>
        </is>
      </c>
    </row>
    <row r="9" ht="20" customHeight="1">
      <c r="A9" s="25">
        <f>'⚙️ DATA'!A9</f>
        <v/>
      </c>
      <c r="B9" s="6" t="n">
        <v>52</v>
      </c>
      <c r="C9" s="8" t="n">
        <v>114.8</v>
      </c>
      <c r="D9" s="6" t="n">
        <v>30</v>
      </c>
      <c r="E9" s="8" t="n">
        <v>32.9</v>
      </c>
      <c r="F9" s="6" t="n">
        <v>82</v>
      </c>
      <c r="G9" s="6" t="n">
        <v>148</v>
      </c>
      <c r="H9" s="5" t="inlineStr">
        <is>
          <t>3.9%</t>
        </is>
      </c>
    </row>
    <row r="12" ht="20" customHeight="1">
      <c r="A12" s="105" t="inlineStr">
        <is>
          <t>ETHNIC BRAND TIER BREAKDOWN — Revenue + Expansion Signal</t>
        </is>
      </c>
    </row>
    <row r="13" ht="24" customHeight="1">
      <c r="A13" s="106" t="inlineStr">
        <is>
          <t>Brand</t>
        </is>
      </c>
      <c r="B13" s="106" t="inlineStr">
        <is>
          <t>Rev FY26</t>
        </is>
      </c>
      <c r="C13" s="106" t="inlineStr">
        <is>
          <t>Rev/Store</t>
        </is>
      </c>
      <c r="D13" s="106" t="inlineStr">
        <is>
          <t>Metro</t>
        </is>
      </c>
      <c r="E13" s="106" t="inlineStr">
        <is>
          <t>T1</t>
        </is>
      </c>
      <c r="F13" s="106" t="inlineStr">
        <is>
          <t>T2</t>
        </is>
      </c>
      <c r="G13" s="106" t="inlineStr">
        <is>
          <t>T3</t>
        </is>
      </c>
      <c r="H13" s="106" t="inlineStr">
        <is>
          <t>T4</t>
        </is>
      </c>
      <c r="I13" s="106" t="inlineStr">
        <is>
          <t>Total</t>
        </is>
      </c>
      <c r="J13" s="106" t="inlineStr">
        <is>
          <t>Metro+T1%</t>
        </is>
      </c>
    </row>
    <row r="14" ht="18" customHeight="1">
      <c r="A14" s="61" t="inlineStr">
        <is>
          <t>Biba</t>
        </is>
      </c>
      <c r="B14" s="15" t="n">
        <v>381</v>
      </c>
      <c r="C14" s="20" t="n">
        <v>1.03</v>
      </c>
      <c r="D14" s="15" t="n">
        <v>123</v>
      </c>
      <c r="E14" s="15" t="n">
        <v>111</v>
      </c>
      <c r="F14" s="15" t="n">
        <v>104</v>
      </c>
      <c r="G14" s="15" t="n">
        <v>29</v>
      </c>
      <c r="H14" s="15" t="n">
        <v>3</v>
      </c>
      <c r="I14" s="15" t="n">
        <v>370</v>
      </c>
      <c r="J14" s="14" t="inlineStr">
        <is>
          <t>63.2%</t>
        </is>
      </c>
    </row>
    <row r="15" ht="18" customHeight="1">
      <c r="A15" s="107" t="inlineStr">
        <is>
          <t>FabIndia</t>
        </is>
      </c>
      <c r="B15" s="6" t="n">
        <v>1060</v>
      </c>
      <c r="C15" s="11" t="n">
        <v>3.03</v>
      </c>
      <c r="D15" s="6" t="n">
        <v>147</v>
      </c>
      <c r="E15" s="6" t="n">
        <v>85</v>
      </c>
      <c r="F15" s="6" t="n">
        <v>82</v>
      </c>
      <c r="G15" s="6" t="n">
        <v>25</v>
      </c>
      <c r="H15" s="6" t="n">
        <v>11</v>
      </c>
      <c r="I15" s="6" t="n">
        <v>350</v>
      </c>
      <c r="J15" s="5" t="inlineStr">
        <is>
          <t>66.3%</t>
        </is>
      </c>
    </row>
    <row r="16" ht="18" customHeight="1">
      <c r="A16" s="61" t="inlineStr">
        <is>
          <t>Manyawar</t>
        </is>
      </c>
      <c r="B16" s="15" t="n">
        <v>1667</v>
      </c>
      <c r="C16" s="20" t="n">
        <v>5.48</v>
      </c>
      <c r="D16" s="15" t="n">
        <v>84</v>
      </c>
      <c r="E16" s="15" t="n">
        <v>69</v>
      </c>
      <c r="F16" s="15" t="n">
        <v>87</v>
      </c>
      <c r="G16" s="15" t="n">
        <v>47</v>
      </c>
      <c r="H16" s="15" t="n">
        <v>17</v>
      </c>
      <c r="I16" s="15" t="n">
        <v>304</v>
      </c>
      <c r="J16" s="14" t="inlineStr">
        <is>
          <t>50.3%</t>
        </is>
      </c>
    </row>
    <row r="17" ht="18" customHeight="1">
      <c r="A17" s="107" t="inlineStr">
        <is>
          <t>W for Woman</t>
        </is>
      </c>
      <c r="B17" s="6" t="n">
        <v>331</v>
      </c>
      <c r="C17" s="11" t="n">
        <v>1.18</v>
      </c>
      <c r="D17" s="6" t="n">
        <v>78</v>
      </c>
      <c r="E17" s="6" t="n">
        <v>73</v>
      </c>
      <c r="F17" s="6" t="n">
        <v>87</v>
      </c>
      <c r="G17" s="6" t="n">
        <v>36</v>
      </c>
      <c r="H17" s="6" t="n">
        <v>7</v>
      </c>
      <c r="I17" s="6" t="n">
        <v>281</v>
      </c>
      <c r="J17" s="5" t="inlineStr">
        <is>
          <t>53.7%</t>
        </is>
      </c>
    </row>
    <row r="18" ht="18" customHeight="1">
      <c r="A18" s="61" t="inlineStr">
        <is>
          <t>Aurelia</t>
        </is>
      </c>
      <c r="B18" s="15" t="n">
        <v>246</v>
      </c>
      <c r="C18" s="20" t="n">
        <v>1.03</v>
      </c>
      <c r="D18" s="15" t="n">
        <v>66</v>
      </c>
      <c r="E18" s="15" t="n">
        <v>60</v>
      </c>
      <c r="F18" s="15" t="n">
        <v>72</v>
      </c>
      <c r="G18" s="15" t="n">
        <v>32</v>
      </c>
      <c r="H18" s="15" t="n">
        <v>9</v>
      </c>
      <c r="I18" s="15" t="n">
        <v>239</v>
      </c>
      <c r="J18" s="14" t="inlineStr">
        <is>
          <t>52.7%</t>
        </is>
      </c>
    </row>
    <row r="19" ht="18" customHeight="1">
      <c r="A19" s="107" t="inlineStr">
        <is>
          <t>Mohey</t>
        </is>
      </c>
      <c r="B19" s="6" t="n">
        <v>221</v>
      </c>
      <c r="C19" s="11" t="n">
        <v>1.3</v>
      </c>
      <c r="D19" s="6" t="n">
        <v>56</v>
      </c>
      <c r="E19" s="6" t="n">
        <v>53</v>
      </c>
      <c r="F19" s="6" t="n">
        <v>38</v>
      </c>
      <c r="G19" s="6" t="n">
        <v>21</v>
      </c>
      <c r="H19" s="6" t="n">
        <v>2</v>
      </c>
      <c r="I19" s="6" t="n">
        <v>170</v>
      </c>
      <c r="J19" s="5" t="inlineStr">
        <is>
          <t>64.1%</t>
        </is>
      </c>
    </row>
    <row r="20" ht="18" customHeight="1">
      <c r="A20" s="61" t="inlineStr">
        <is>
          <t>Soch</t>
        </is>
      </c>
      <c r="B20" s="15" t="n">
        <v>220</v>
      </c>
      <c r="C20" s="20" t="n">
        <v>1.33</v>
      </c>
      <c r="D20" s="15" t="n">
        <v>58</v>
      </c>
      <c r="E20" s="15" t="n">
        <v>52</v>
      </c>
      <c r="F20" s="15" t="n">
        <v>50</v>
      </c>
      <c r="G20" s="15" t="n">
        <v>3</v>
      </c>
      <c r="H20" s="15" t="n">
        <v>2</v>
      </c>
      <c r="I20" s="15" t="n">
        <v>165</v>
      </c>
      <c r="J20" s="14" t="inlineStr">
        <is>
          <t>66.7%</t>
        </is>
      </c>
    </row>
    <row r="21" ht="18" customHeight="1">
      <c r="A21" s="107" t="inlineStr">
        <is>
          <t>Tasva</t>
        </is>
      </c>
      <c r="B21" s="6" t="n">
        <v>100</v>
      </c>
      <c r="C21" s="11" t="n">
        <v>0</v>
      </c>
      <c r="D21" s="6" t="n">
        <v>47</v>
      </c>
      <c r="E21" s="6" t="n">
        <v>30</v>
      </c>
      <c r="F21" s="6" t="n">
        <v>10</v>
      </c>
      <c r="G21" s="6" t="n">
        <v>1</v>
      </c>
      <c r="H21" s="6" t="n">
        <v>0</v>
      </c>
      <c r="I21" s="6" t="n">
        <v>88</v>
      </c>
      <c r="J21" s="90" t="inlineStr">
        <is>
          <t>87.5%</t>
        </is>
      </c>
    </row>
    <row r="22" ht="18" customHeight="1">
      <c r="A22" s="61" t="inlineStr">
        <is>
          <t>Libas</t>
        </is>
      </c>
      <c r="B22" s="15" t="n">
        <v>162</v>
      </c>
      <c r="C22" s="20" t="n">
        <v>3.38</v>
      </c>
      <c r="D22" s="15" t="n">
        <v>35</v>
      </c>
      <c r="E22" s="15" t="n">
        <v>7</v>
      </c>
      <c r="F22" s="15" t="n">
        <v>6</v>
      </c>
      <c r="G22" s="15" t="n">
        <v>0</v>
      </c>
      <c r="H22" s="15" t="n">
        <v>0</v>
      </c>
      <c r="I22" s="15" t="n">
        <v>48</v>
      </c>
      <c r="J22" s="90" t="inlineStr">
        <is>
          <t>87.5%</t>
        </is>
      </c>
    </row>
    <row r="23" ht="18" customHeight="1">
      <c r="A23" s="107" t="inlineStr">
        <is>
          <t>Ritu Kumar</t>
        </is>
      </c>
      <c r="B23" s="6" t="n">
        <v>191</v>
      </c>
      <c r="C23" s="11" t="n">
        <v>4.06</v>
      </c>
      <c r="D23" s="6" t="n">
        <v>21</v>
      </c>
      <c r="E23" s="6" t="n">
        <v>16</v>
      </c>
      <c r="F23" s="6" t="n">
        <v>8</v>
      </c>
      <c r="G23" s="6" t="n">
        <v>1</v>
      </c>
      <c r="H23" s="6" t="n">
        <v>1</v>
      </c>
      <c r="I23" s="6" t="n">
        <v>47</v>
      </c>
      <c r="J23" s="5" t="inlineStr">
        <is>
          <t>78.7%</t>
        </is>
      </c>
    </row>
    <row r="24" ht="18" customHeight="1">
      <c r="A24" s="61" t="inlineStr">
        <is>
          <t>Global Desi</t>
        </is>
      </c>
      <c r="B24" s="15" t="n">
        <v>79</v>
      </c>
      <c r="C24" s="20" t="n">
        <v>3.16</v>
      </c>
      <c r="D24" s="15" t="n">
        <v>17</v>
      </c>
      <c r="E24" s="15" t="n">
        <v>5</v>
      </c>
      <c r="F24" s="15" t="n">
        <v>2</v>
      </c>
      <c r="G24" s="15" t="n">
        <v>1</v>
      </c>
      <c r="H24" s="15" t="n">
        <v>0</v>
      </c>
      <c r="I24" s="15" t="n">
        <v>25</v>
      </c>
      <c r="J24" s="90" t="inlineStr">
        <is>
          <t>88.0%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151"/>
    <outlinePr summaryBelow="1" summaryRight="1"/>
    <pageSetUpPr/>
  </sheetPr>
  <dimension ref="A1:O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2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6" customWidth="1" min="15" max="15"/>
  </cols>
  <sheetData>
    <row r="1" ht="30" customHeight="1">
      <c r="A1" s="108" t="inlineStr">
        <is>
          <t>EX-08  MARKET FRAGMENTATION — 111 Brands, Revenue + Pincode Depth (→ ⚙️ DATA)</t>
        </is>
      </c>
    </row>
    <row r="2" ht="18" customHeight="1">
      <c r="A2" s="2" t="inlineStr">
        <is>
          <t>Revenue FY26 + pincode reach + tier depth. Multi-tier leaders clearly visible. Ranked by FY26 revenue.</t>
        </is>
      </c>
    </row>
    <row r="4" ht="24" customHeight="1">
      <c r="A4" s="3" t="inlineStr">
        <is>
          <t>#</t>
        </is>
      </c>
      <c r="B4" s="3" t="inlineStr">
        <is>
          <t>Brand</t>
        </is>
      </c>
      <c r="C4" s="3" t="inlineStr">
        <is>
          <t>Segment</t>
        </is>
      </c>
      <c r="D4" s="3" t="inlineStr">
        <is>
          <t>Rev FY26</t>
        </is>
      </c>
      <c r="E4" s="3" t="inlineStr">
        <is>
          <t>Rev FY25</t>
        </is>
      </c>
      <c r="F4" s="3" t="inlineStr">
        <is>
          <t>Stores</t>
        </is>
      </c>
      <c r="G4" s="3" t="inlineStr">
        <is>
          <t>Rev/Store</t>
        </is>
      </c>
      <c r="H4" s="3" t="inlineStr">
        <is>
          <t>Add FY26</t>
        </is>
      </c>
      <c r="I4" s="3" t="inlineStr">
        <is>
          <t>Metro</t>
        </is>
      </c>
      <c r="J4" s="3" t="inlineStr">
        <is>
          <t>T1</t>
        </is>
      </c>
      <c r="K4" s="3" t="inlineStr">
        <is>
          <t>T2</t>
        </is>
      </c>
      <c r="L4" s="3" t="inlineStr">
        <is>
          <t>T3</t>
        </is>
      </c>
      <c r="M4" s="3" t="inlineStr">
        <is>
          <t>T4</t>
        </is>
      </c>
      <c r="N4" s="3" t="inlineStr">
        <is>
          <t>T2+T3+T4</t>
        </is>
      </c>
      <c r="O4" s="3" t="inlineStr">
        <is>
          <t>Quadrant</t>
        </is>
      </c>
    </row>
    <row r="5" ht="15" customHeight="1">
      <c r="A5" s="5" t="n">
        <v>1</v>
      </c>
      <c r="B5" s="109" t="inlineStr">
        <is>
          <t>Reliance Trends</t>
        </is>
      </c>
      <c r="C5" s="110" t="inlineStr">
        <is>
          <t>Value Fashion</t>
        </is>
      </c>
      <c r="D5" s="8" t="n">
        <v>21200</v>
      </c>
      <c r="E5" s="8" t="inlineStr">
        <is>
          <t>—</t>
        </is>
      </c>
      <c r="F5" s="6" t="inlineStr">
        <is>
          <t>—</t>
        </is>
      </c>
      <c r="G5" s="11" t="n">
        <v>10</v>
      </c>
      <c r="H5" s="6" t="n">
        <v>22526</v>
      </c>
      <c r="I5" s="6" t="n">
        <v>192</v>
      </c>
      <c r="J5" s="6" t="n">
        <v>281</v>
      </c>
      <c r="K5" s="6" t="n">
        <v>704</v>
      </c>
      <c r="L5" s="6" t="n">
        <v>532</v>
      </c>
      <c r="M5" s="6" t="n">
        <v>58</v>
      </c>
      <c r="N5" s="101" t="n">
        <v>1294</v>
      </c>
      <c r="O5" s="111" t="inlineStr">
        <is>
          <t>Multi-Tier Leader</t>
        </is>
      </c>
    </row>
    <row r="6" ht="15" customHeight="1">
      <c r="A6" s="14" t="n">
        <v>2</v>
      </c>
      <c r="B6" s="112" t="inlineStr">
        <is>
          <t>Zudio</t>
        </is>
      </c>
      <c r="C6" s="113" t="inlineStr">
        <is>
          <t>Value Fashion</t>
        </is>
      </c>
      <c r="D6" s="17" t="n">
        <v>11768.9</v>
      </c>
      <c r="E6" s="17" t="n">
        <v>7597.7</v>
      </c>
      <c r="F6" s="15" t="n">
        <v>3141</v>
      </c>
      <c r="G6" s="20" t="inlineStr">
        <is>
          <t>—</t>
        </is>
      </c>
      <c r="H6" s="15" t="n">
        <v>0</v>
      </c>
      <c r="I6" s="15" t="n">
        <v>217</v>
      </c>
      <c r="J6" s="15" t="n">
        <v>181</v>
      </c>
      <c r="K6" s="15" t="n">
        <v>225</v>
      </c>
      <c r="L6" s="15" t="n">
        <v>132</v>
      </c>
      <c r="M6" s="15" t="n">
        <v>21</v>
      </c>
      <c r="N6" s="101" t="n">
        <v>378</v>
      </c>
      <c r="O6" s="111" t="inlineStr">
        <is>
          <t>Multi-Tier Leader</t>
        </is>
      </c>
    </row>
    <row r="7" ht="15" customHeight="1">
      <c r="A7" s="5" t="n">
        <v>3</v>
      </c>
      <c r="B7" s="109" t="inlineStr">
        <is>
          <t>Westside</t>
        </is>
      </c>
      <c r="C7" s="114" t="inlineStr">
        <is>
          <t>Multi/Lifestyle</t>
        </is>
      </c>
      <c r="D7" s="8" t="n">
        <v>11768.9</v>
      </c>
      <c r="E7" s="8" t="n">
        <v>7597.7</v>
      </c>
      <c r="F7" s="6" t="n">
        <v>3141</v>
      </c>
      <c r="G7" s="11" t="inlineStr">
        <is>
          <t>—</t>
        </is>
      </c>
      <c r="H7" s="6" t="n">
        <v>0</v>
      </c>
      <c r="I7" s="6" t="n">
        <v>9</v>
      </c>
      <c r="J7" s="6" t="n">
        <v>0</v>
      </c>
      <c r="K7" s="6" t="n">
        <v>1</v>
      </c>
      <c r="L7" s="6" t="n">
        <v>236</v>
      </c>
      <c r="M7" s="6" t="n">
        <v>0</v>
      </c>
      <c r="N7" s="101" t="n">
        <v>237</v>
      </c>
      <c r="O7" s="115" t="inlineStr">
        <is>
          <t>Tier Pioneer</t>
        </is>
      </c>
    </row>
    <row r="8" ht="15" customHeight="1">
      <c r="A8" s="14" t="n">
        <v>4</v>
      </c>
      <c r="B8" s="112" t="inlineStr">
        <is>
          <t>Reliance Smart Bazaar</t>
        </is>
      </c>
      <c r="C8" s="116" t="inlineStr">
        <is>
          <t>Multi/Lifestyle</t>
        </is>
      </c>
      <c r="D8" s="17" t="n">
        <v>11143</v>
      </c>
      <c r="E8" s="17" t="inlineStr">
        <is>
          <t>—</t>
        </is>
      </c>
      <c r="F8" s="15" t="inlineStr">
        <is>
          <t>—</t>
        </is>
      </c>
      <c r="G8" s="20" t="n">
        <v>11</v>
      </c>
      <c r="H8" s="15" t="n">
        <v>0</v>
      </c>
      <c r="I8" s="15" t="n">
        <v>141</v>
      </c>
      <c r="J8" s="15" t="n">
        <v>151</v>
      </c>
      <c r="K8" s="15" t="n">
        <v>313</v>
      </c>
      <c r="L8" s="15" t="n">
        <v>274</v>
      </c>
      <c r="M8" s="15" t="n">
        <v>31</v>
      </c>
      <c r="N8" s="101" t="n">
        <v>618</v>
      </c>
      <c r="O8" s="111" t="inlineStr">
        <is>
          <t>Multi-Tier Leader</t>
        </is>
      </c>
    </row>
    <row r="9" ht="15" customHeight="1">
      <c r="A9" s="5" t="n">
        <v>5</v>
      </c>
      <c r="B9" s="109" t="inlineStr">
        <is>
          <t>Lifestyle</t>
        </is>
      </c>
      <c r="C9" s="114" t="inlineStr">
        <is>
          <t>Multi/Lifestyle</t>
        </is>
      </c>
      <c r="D9" s="8" t="n">
        <v>11083</v>
      </c>
      <c r="E9" s="8" t="n">
        <v>11573</v>
      </c>
      <c r="F9" s="6" t="n">
        <v>9133</v>
      </c>
      <c r="G9" s="11" t="inlineStr">
        <is>
          <t>—</t>
        </is>
      </c>
      <c r="H9" s="6" t="n">
        <v>0</v>
      </c>
      <c r="I9" s="6" t="n">
        <v>47</v>
      </c>
      <c r="J9" s="6" t="n">
        <v>40</v>
      </c>
      <c r="K9" s="6" t="n">
        <v>29</v>
      </c>
      <c r="L9" s="6" t="n">
        <v>4</v>
      </c>
      <c r="M9" s="6" t="n">
        <v>2</v>
      </c>
      <c r="N9" s="6" t="n">
        <v>35</v>
      </c>
      <c r="O9" s="117" t="inlineStr">
        <is>
          <t>Metro Fortress</t>
        </is>
      </c>
    </row>
    <row r="10" ht="15" customHeight="1">
      <c r="A10" s="14" t="n">
        <v>6</v>
      </c>
      <c r="B10" s="112" t="inlineStr">
        <is>
          <t>Westside</t>
        </is>
      </c>
      <c r="C10" s="116" t="inlineStr">
        <is>
          <t>Multi/Lifestyle</t>
        </is>
      </c>
      <c r="D10" s="17" t="n">
        <v>8376</v>
      </c>
      <c r="E10" s="17" t="n">
        <v>6882</v>
      </c>
      <c r="F10" s="15" t="n">
        <v>300</v>
      </c>
      <c r="G10" s="20" t="n">
        <v>27.92</v>
      </c>
      <c r="H10" s="15" t="n">
        <v>52</v>
      </c>
      <c r="I10" s="15" t="n">
        <v>9</v>
      </c>
      <c r="J10" s="15" t="n">
        <v>0</v>
      </c>
      <c r="K10" s="15" t="n">
        <v>1</v>
      </c>
      <c r="L10" s="15" t="n">
        <v>236</v>
      </c>
      <c r="M10" s="15" t="n">
        <v>0</v>
      </c>
      <c r="N10" s="101" t="n">
        <v>237</v>
      </c>
      <c r="O10" s="115" t="inlineStr">
        <is>
          <t>Tier Pioneer</t>
        </is>
      </c>
    </row>
    <row r="11" ht="15" customHeight="1">
      <c r="A11" s="5" t="n">
        <v>7</v>
      </c>
      <c r="B11" s="109" t="inlineStr">
        <is>
          <t>Zudio</t>
        </is>
      </c>
      <c r="C11" s="110" t="inlineStr">
        <is>
          <t>Value Fashion</t>
        </is>
      </c>
      <c r="D11" s="8" t="n">
        <v>8148</v>
      </c>
      <c r="E11" s="8" t="n">
        <v>6432</v>
      </c>
      <c r="F11" s="6" t="n">
        <v>963</v>
      </c>
      <c r="G11" s="11" t="n">
        <v>8.460000000000001</v>
      </c>
      <c r="H11" s="6" t="n">
        <v>198</v>
      </c>
      <c r="I11" s="6" t="n">
        <v>217</v>
      </c>
      <c r="J11" s="6" t="n">
        <v>181</v>
      </c>
      <c r="K11" s="6" t="n">
        <v>225</v>
      </c>
      <c r="L11" s="6" t="n">
        <v>132</v>
      </c>
      <c r="M11" s="6" t="n">
        <v>21</v>
      </c>
      <c r="N11" s="101" t="n">
        <v>378</v>
      </c>
      <c r="O11" s="111" t="inlineStr">
        <is>
          <t>Multi-Tier Leader</t>
        </is>
      </c>
    </row>
    <row r="12" ht="15" customHeight="1">
      <c r="A12" s="14" t="n">
        <v>8</v>
      </c>
      <c r="B12" s="112" t="inlineStr">
        <is>
          <t>Arvind</t>
        </is>
      </c>
      <c r="C12" s="118" t="inlineStr">
        <is>
          <t>Premium Menswear</t>
        </is>
      </c>
      <c r="D12" s="17" t="n">
        <v>6836.7</v>
      </c>
      <c r="E12" s="17" t="n">
        <v>7464.2</v>
      </c>
      <c r="F12" s="15" t="n">
        <v>6412</v>
      </c>
      <c r="G12" s="20" t="inlineStr">
        <is>
          <t>—</t>
        </is>
      </c>
      <c r="H12" s="15" t="n">
        <v>0</v>
      </c>
      <c r="I12" s="15" t="n">
        <v>28</v>
      </c>
      <c r="J12" s="15" t="n">
        <v>52</v>
      </c>
      <c r="K12" s="15" t="n">
        <v>47</v>
      </c>
      <c r="L12" s="15" t="n">
        <v>37</v>
      </c>
      <c r="M12" s="15" t="n">
        <v>9</v>
      </c>
      <c r="N12" s="15" t="n">
        <v>93</v>
      </c>
      <c r="O12" s="117" t="inlineStr">
        <is>
          <t>Metro Fortress</t>
        </is>
      </c>
    </row>
    <row r="13" ht="15" customHeight="1">
      <c r="A13" s="5" t="n">
        <v>9</v>
      </c>
      <c r="B13" s="109" t="inlineStr">
        <is>
          <t>Peter England</t>
        </is>
      </c>
      <c r="C13" s="114" t="inlineStr">
        <is>
          <t>nan</t>
        </is>
      </c>
      <c r="D13" s="8" t="n">
        <v>6345.3</v>
      </c>
      <c r="E13" s="8" t="n">
        <v>12352.8</v>
      </c>
      <c r="F13" s="6" t="n">
        <v>8721</v>
      </c>
      <c r="G13" s="11" t="inlineStr">
        <is>
          <t>—</t>
        </is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119" t="inlineStr">
        <is>
          <t>Emerging</t>
        </is>
      </c>
    </row>
    <row r="14" ht="15" customHeight="1">
      <c r="A14" s="14" t="n">
        <v>10</v>
      </c>
      <c r="B14" s="112" t="inlineStr">
        <is>
          <t>Pantaloons</t>
        </is>
      </c>
      <c r="C14" s="116" t="inlineStr">
        <is>
          <t>Multi/Lifestyle</t>
        </is>
      </c>
      <c r="D14" s="17" t="n">
        <v>6345.3</v>
      </c>
      <c r="E14" s="17" t="n">
        <v>12352.8</v>
      </c>
      <c r="F14" s="15" t="n">
        <v>8721</v>
      </c>
      <c r="G14" s="20" t="inlineStr">
        <is>
          <t>—</t>
        </is>
      </c>
      <c r="H14" s="15" t="n">
        <v>0</v>
      </c>
      <c r="I14" s="15" t="n">
        <v>100</v>
      </c>
      <c r="J14" s="15" t="n">
        <v>84</v>
      </c>
      <c r="K14" s="15" t="n">
        <v>104</v>
      </c>
      <c r="L14" s="15" t="n">
        <v>70</v>
      </c>
      <c r="M14" s="15" t="n">
        <v>12</v>
      </c>
      <c r="N14" s="15" t="n">
        <v>186</v>
      </c>
      <c r="O14" s="111" t="inlineStr">
        <is>
          <t>Multi-Tier Leader</t>
        </is>
      </c>
    </row>
    <row r="15" ht="15" customHeight="1">
      <c r="A15" s="5" t="n">
        <v>11</v>
      </c>
      <c r="B15" s="109" t="inlineStr">
        <is>
          <t>Vishal Mega Mart</t>
        </is>
      </c>
      <c r="C15" s="110" t="inlineStr">
        <is>
          <t>Value Fashion</t>
        </is>
      </c>
      <c r="D15" s="8" t="n">
        <v>5419.4</v>
      </c>
      <c r="E15" s="8" t="n">
        <v>4499.8</v>
      </c>
      <c r="F15" s="6" t="n">
        <v>795</v>
      </c>
      <c r="G15" s="11" t="n">
        <v>6.82</v>
      </c>
      <c r="H15" s="6" t="n">
        <v>99</v>
      </c>
      <c r="I15" s="6" t="n">
        <v>102</v>
      </c>
      <c r="J15" s="6" t="n">
        <v>118</v>
      </c>
      <c r="K15" s="6" t="n">
        <v>260</v>
      </c>
      <c r="L15" s="6" t="n">
        <v>223</v>
      </c>
      <c r="M15" s="6" t="n">
        <v>35</v>
      </c>
      <c r="N15" s="101" t="n">
        <v>518</v>
      </c>
      <c r="O15" s="111" t="inlineStr">
        <is>
          <t>Multi-Tier Leader</t>
        </is>
      </c>
    </row>
    <row r="16" ht="15" customHeight="1">
      <c r="A16" s="14" t="n">
        <v>12</v>
      </c>
      <c r="B16" s="112" t="inlineStr">
        <is>
          <t>Max</t>
        </is>
      </c>
      <c r="C16" s="113" t="inlineStr">
        <is>
          <t>Value Fashion</t>
        </is>
      </c>
      <c r="D16" s="17" t="n">
        <v>5007</v>
      </c>
      <c r="E16" s="17" t="n">
        <v>4316.3</v>
      </c>
      <c r="F16" s="15" t="inlineStr">
        <is>
          <t>—</t>
        </is>
      </c>
      <c r="G16" s="20" t="n">
        <v>9.800000000000001</v>
      </c>
      <c r="H16" s="15" t="n">
        <v>0</v>
      </c>
      <c r="I16" s="15" t="n">
        <v>102</v>
      </c>
      <c r="J16" s="15" t="n">
        <v>120</v>
      </c>
      <c r="K16" s="15" t="n">
        <v>148</v>
      </c>
      <c r="L16" s="15" t="n">
        <v>66</v>
      </c>
      <c r="M16" s="15" t="n">
        <v>12</v>
      </c>
      <c r="N16" s="101" t="n">
        <v>226</v>
      </c>
      <c r="O16" s="111" t="inlineStr">
        <is>
          <t>Multi-Tier Leader</t>
        </is>
      </c>
    </row>
    <row r="17" ht="15" customHeight="1">
      <c r="A17" s="5" t="n">
        <v>13</v>
      </c>
      <c r="B17" s="109" t="inlineStr">
        <is>
          <t>Allen Solly</t>
        </is>
      </c>
      <c r="C17" s="120" t="inlineStr">
        <is>
          <t>Premium Menswear</t>
        </is>
      </c>
      <c r="D17" s="8" t="n">
        <v>4740</v>
      </c>
      <c r="E17" s="8" t="n">
        <v>8854</v>
      </c>
      <c r="F17" s="6" t="inlineStr">
        <is>
          <t>—</t>
        </is>
      </c>
      <c r="G17" s="11" t="inlineStr">
        <is>
          <t>—</t>
        </is>
      </c>
      <c r="H17" s="6" t="n">
        <v>0</v>
      </c>
      <c r="I17" s="6" t="n">
        <v>93</v>
      </c>
      <c r="J17" s="6" t="n">
        <v>83</v>
      </c>
      <c r="K17" s="6" t="n">
        <v>113</v>
      </c>
      <c r="L17" s="6" t="n">
        <v>47</v>
      </c>
      <c r="M17" s="6" t="n">
        <v>2</v>
      </c>
      <c r="N17" s="6" t="n">
        <v>162</v>
      </c>
      <c r="O17" s="111" t="inlineStr">
        <is>
          <t>Multi-Tier Leader</t>
        </is>
      </c>
    </row>
    <row r="18" ht="15" customHeight="1">
      <c r="A18" s="14" t="n">
        <v>14</v>
      </c>
      <c r="B18" s="112" t="inlineStr">
        <is>
          <t>Jockey.in</t>
        </is>
      </c>
      <c r="C18" s="116" t="inlineStr">
        <is>
          <t>nan</t>
        </is>
      </c>
      <c r="D18" s="17" t="n">
        <v>4547.1</v>
      </c>
      <c r="E18" s="17" t="n">
        <v>4678.3</v>
      </c>
      <c r="F18" s="15" t="n">
        <v>2893</v>
      </c>
      <c r="G18" s="20" t="inlineStr">
        <is>
          <t>—</t>
        </is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19" t="inlineStr">
        <is>
          <t>Emerging</t>
        </is>
      </c>
    </row>
    <row r="19" ht="15" customHeight="1">
      <c r="A19" s="5" t="n">
        <v>15</v>
      </c>
      <c r="B19" s="109" t="inlineStr">
        <is>
          <t>Pantaloons</t>
        </is>
      </c>
      <c r="C19" s="114" t="inlineStr">
        <is>
          <t>Multi/Lifestyle</t>
        </is>
      </c>
      <c r="D19" s="8" t="n">
        <v>4247</v>
      </c>
      <c r="E19" s="8" t="n">
        <v>4196</v>
      </c>
      <c r="F19" s="6" t="n">
        <v>399</v>
      </c>
      <c r="G19" s="11" t="n">
        <v>10.64</v>
      </c>
      <c r="H19" s="6" t="n">
        <v>0</v>
      </c>
      <c r="I19" s="6" t="n">
        <v>100</v>
      </c>
      <c r="J19" s="6" t="n">
        <v>84</v>
      </c>
      <c r="K19" s="6" t="n">
        <v>104</v>
      </c>
      <c r="L19" s="6" t="n">
        <v>70</v>
      </c>
      <c r="M19" s="6" t="n">
        <v>12</v>
      </c>
      <c r="N19" s="6" t="n">
        <v>186</v>
      </c>
      <c r="O19" s="111" t="inlineStr">
        <is>
          <t>Multi-Tier Leader</t>
        </is>
      </c>
    </row>
    <row r="20" ht="15" customHeight="1">
      <c r="A20" s="14" t="n">
        <v>16</v>
      </c>
      <c r="B20" s="112" t="inlineStr">
        <is>
          <t>DECATHLON SPORTS INDIA PRIVATE LIMITED</t>
        </is>
      </c>
      <c r="C20" s="116" t="inlineStr">
        <is>
          <t>nan</t>
        </is>
      </c>
      <c r="D20" s="17" t="n">
        <v>3985.6</v>
      </c>
      <c r="E20" s="17" t="n">
        <v>3894.4</v>
      </c>
      <c r="F20" s="15" t="n">
        <v>2207</v>
      </c>
      <c r="G20" s="20" t="inlineStr">
        <is>
          <t>—</t>
        </is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19" t="inlineStr">
        <is>
          <t>Emerging</t>
        </is>
      </c>
    </row>
    <row r="21" ht="15" customHeight="1">
      <c r="A21" s="5" t="n">
        <v>17</v>
      </c>
      <c r="B21" s="109" t="inlineStr">
        <is>
          <t>Lifestyle</t>
        </is>
      </c>
      <c r="C21" s="114" t="inlineStr">
        <is>
          <t>Multi/Lifestyle</t>
        </is>
      </c>
      <c r="D21" s="8" t="n">
        <v>3958.5</v>
      </c>
      <c r="E21" s="8" t="n">
        <v>3773.6</v>
      </c>
      <c r="F21" s="6" t="inlineStr">
        <is>
          <t>—</t>
        </is>
      </c>
      <c r="G21" s="11" t="n">
        <v>30.22</v>
      </c>
      <c r="H21" s="6" t="n">
        <v>0</v>
      </c>
      <c r="I21" s="6" t="n">
        <v>47</v>
      </c>
      <c r="J21" s="6" t="n">
        <v>40</v>
      </c>
      <c r="K21" s="6" t="n">
        <v>29</v>
      </c>
      <c r="L21" s="6" t="n">
        <v>4</v>
      </c>
      <c r="M21" s="6" t="n">
        <v>2</v>
      </c>
      <c r="N21" s="6" t="n">
        <v>35</v>
      </c>
      <c r="O21" s="117" t="inlineStr">
        <is>
          <t>Metro Fortress</t>
        </is>
      </c>
    </row>
    <row r="22" ht="15" customHeight="1">
      <c r="A22" s="14" t="n">
        <v>18</v>
      </c>
      <c r="B22" s="112" t="inlineStr">
        <is>
          <t>Shoppers Stop</t>
        </is>
      </c>
      <c r="C22" s="116" t="inlineStr">
        <is>
          <t>nan</t>
        </is>
      </c>
      <c r="D22" s="17" t="n">
        <v>3937.9</v>
      </c>
      <c r="E22" s="17" t="n">
        <v>3705.1</v>
      </c>
      <c r="F22" s="15" t="n">
        <v>3105</v>
      </c>
      <c r="G22" s="20" t="inlineStr">
        <is>
          <t>—</t>
        </is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19" t="inlineStr">
        <is>
          <t>Emerging</t>
        </is>
      </c>
    </row>
    <row r="23" ht="15" customHeight="1">
      <c r="A23" s="5" t="n">
        <v>19</v>
      </c>
      <c r="B23" s="109" t="inlineStr">
        <is>
          <t>H &amp; M HENNES &amp; MAURITZ INDIA PRIVATE LIMITED</t>
        </is>
      </c>
      <c r="C23" s="114" t="inlineStr">
        <is>
          <t>nan</t>
        </is>
      </c>
      <c r="D23" s="8" t="n">
        <v>3277.2</v>
      </c>
      <c r="E23" s="8" t="n">
        <v>2941.1</v>
      </c>
      <c r="F23" s="6" t="inlineStr">
        <is>
          <t>—</t>
        </is>
      </c>
      <c r="G23" s="11" t="inlineStr">
        <is>
          <t>—</t>
        </is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119" t="inlineStr">
        <is>
          <t>Emerging</t>
        </is>
      </c>
    </row>
    <row r="24" ht="15" customHeight="1">
      <c r="A24" s="14" t="n">
        <v>20</v>
      </c>
      <c r="B24" s="112" t="inlineStr">
        <is>
          <t>V2</t>
        </is>
      </c>
      <c r="C24" s="113" t="inlineStr">
        <is>
          <t>Value Fashion</t>
        </is>
      </c>
      <c r="D24" s="17" t="n">
        <v>3067.1</v>
      </c>
      <c r="E24" s="17" t="n">
        <v>1884.5</v>
      </c>
      <c r="F24" s="15" t="n">
        <v>325</v>
      </c>
      <c r="G24" s="20" t="n">
        <v>9.44</v>
      </c>
      <c r="H24" s="15" t="n">
        <v>136</v>
      </c>
      <c r="I24" s="15" t="n">
        <v>24</v>
      </c>
      <c r="J24" s="15" t="n">
        <v>50</v>
      </c>
      <c r="K24" s="15" t="n">
        <v>93</v>
      </c>
      <c r="L24" s="15" t="n">
        <v>119</v>
      </c>
      <c r="M24" s="15" t="n">
        <v>22</v>
      </c>
      <c r="N24" s="101" t="n">
        <v>234</v>
      </c>
      <c r="O24" s="115" t="inlineStr">
        <is>
          <t>Tier Pioneer</t>
        </is>
      </c>
    </row>
    <row r="25" ht="15" customHeight="1">
      <c r="A25" s="5" t="n">
        <v>21</v>
      </c>
      <c r="B25" s="109" t="inlineStr">
        <is>
          <t>H&amp;M</t>
        </is>
      </c>
      <c r="C25" s="114" t="inlineStr">
        <is>
          <t>Multi/Lifestyle</t>
        </is>
      </c>
      <c r="D25" s="8" t="n">
        <v>2940.5</v>
      </c>
      <c r="E25" s="8" t="n">
        <v>2803.1</v>
      </c>
      <c r="F25" s="6" t="inlineStr">
        <is>
          <t>—</t>
        </is>
      </c>
      <c r="G25" s="11" t="n">
        <v>39.74</v>
      </c>
      <c r="H25" s="6" t="n">
        <v>0</v>
      </c>
      <c r="I25" s="6" t="n">
        <v>38</v>
      </c>
      <c r="J25" s="6" t="n">
        <v>22</v>
      </c>
      <c r="K25" s="6" t="n">
        <v>10</v>
      </c>
      <c r="L25" s="6" t="n">
        <v>1</v>
      </c>
      <c r="M25" s="6" t="n">
        <v>1</v>
      </c>
      <c r="N25" s="6" t="n">
        <v>12</v>
      </c>
      <c r="O25" s="119" t="inlineStr">
        <is>
          <t>Emerging</t>
        </is>
      </c>
    </row>
    <row r="26" ht="15" customHeight="1">
      <c r="A26" s="14" t="n">
        <v>22</v>
      </c>
      <c r="B26" s="112" t="inlineStr">
        <is>
          <t>Relaxo Footwear</t>
        </is>
      </c>
      <c r="C26" s="116" t="inlineStr">
        <is>
          <t>nan</t>
        </is>
      </c>
      <c r="D26" s="17" t="n">
        <v>2893.6</v>
      </c>
      <c r="E26" s="17" t="n">
        <v>2764.1</v>
      </c>
      <c r="F26" s="15" t="n">
        <v>2392</v>
      </c>
      <c r="G26" s="20" t="inlineStr">
        <is>
          <t>—</t>
        </is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19" t="inlineStr">
        <is>
          <t>Emerging</t>
        </is>
      </c>
    </row>
    <row r="27" ht="15" customHeight="1">
      <c r="A27" s="5" t="n">
        <v>23</v>
      </c>
      <c r="B27" s="109" t="inlineStr">
        <is>
          <t>Shoppers Stop</t>
        </is>
      </c>
      <c r="C27" s="114" t="inlineStr">
        <is>
          <t>Multi/Lifestyle</t>
        </is>
      </c>
      <c r="D27" s="8" t="n">
        <v>2714</v>
      </c>
      <c r="E27" s="8" t="n">
        <v>2367.1</v>
      </c>
      <c r="F27" s="6" t="n">
        <v>121</v>
      </c>
      <c r="G27" s="11" t="n">
        <v>22.43</v>
      </c>
      <c r="H27" s="6" t="n">
        <v>9</v>
      </c>
      <c r="I27" s="6" t="n">
        <v>42</v>
      </c>
      <c r="J27" s="6" t="n">
        <v>35</v>
      </c>
      <c r="K27" s="6" t="n">
        <v>30</v>
      </c>
      <c r="L27" s="6" t="n">
        <v>4</v>
      </c>
      <c r="M27" s="6" t="n">
        <v>3</v>
      </c>
      <c r="N27" s="6" t="n">
        <v>37</v>
      </c>
      <c r="O27" s="119" t="inlineStr">
        <is>
          <t>Emerging</t>
        </is>
      </c>
    </row>
    <row r="28" ht="15" customHeight="1">
      <c r="A28" s="14" t="n">
        <v>24</v>
      </c>
      <c r="B28" s="112" t="inlineStr">
        <is>
          <t>V-Mart</t>
        </is>
      </c>
      <c r="C28" s="116" t="inlineStr">
        <is>
          <t>nan</t>
        </is>
      </c>
      <c r="D28" s="17" t="n">
        <v>2711.3</v>
      </c>
      <c r="E28" s="17" t="n">
        <v>2464.8</v>
      </c>
      <c r="F28" s="15" t="n">
        <v>1661</v>
      </c>
      <c r="G28" s="20" t="inlineStr">
        <is>
          <t>—</t>
        </is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19" t="inlineStr">
        <is>
          <t>Emerging</t>
        </is>
      </c>
    </row>
    <row r="29" ht="15" customHeight="1">
      <c r="A29" s="5" t="n">
        <v>25</v>
      </c>
      <c r="B29" s="109" t="inlineStr">
        <is>
          <t>V Mart</t>
        </is>
      </c>
      <c r="C29" s="110" t="inlineStr">
        <is>
          <t>Value Fashion</t>
        </is>
      </c>
      <c r="D29" s="8" t="n">
        <v>2531.5</v>
      </c>
      <c r="E29" s="8" t="n">
        <v>2177</v>
      </c>
      <c r="F29" s="6" t="n">
        <v>478</v>
      </c>
      <c r="G29" s="11" t="n">
        <v>5.3</v>
      </c>
      <c r="H29" s="6" t="n">
        <v>66</v>
      </c>
      <c r="I29" s="6" t="n">
        <v>24</v>
      </c>
      <c r="J29" s="6" t="n">
        <v>97</v>
      </c>
      <c r="K29" s="6" t="n">
        <v>144</v>
      </c>
      <c r="L29" s="6" t="n">
        <v>119</v>
      </c>
      <c r="M29" s="6" t="n">
        <v>18</v>
      </c>
      <c r="N29" s="101" t="n">
        <v>281</v>
      </c>
      <c r="O29" s="111" t="inlineStr">
        <is>
          <t>Multi-Tier Leader</t>
        </is>
      </c>
    </row>
    <row r="30" ht="15" customHeight="1">
      <c r="A30" s="14" t="n">
        <v>26</v>
      </c>
      <c r="B30" s="112" t="inlineStr">
        <is>
          <t>Adidas</t>
        </is>
      </c>
      <c r="C30" s="121" t="inlineStr">
        <is>
          <t>Activewear</t>
        </is>
      </c>
      <c r="D30" s="17" t="n">
        <v>2348.7</v>
      </c>
      <c r="E30" s="17" t="n">
        <v>2084.4</v>
      </c>
      <c r="F30" s="15" t="inlineStr">
        <is>
          <t>—</t>
        </is>
      </c>
      <c r="G30" s="20" t="inlineStr">
        <is>
          <t>—</t>
        </is>
      </c>
      <c r="H30" s="15" t="n">
        <v>0</v>
      </c>
      <c r="I30" s="15" t="n">
        <v>110</v>
      </c>
      <c r="J30" s="15" t="n">
        <v>94</v>
      </c>
      <c r="K30" s="15" t="n">
        <v>110</v>
      </c>
      <c r="L30" s="15" t="n">
        <v>52</v>
      </c>
      <c r="M30" s="15" t="n">
        <v>8</v>
      </c>
      <c r="N30" s="15" t="n">
        <v>170</v>
      </c>
      <c r="O30" s="111" t="inlineStr">
        <is>
          <t>Multi-Tier Leader</t>
        </is>
      </c>
    </row>
    <row r="31" ht="15" customHeight="1">
      <c r="A31" s="5" t="n">
        <v>27</v>
      </c>
      <c r="B31" s="109" t="inlineStr">
        <is>
          <t>Metro Brands</t>
        </is>
      </c>
      <c r="C31" s="114" t="inlineStr">
        <is>
          <t>nan</t>
        </is>
      </c>
      <c r="D31" s="8" t="n">
        <v>2304.5</v>
      </c>
      <c r="E31" s="8" t="n">
        <v>2070.5</v>
      </c>
      <c r="F31" s="6" t="n">
        <v>1209</v>
      </c>
      <c r="G31" s="11" t="inlineStr">
        <is>
          <t>—</t>
        </is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119" t="inlineStr">
        <is>
          <t>Emerging</t>
        </is>
      </c>
    </row>
    <row r="32" ht="15" customHeight="1">
      <c r="A32" s="14" t="n">
        <v>28</v>
      </c>
      <c r="B32" s="112" t="inlineStr">
        <is>
          <t>Mochi Shoes</t>
        </is>
      </c>
      <c r="C32" s="116" t="inlineStr">
        <is>
          <t>nan</t>
        </is>
      </c>
      <c r="D32" s="17" t="n">
        <v>2304.5</v>
      </c>
      <c r="E32" s="17" t="n">
        <v>2070.5</v>
      </c>
      <c r="F32" s="15" t="n">
        <v>1209</v>
      </c>
      <c r="G32" s="20" t="inlineStr">
        <is>
          <t>—</t>
        </is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19" t="inlineStr">
        <is>
          <t>Emerging</t>
        </is>
      </c>
    </row>
    <row r="33" ht="15" customHeight="1">
      <c r="A33" s="5" t="n">
        <v>29</v>
      </c>
      <c r="B33" s="109" t="inlineStr">
        <is>
          <t>Siyarams</t>
        </is>
      </c>
      <c r="C33" s="122" t="inlineStr">
        <is>
          <t>Mid Menswear</t>
        </is>
      </c>
      <c r="D33" s="8" t="n">
        <v>2158.2</v>
      </c>
      <c r="E33" s="8" t="n">
        <v>1885.5</v>
      </c>
      <c r="F33" s="6" t="inlineStr">
        <is>
          <t>—</t>
        </is>
      </c>
      <c r="G33" s="11" t="n">
        <v>9.34</v>
      </c>
      <c r="H33" s="6" t="n">
        <v>0</v>
      </c>
      <c r="I33" s="6" t="n">
        <v>20</v>
      </c>
      <c r="J33" s="6" t="n">
        <v>37</v>
      </c>
      <c r="K33" s="6" t="n">
        <v>64</v>
      </c>
      <c r="L33" s="6" t="n">
        <v>73</v>
      </c>
      <c r="M33" s="6" t="n">
        <v>20</v>
      </c>
      <c r="N33" s="6" t="n">
        <v>157</v>
      </c>
      <c r="O33" s="115" t="inlineStr">
        <is>
          <t>Tier Pioneer</t>
        </is>
      </c>
    </row>
    <row r="34" ht="15" customHeight="1">
      <c r="A34" s="14" t="n">
        <v>30</v>
      </c>
      <c r="B34" s="112" t="inlineStr">
        <is>
          <t>Zara</t>
        </is>
      </c>
      <c r="C34" s="116" t="inlineStr">
        <is>
          <t>Multi/Lifestyle</t>
        </is>
      </c>
      <c r="D34" s="17" t="n">
        <v>2089.2</v>
      </c>
      <c r="E34" s="17" t="n">
        <v>2114.3</v>
      </c>
      <c r="F34" s="15" t="n">
        <v>25</v>
      </c>
      <c r="G34" s="20" t="n">
        <v>83.56999999999999</v>
      </c>
      <c r="H34" s="15" t="n">
        <v>-1</v>
      </c>
      <c r="I34" s="15" t="n">
        <v>15</v>
      </c>
      <c r="J34" s="15" t="n">
        <v>4</v>
      </c>
      <c r="K34" s="15" t="n">
        <v>0</v>
      </c>
      <c r="L34" s="15" t="n">
        <v>0</v>
      </c>
      <c r="M34" s="15" t="n">
        <v>0</v>
      </c>
      <c r="N34" s="15" t="n">
        <v>0</v>
      </c>
      <c r="O34" s="119" t="inlineStr">
        <is>
          <t>Emerging</t>
        </is>
      </c>
    </row>
    <row r="35" ht="15" customHeight="1">
      <c r="A35" s="5" t="n">
        <v>31</v>
      </c>
      <c r="B35" s="109" t="inlineStr">
        <is>
          <t>Decathlon</t>
        </is>
      </c>
      <c r="C35" s="123" t="inlineStr">
        <is>
          <t>Activewear</t>
        </is>
      </c>
      <c r="D35" s="8" t="n">
        <v>2015.2</v>
      </c>
      <c r="E35" s="8" t="n">
        <v>1643.7</v>
      </c>
      <c r="F35" s="6" t="inlineStr">
        <is>
          <t>—</t>
        </is>
      </c>
      <c r="G35" s="11" t="n">
        <v>15.87</v>
      </c>
      <c r="H35" s="6" t="n">
        <v>0</v>
      </c>
      <c r="I35" s="6" t="n">
        <v>56</v>
      </c>
      <c r="J35" s="6" t="n">
        <v>33</v>
      </c>
      <c r="K35" s="6" t="n">
        <v>31</v>
      </c>
      <c r="L35" s="6" t="n">
        <v>4</v>
      </c>
      <c r="M35" s="6" t="n">
        <v>2</v>
      </c>
      <c r="N35" s="6" t="n">
        <v>37</v>
      </c>
      <c r="O35" s="117" t="inlineStr">
        <is>
          <t>Metro Fortress</t>
        </is>
      </c>
    </row>
    <row r="36" ht="15" customHeight="1">
      <c r="A36" s="14" t="n">
        <v>32</v>
      </c>
      <c r="B36" s="112" t="inlineStr">
        <is>
          <t>Red Tape</t>
        </is>
      </c>
      <c r="C36" s="116" t="inlineStr">
        <is>
          <t>nan</t>
        </is>
      </c>
      <c r="D36" s="17" t="n">
        <v>1831.8</v>
      </c>
      <c r="E36" s="17" t="n">
        <v>1458.7</v>
      </c>
      <c r="F36" s="15" t="inlineStr">
        <is>
          <t>—</t>
        </is>
      </c>
      <c r="G36" s="20" t="inlineStr">
        <is>
          <t>—</t>
        </is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19" t="inlineStr">
        <is>
          <t>Emerging</t>
        </is>
      </c>
    </row>
    <row r="37" ht="15" customHeight="1">
      <c r="A37" s="5" t="n">
        <v>33</v>
      </c>
      <c r="B37" s="109" t="inlineStr">
        <is>
          <t>Skechers South Asia Private Limited</t>
        </is>
      </c>
      <c r="C37" s="114" t="inlineStr">
        <is>
          <t>nan</t>
        </is>
      </c>
      <c r="D37" s="8" t="n">
        <v>1745.5</v>
      </c>
      <c r="E37" s="8" t="n">
        <v>1739</v>
      </c>
      <c r="F37" s="6" t="n">
        <v>659</v>
      </c>
      <c r="G37" s="11" t="inlineStr">
        <is>
          <t>—</t>
        </is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119" t="inlineStr">
        <is>
          <t>Emerging</t>
        </is>
      </c>
    </row>
    <row r="38" ht="15" customHeight="1">
      <c r="A38" s="14" t="n">
        <v>34</v>
      </c>
      <c r="B38" s="112" t="inlineStr">
        <is>
          <t>Marks and Spencer Reliance India</t>
        </is>
      </c>
      <c r="C38" s="116" t="inlineStr">
        <is>
          <t>nan</t>
        </is>
      </c>
      <c r="D38" s="17" t="n">
        <v>1742.2</v>
      </c>
      <c r="E38" s="17" t="n">
        <v>1660.1</v>
      </c>
      <c r="F38" s="15" t="n">
        <v>1041</v>
      </c>
      <c r="G38" s="20" t="inlineStr">
        <is>
          <t>—</t>
        </is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19" t="inlineStr">
        <is>
          <t>Emerging</t>
        </is>
      </c>
    </row>
    <row r="39" ht="15" customHeight="1">
      <c r="A39" s="5" t="n">
        <v>35</v>
      </c>
      <c r="B39" s="109" t="inlineStr">
        <is>
          <t>LEVI STRAUSS (INDIA) PRIVATE LIMITED</t>
        </is>
      </c>
      <c r="C39" s="114" t="inlineStr">
        <is>
          <t>nan</t>
        </is>
      </c>
      <c r="D39" s="8" t="n">
        <v>1668.7</v>
      </c>
      <c r="E39" s="8" t="n">
        <v>1615.1</v>
      </c>
      <c r="F39" s="6" t="inlineStr">
        <is>
          <t>—</t>
        </is>
      </c>
      <c r="G39" s="11" t="inlineStr">
        <is>
          <t>—</t>
        </is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119" t="inlineStr">
        <is>
          <t>Emerging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369A1"/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24" t="inlineStr">
        <is>
          <t>EX-09  ZUDIO — TIER EXPANSION BLUEPRINT  |  ₹8,148 Cr FY26  |  3,200 Store Runway</t>
        </is>
      </c>
    </row>
    <row r="2" ht="18" customHeight="1">
      <c r="A2" s="2" t="inlineStr">
        <is>
          <t>957 stores. ₹8.46 Cr/store. 23.5% of pincodes are Zudio-only (no VF competitor). 2,135 T2+T3 pincodes untouched.</t>
        </is>
      </c>
    </row>
    <row r="4" ht="24" customHeight="1">
      <c r="A4" s="3" t="inlineStr">
        <is>
          <t>Tier</t>
        </is>
      </c>
      <c r="B4" s="3" t="inlineStr">
        <is>
          <t>Zudio Stores</t>
        </is>
      </c>
      <c r="C4" s="3" t="inlineStr">
        <is>
          <t>Zudio Rev (₹Cr)</t>
        </is>
      </c>
      <c r="D4" s="3" t="inlineStr">
        <is>
          <t>% of Zudio</t>
        </is>
      </c>
      <c r="E4" s="3" t="inlineStr">
        <is>
          <t>VF Seg Avg%</t>
        </is>
      </c>
      <c r="F4" s="3" t="inlineStr">
        <is>
          <t>Δ vs VF Avg</t>
        </is>
      </c>
      <c r="G4" s="3" t="inlineStr">
        <is>
          <t>Pincode Count</t>
        </is>
      </c>
      <c r="H4" s="3" t="inlineStr">
        <is>
          <t>Rev/Store</t>
        </is>
      </c>
      <c r="I4" s="3" t="inlineStr">
        <is>
          <t>Verdict</t>
        </is>
      </c>
    </row>
    <row r="5" ht="20" customHeight="1">
      <c r="A5" s="4">
        <f>'⚙️ DATA'!A5</f>
        <v/>
      </c>
      <c r="B5" s="6" t="n">
        <v>288</v>
      </c>
      <c r="C5" s="6" t="n">
        <v>2452</v>
      </c>
      <c r="D5" s="5" t="inlineStr">
        <is>
          <t>30.1%</t>
        </is>
      </c>
      <c r="E5" s="5" t="inlineStr">
        <is>
          <t>17.9%</t>
        </is>
      </c>
      <c r="F5" s="23" t="inlineStr">
        <is>
          <t>+12.2pp</t>
        </is>
      </c>
      <c r="G5" s="6" t="n">
        <v>217</v>
      </c>
      <c r="H5" s="11" t="n">
        <v>8.460000000000001</v>
      </c>
      <c r="I5" s="5" t="inlineStr">
        <is>
          <t>🚀 Over-indexed</t>
        </is>
      </c>
    </row>
    <row r="6" ht="20" customHeight="1">
      <c r="A6" s="13">
        <f>'⚙️ DATA'!A6</f>
        <v/>
      </c>
      <c r="B6" s="15" t="n">
        <v>242</v>
      </c>
      <c r="C6" s="15" t="n">
        <v>2060</v>
      </c>
      <c r="D6" s="14" t="inlineStr">
        <is>
          <t>25.3%</t>
        </is>
      </c>
      <c r="E6" s="14" t="inlineStr">
        <is>
          <t>20.3%</t>
        </is>
      </c>
      <c r="F6" s="23" t="inlineStr">
        <is>
          <t>+5.0pp</t>
        </is>
      </c>
      <c r="G6" s="15" t="n">
        <v>181</v>
      </c>
      <c r="H6" s="20" t="n">
        <v>8.460000000000001</v>
      </c>
      <c r="I6" s="14" t="inlineStr">
        <is>
          <t>🚀 Over-indexed</t>
        </is>
      </c>
    </row>
    <row r="7" ht="20" customHeight="1">
      <c r="A7" s="22">
        <f>'⚙️ DATA'!A7</f>
        <v/>
      </c>
      <c r="B7" s="6" t="n">
        <v>257</v>
      </c>
      <c r="C7" s="6" t="n">
        <v>2188</v>
      </c>
      <c r="D7" s="5" t="inlineStr">
        <is>
          <t>26.9%</t>
        </is>
      </c>
      <c r="E7" s="5" t="inlineStr">
        <is>
          <t>32.9%</t>
        </is>
      </c>
      <c r="F7" s="54" t="inlineStr">
        <is>
          <t>-6.0pp</t>
        </is>
      </c>
      <c r="G7" s="6" t="n">
        <v>225</v>
      </c>
      <c r="H7" s="11" t="n">
        <v>8.460000000000001</v>
      </c>
      <c r="I7" s="5" t="inlineStr">
        <is>
          <t>⚠️ Under</t>
        </is>
      </c>
    </row>
    <row r="8" ht="20" customHeight="1">
      <c r="A8" s="23">
        <f>'⚙️ DATA'!A8</f>
        <v/>
      </c>
      <c r="B8" s="15" t="n">
        <v>147</v>
      </c>
      <c r="C8" s="15" t="n">
        <v>1252</v>
      </c>
      <c r="D8" s="14" t="inlineStr">
        <is>
          <t>15.4%</t>
        </is>
      </c>
      <c r="E8" s="14" t="inlineStr">
        <is>
          <t>25.4%</t>
        </is>
      </c>
      <c r="F8" s="54" t="inlineStr">
        <is>
          <t>-10.0pp</t>
        </is>
      </c>
      <c r="G8" s="15" t="n">
        <v>132</v>
      </c>
      <c r="H8" s="20" t="n">
        <v>8.460000000000001</v>
      </c>
      <c r="I8" s="14" t="inlineStr">
        <is>
          <t>⚠️ Under</t>
        </is>
      </c>
    </row>
    <row r="9" ht="20" customHeight="1">
      <c r="A9" s="25">
        <f>'⚙️ DATA'!A9</f>
        <v/>
      </c>
      <c r="B9" s="6" t="n">
        <v>23</v>
      </c>
      <c r="C9" s="6" t="n">
        <v>196</v>
      </c>
      <c r="D9" s="5" t="inlineStr">
        <is>
          <t>2.4%</t>
        </is>
      </c>
      <c r="E9" s="5" t="inlineStr">
        <is>
          <t>3.6%</t>
        </is>
      </c>
      <c r="F9" s="54" t="inlineStr">
        <is>
          <t>-1.2pp</t>
        </is>
      </c>
      <c r="G9" s="6" t="n">
        <v>21</v>
      </c>
      <c r="H9" s="11" t="n">
        <v>8.460000000000001</v>
      </c>
      <c r="I9" s="5" t="inlineStr">
        <is>
          <t>✅ Aligned</t>
        </is>
      </c>
    </row>
    <row r="12" ht="20" customHeight="1">
      <c r="A12" s="40" t="inlineStr">
        <is>
          <t>ZUDIO STORE POTENTIAL — ₹27,100 Cr UPSIDE VALIDATED BY PINCODE MATH</t>
        </is>
      </c>
    </row>
    <row r="13" ht="24" customHeight="1">
      <c r="A13" s="41" t="inlineStr">
        <is>
          <t>Metric</t>
        </is>
      </c>
      <c r="B13" s="41" t="inlineStr">
        <is>
          <t>Value</t>
        </is>
      </c>
      <c r="C13" s="41" t="inlineStr">
        <is>
          <t>Investor Read</t>
        </is>
      </c>
    </row>
    <row r="14" ht="22" customHeight="1">
      <c r="A14" s="125" t="inlineStr">
        <is>
          <t>FY26 Revenue</t>
        </is>
      </c>
      <c r="B14" s="23" t="inlineStr">
        <is>
          <t>₹8,148 Cr</t>
        </is>
      </c>
      <c r="C14" s="56" t="inlineStr">
        <is>
          <t>963 stores @ ₹8.46 Cr/store — Trent Annual Report FY25</t>
        </is>
      </c>
      <c r="D14" s="51" t="n"/>
      <c r="E14" s="51" t="n"/>
      <c r="F14" s="51" t="n"/>
      <c r="G14" s="51" t="n"/>
      <c r="H14" s="51" t="n"/>
      <c r="I14" s="51" t="n"/>
      <c r="J14" s="52" t="n"/>
    </row>
    <row r="15" ht="22" customHeight="1">
      <c r="A15" s="126" t="inlineStr">
        <is>
          <t>Current pincodes</t>
        </is>
      </c>
      <c r="B15" s="23" t="inlineStr">
        <is>
          <t>776 total</t>
        </is>
      </c>
      <c r="C15" s="50" t="inlineStr">
        <is>
          <t>217 Metro | 181 T1 | 225 T2 | 263 T3 | 21 T4</t>
        </is>
      </c>
      <c r="D15" s="51" t="n"/>
      <c r="E15" s="51" t="n"/>
      <c r="F15" s="51" t="n"/>
      <c r="G15" s="51" t="n"/>
      <c r="H15" s="51" t="n"/>
      <c r="I15" s="51" t="n"/>
      <c r="J15" s="52" t="n"/>
    </row>
    <row r="16" ht="22" customHeight="1">
      <c r="A16" s="125" t="inlineStr">
        <is>
          <t>T2 without Zudio</t>
        </is>
      </c>
      <c r="B16" s="23" t="inlineStr">
        <is>
          <t>1,204 pincodes</t>
        </is>
      </c>
      <c r="C16" s="56" t="inlineStr">
        <is>
          <t>79.4% of T2 active pincodes untouched — highest TAM tier</t>
        </is>
      </c>
      <c r="D16" s="51" t="n"/>
      <c r="E16" s="51" t="n"/>
      <c r="F16" s="51" t="n"/>
      <c r="G16" s="51" t="n"/>
      <c r="H16" s="51" t="n"/>
      <c r="I16" s="51" t="n"/>
      <c r="J16" s="52" t="n"/>
    </row>
    <row r="17" ht="22" customHeight="1">
      <c r="A17" s="126" t="inlineStr">
        <is>
          <t>T3 without Zudio</t>
        </is>
      </c>
      <c r="B17" s="23" t="inlineStr">
        <is>
          <t>931 pincodes</t>
        </is>
      </c>
      <c r="C17" s="50" t="inlineStr">
        <is>
          <t>87.5% of T3 active pincodes untouched — greenfield</t>
        </is>
      </c>
      <c r="D17" s="51" t="n"/>
      <c r="E17" s="51" t="n"/>
      <c r="F17" s="51" t="n"/>
      <c r="G17" s="51" t="n"/>
      <c r="H17" s="51" t="n"/>
      <c r="I17" s="51" t="n"/>
      <c r="J17" s="52" t="n"/>
    </row>
    <row r="18" ht="22" customHeight="1">
      <c r="A18" s="125" t="inlineStr">
        <is>
          <t>Addressable T2+T3</t>
        </is>
      </c>
      <c r="B18" s="23" t="inlineStr">
        <is>
          <t>2,135 pincodes</t>
        </is>
      </c>
      <c r="C18" s="56" t="inlineStr">
        <is>
          <t>At 1.5 stores/pin = 3,202 implied new Zudio stores</t>
        </is>
      </c>
      <c r="D18" s="51" t="n"/>
      <c r="E18" s="51" t="n"/>
      <c r="F18" s="51" t="n"/>
      <c r="G18" s="51" t="n"/>
      <c r="H18" s="51" t="n"/>
      <c r="I18" s="51" t="n"/>
      <c r="J18" s="52" t="n"/>
    </row>
    <row r="19" ht="22" customHeight="1">
      <c r="A19" s="126" t="inlineStr">
        <is>
          <t>Revenue upside (₹8.46 Cr)</t>
        </is>
      </c>
      <c r="B19" s="23" t="inlineStr">
        <is>
          <t>₹27,100 Cr</t>
        </is>
      </c>
      <c r="C19" s="50" t="inlineStr">
        <is>
          <t>Purely T2+T3 expansion — Metro/T1 is incremental</t>
        </is>
      </c>
      <c r="D19" s="51" t="n"/>
      <c r="E19" s="51" t="n"/>
      <c r="F19" s="51" t="n"/>
      <c r="G19" s="51" t="n"/>
      <c r="H19" s="51" t="n"/>
      <c r="I19" s="51" t="n"/>
      <c r="J19" s="52" t="n"/>
    </row>
    <row r="20" ht="22" customHeight="1">
      <c r="A20" s="125" t="inlineStr">
        <is>
          <t>VERDICT</t>
        </is>
      </c>
      <c r="B20" s="23" t="inlineStr">
        <is>
          <t>DATA VALIDATES MANAGEMENT</t>
        </is>
      </c>
      <c r="C20" s="56" t="inlineStr">
        <is>
          <t>3,000+ store target is supported by pincode math, not just optimism</t>
        </is>
      </c>
      <c r="D20" s="51" t="n"/>
      <c r="E20" s="51" t="n"/>
      <c r="F20" s="51" t="n"/>
      <c r="G20" s="51" t="n"/>
      <c r="H20" s="51" t="n"/>
      <c r="I20" s="51" t="n"/>
      <c r="J20" s="52" t="n"/>
    </row>
    <row r="23" ht="20" customHeight="1">
      <c r="A23" s="38" t="inlineStr">
        <is>
          <t>TOP CITIES — ZUDIO PRESENCE</t>
        </is>
      </c>
    </row>
    <row r="24" ht="24" customHeight="1">
      <c r="A24" s="39" t="inlineStr">
        <is>
          <t>Rank</t>
        </is>
      </c>
      <c r="B24" s="39" t="inlineStr">
        <is>
          <t>City</t>
        </is>
      </c>
      <c r="C24" s="39" t="inlineStr">
        <is>
          <t>Stores</t>
        </is>
      </c>
      <c r="D24" s="39" t="inlineStr">
        <is>
          <t>% of Zudio</t>
        </is>
      </c>
    </row>
    <row r="25" ht="16" customHeight="1">
      <c r="A25" s="5" t="n">
        <v>1</v>
      </c>
      <c r="B25" s="127" t="inlineStr">
        <is>
          <t>Hyderabad</t>
        </is>
      </c>
      <c r="C25" s="6" t="n">
        <v>63</v>
      </c>
      <c r="D25" s="5" t="inlineStr">
        <is>
          <t>6.6%</t>
        </is>
      </c>
    </row>
    <row r="26" ht="16" customHeight="1">
      <c r="A26" s="14" t="n">
        <v>2</v>
      </c>
      <c r="B26" s="128" t="inlineStr">
        <is>
          <t>Bengaluru</t>
        </is>
      </c>
      <c r="C26" s="15" t="n">
        <v>61</v>
      </c>
      <c r="D26" s="14" t="inlineStr">
        <is>
          <t>6.4%</t>
        </is>
      </c>
    </row>
    <row r="27" ht="16" customHeight="1">
      <c r="A27" s="5" t="n">
        <v>3</v>
      </c>
      <c r="B27" s="127" t="inlineStr">
        <is>
          <t>Delhi</t>
        </is>
      </c>
      <c r="C27" s="6" t="n">
        <v>43</v>
      </c>
      <c r="D27" s="5" t="inlineStr">
        <is>
          <t>4.5%</t>
        </is>
      </c>
    </row>
    <row r="28" ht="16" customHeight="1">
      <c r="A28" s="14" t="n">
        <v>4</v>
      </c>
      <c r="B28" s="128" t="inlineStr">
        <is>
          <t>Pune</t>
        </is>
      </c>
      <c r="C28" s="15" t="n">
        <v>40</v>
      </c>
      <c r="D28" s="14" t="inlineStr">
        <is>
          <t>4.2%</t>
        </is>
      </c>
    </row>
    <row r="29" ht="16" customHeight="1">
      <c r="A29" s="5" t="n">
        <v>5</v>
      </c>
      <c r="B29" s="127" t="inlineStr">
        <is>
          <t>Kolkata</t>
        </is>
      </c>
      <c r="C29" s="6" t="n">
        <v>28</v>
      </c>
      <c r="D29" s="5" t="inlineStr">
        <is>
          <t>2.9%</t>
        </is>
      </c>
    </row>
    <row r="30" ht="16" customHeight="1">
      <c r="A30" s="14" t="n">
        <v>6</v>
      </c>
      <c r="B30" s="128" t="inlineStr">
        <is>
          <t>Ahmedabad</t>
        </is>
      </c>
      <c r="C30" s="15" t="n">
        <v>27</v>
      </c>
      <c r="D30" s="14" t="inlineStr">
        <is>
          <t>2.8%</t>
        </is>
      </c>
    </row>
    <row r="31" ht="16" customHeight="1">
      <c r="A31" s="5" t="n">
        <v>7</v>
      </c>
      <c r="B31" s="127" t="inlineStr">
        <is>
          <t>Thane</t>
        </is>
      </c>
      <c r="C31" s="6" t="n">
        <v>25</v>
      </c>
      <c r="D31" s="5" t="inlineStr">
        <is>
          <t>2.6%</t>
        </is>
      </c>
    </row>
    <row r="32" ht="16" customHeight="1">
      <c r="A32" s="14" t="n">
        <v>8</v>
      </c>
      <c r="B32" s="128" t="inlineStr">
        <is>
          <t>Chennai</t>
        </is>
      </c>
      <c r="C32" s="15" t="n">
        <v>22</v>
      </c>
      <c r="D32" s="14" t="inlineStr">
        <is>
          <t>2.3%</t>
        </is>
      </c>
    </row>
    <row r="33" ht="16" customHeight="1">
      <c r="A33" s="5" t="n">
        <v>9</v>
      </c>
      <c r="B33" s="127" t="inlineStr">
        <is>
          <t>Surat</t>
        </is>
      </c>
      <c r="C33" s="6" t="n">
        <v>20</v>
      </c>
      <c r="D33" s="5" t="inlineStr">
        <is>
          <t>2.1%</t>
        </is>
      </c>
    </row>
    <row r="34" ht="16" customHeight="1">
      <c r="A34" s="14" t="n">
        <v>10</v>
      </c>
      <c r="B34" s="128" t="inlineStr">
        <is>
          <t>Cochin</t>
        </is>
      </c>
      <c r="C34" s="15" t="n">
        <v>18</v>
      </c>
      <c r="D34" s="14" t="inlineStr">
        <is>
          <t>1.9%</t>
        </is>
      </c>
    </row>
    <row r="35" ht="16" customHeight="1">
      <c r="A35" s="5" t="n">
        <v>11</v>
      </c>
      <c r="B35" s="127" t="inlineStr">
        <is>
          <t>Kozhikode</t>
        </is>
      </c>
      <c r="C35" s="6" t="n">
        <v>18</v>
      </c>
      <c r="D35" s="5" t="inlineStr">
        <is>
          <t>1.9%</t>
        </is>
      </c>
    </row>
    <row r="36" ht="16" customHeight="1">
      <c r="A36" s="14" t="n">
        <v>12</v>
      </c>
      <c r="B36" s="128" t="inlineStr">
        <is>
          <t>Jaipur</t>
        </is>
      </c>
      <c r="C36" s="15" t="n">
        <v>17</v>
      </c>
      <c r="D36" s="14" t="inlineStr">
        <is>
          <t>1.8%</t>
        </is>
      </c>
    </row>
    <row r="37" ht="16" customHeight="1">
      <c r="A37" s="5" t="n">
        <v>13</v>
      </c>
      <c r="B37" s="127" t="inlineStr">
        <is>
          <t>Mumbai</t>
        </is>
      </c>
      <c r="C37" s="6" t="n">
        <v>16</v>
      </c>
      <c r="D37" s="5" t="inlineStr">
        <is>
          <t>1.7%</t>
        </is>
      </c>
    </row>
    <row r="38" ht="16" customHeight="1">
      <c r="A38" s="14" t="n">
        <v>14</v>
      </c>
      <c r="B38" s="128" t="inlineStr">
        <is>
          <t>Gurgaon</t>
        </is>
      </c>
      <c r="C38" s="15" t="n">
        <v>15</v>
      </c>
      <c r="D38" s="14" t="inlineStr">
        <is>
          <t>1.6%</t>
        </is>
      </c>
    </row>
    <row r="39" ht="16" customHeight="1">
      <c r="A39" s="5" t="n">
        <v>15</v>
      </c>
      <c r="B39" s="127" t="inlineStr">
        <is>
          <t>Vadodara</t>
        </is>
      </c>
      <c r="C39" s="6" t="n">
        <v>14</v>
      </c>
      <c r="D39" s="5" t="inlineStr">
        <is>
          <t>1.5%</t>
        </is>
      </c>
    </row>
  </sheetData>
  <mergeCells count="11">
    <mergeCell ref="A1:J1"/>
    <mergeCell ref="C17:J17"/>
    <mergeCell ref="A23:J23"/>
    <mergeCell ref="C20:J20"/>
    <mergeCell ref="C15:J15"/>
    <mergeCell ref="C16:J16"/>
    <mergeCell ref="A12:J12"/>
    <mergeCell ref="C14:J14"/>
    <mergeCell ref="C19:J19"/>
    <mergeCell ref="A2:J2"/>
    <mergeCell ref="C18:J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5803D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32" customWidth="1" min="5" max="5"/>
    <col width="18" customWidth="1" min="6" max="6"/>
    <col width="16" customWidth="1" min="7" max="7"/>
  </cols>
  <sheetData>
    <row r="1" ht="30" customHeight="1">
      <c r="A1" s="129" t="inlineStr">
        <is>
          <t>EX-10  INDIA vs GLOBAL — Density Convergence Thesis (China 2003 Analog)</t>
        </is>
      </c>
    </row>
    <row r="4" ht="24" customHeight="1">
      <c r="A4" s="3" t="inlineStr">
        <is>
          <t>Market</t>
        </is>
      </c>
      <c r="B4" s="3" t="inlineStr">
        <is>
          <t>Population (Mn)</t>
        </is>
      </c>
      <c r="C4" s="3" t="inlineStr">
        <is>
          <t>Stores</t>
        </is>
      </c>
      <c r="D4" s="3" t="inlineStr">
        <is>
          <t>People/Store</t>
        </is>
      </c>
      <c r="E4" s="3" t="inlineStr">
        <is>
          <t>Revenue</t>
        </is>
      </c>
      <c r="F4" s="3" t="inlineStr">
        <is>
          <t>Stage</t>
        </is>
      </c>
      <c r="G4" s="3" t="inlineStr">
        <is>
          <t>India Tier Analog</t>
        </is>
      </c>
    </row>
    <row r="5" ht="20" customHeight="1">
      <c r="A5" s="130" t="inlineStr">
        <is>
          <t>USA</t>
        </is>
      </c>
      <c r="B5" s="5" t="inlineStr">
        <is>
          <t>331</t>
        </is>
      </c>
      <c r="C5" s="5" t="inlineStr">
        <is>
          <t>415,000</t>
        </is>
      </c>
      <c r="D5" s="71" t="inlineStr">
        <is>
          <t>800</t>
        </is>
      </c>
      <c r="E5" s="131" t="inlineStr">
        <is>
          <t>—</t>
        </is>
      </c>
      <c r="F5" s="5" t="inlineStr">
        <is>
          <t>Mature</t>
        </is>
      </c>
      <c r="G5" s="5" t="inlineStr">
        <is>
          <t>—</t>
        </is>
      </c>
    </row>
    <row r="6" ht="20" customHeight="1">
      <c r="A6" s="130" t="inlineStr">
        <is>
          <t>UK</t>
        </is>
      </c>
      <c r="B6" s="5" t="inlineStr">
        <is>
          <t>67</t>
        </is>
      </c>
      <c r="C6" s="5" t="inlineStr">
        <is>
          <t>60,000</t>
        </is>
      </c>
      <c r="D6" s="71" t="inlineStr">
        <is>
          <t>1,117</t>
        </is>
      </c>
      <c r="E6" s="131" t="inlineStr">
        <is>
          <t>—</t>
        </is>
      </c>
      <c r="F6" s="5" t="inlineStr">
        <is>
          <t>Mature</t>
        </is>
      </c>
      <c r="G6" s="5" t="inlineStr">
        <is>
          <t>—</t>
        </is>
      </c>
    </row>
    <row r="7" ht="20" customHeight="1">
      <c r="A7" s="130" t="inlineStr">
        <is>
          <t>China</t>
        </is>
      </c>
      <c r="B7" s="5" t="inlineStr">
        <is>
          <t>1,440</t>
        </is>
      </c>
      <c r="C7" s="5" t="inlineStr">
        <is>
          <t>850,000</t>
        </is>
      </c>
      <c r="D7" s="71" t="inlineStr">
        <is>
          <t>1,694</t>
        </is>
      </c>
      <c r="E7" s="131" t="inlineStr">
        <is>
          <t>—</t>
        </is>
      </c>
      <c r="F7" s="5" t="inlineStr">
        <is>
          <t>Growing Fast</t>
        </is>
      </c>
      <c r="G7" s="5" t="inlineStr">
        <is>
          <t>—</t>
        </is>
      </c>
    </row>
    <row r="8" ht="20" customHeight="1">
      <c r="A8" s="132" t="inlineStr">
        <is>
          <t>India Total</t>
        </is>
      </c>
      <c r="B8" s="133" t="inlineStr">
        <is>
          <t>1,380</t>
        </is>
      </c>
      <c r="C8" s="133" t="inlineStr">
        <is>
          <t>31,813</t>
        </is>
      </c>
      <c r="D8" s="90" t="inlineStr">
        <is>
          <t>43,341</t>
        </is>
      </c>
      <c r="E8" s="134" t="inlineStr">
        <is>
          <t>₹90,546 Cr total</t>
        </is>
      </c>
      <c r="F8" s="133" t="inlineStr">
        <is>
          <t>Early Stage</t>
        </is>
      </c>
      <c r="G8" s="135" t="inlineStr">
        <is>
          <t>All Tiers</t>
        </is>
      </c>
    </row>
    <row r="9" ht="20" customHeight="1">
      <c r="A9" s="136" t="inlineStr">
        <is>
          <t>India Metro</t>
        </is>
      </c>
      <c r="B9" s="133" t="inlineStr">
        <is>
          <t>87</t>
        </is>
      </c>
      <c r="C9" s="133" t="inlineStr">
        <is>
          <t>8,002</t>
        </is>
      </c>
      <c r="D9" s="86" t="inlineStr">
        <is>
          <t>10,880</t>
        </is>
      </c>
      <c r="E9" s="134" t="inlineStr">
        <is>
          <t>₹21,311 Cr / 611 pins</t>
        </is>
      </c>
      <c r="F9" s="133" t="inlineStr">
        <is>
          <t>Near China 2020</t>
        </is>
      </c>
      <c r="G9" s="135" t="inlineStr">
        <is>
          <t>China 2020</t>
        </is>
      </c>
    </row>
    <row r="10" ht="20" customHeight="1">
      <c r="A10" s="136" t="inlineStr">
        <is>
          <t>India T1</t>
        </is>
      </c>
      <c r="B10" s="133" t="inlineStr">
        <is>
          <t>110</t>
        </is>
      </c>
      <c r="C10" s="133" t="inlineStr">
        <is>
          <t>7,340</t>
        </is>
      </c>
      <c r="D10" s="86" t="inlineStr">
        <is>
          <t>15,000</t>
        </is>
      </c>
      <c r="E10" s="134" t="inlineStr">
        <is>
          <t>₹19,039 Cr / 679 pins</t>
        </is>
      </c>
      <c r="F10" s="133" t="inlineStr">
        <is>
          <t>China 2015</t>
        </is>
      </c>
      <c r="G10" s="135" t="inlineStr">
        <is>
          <t>China 2015</t>
        </is>
      </c>
    </row>
    <row r="11" ht="20" customHeight="1">
      <c r="A11" s="137" t="inlineStr">
        <is>
          <t>India T2</t>
        </is>
      </c>
      <c r="B11" s="78" t="inlineStr">
        <is>
          <t>345</t>
        </is>
      </c>
      <c r="C11" s="78" t="inlineStr">
        <is>
          <t>9,518</t>
        </is>
      </c>
      <c r="D11" s="90" t="inlineStr">
        <is>
          <t>36,262</t>
        </is>
      </c>
      <c r="E11" s="138" t="inlineStr">
        <is>
          <t>₹27,785 Cr / 1,429 pins — BENCHMARK</t>
        </is>
      </c>
      <c r="F11" s="78" t="inlineStr">
        <is>
          <t>Early China 2010</t>
        </is>
      </c>
      <c r="G11" s="135" t="inlineStr">
        <is>
          <t>China 2010</t>
        </is>
      </c>
    </row>
    <row r="12" ht="20" customHeight="1">
      <c r="A12" s="139" t="inlineStr">
        <is>
          <t>India T3</t>
        </is>
      </c>
      <c r="B12" s="71" t="inlineStr">
        <is>
          <t>700</t>
        </is>
      </c>
      <c r="C12" s="71" t="inlineStr">
        <is>
          <t>5,963</t>
        </is>
      </c>
      <c r="D12" s="90" t="inlineStr">
        <is>
          <t>117,345</t>
        </is>
      </c>
      <c r="E12" s="140" t="inlineStr">
        <is>
          <t>₹19,289 Cr / 1,285 pins — WHITESPACE</t>
        </is>
      </c>
      <c r="F12" s="71" t="inlineStr">
        <is>
          <t>Pre-organised</t>
        </is>
      </c>
      <c r="G12" s="135" t="inlineStr">
        <is>
          <t>China 2003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565C0"/>
    <outlinePr summaryBelow="1" summaryRight="1"/>
    <pageSetUpPr/>
  </sheetPr>
  <dimension ref="A1:M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6" customWidth="1" min="13" max="13"/>
  </cols>
  <sheetData>
    <row r="1" ht="30" customHeight="1">
      <c r="A1" s="141" t="inlineStr">
        <is>
          <t>EX-11  BRAND × TIER HEATMAP — Revenue + Pincode Depth (colour = relative depth)</t>
        </is>
      </c>
    </row>
    <row r="2" ht="18" customHeight="1">
      <c r="A2" s="2" t="inlineStr">
        <is>
          <t>Darker cell = deeper penetration vs category leader. Ranked by FY26 revenue.</t>
        </is>
      </c>
    </row>
    <row r="4" ht="24" customHeight="1">
      <c r="A4" s="3" t="inlineStr">
        <is>
          <t>#</t>
        </is>
      </c>
      <c r="B4" s="3" t="inlineStr">
        <is>
          <t>Brand</t>
        </is>
      </c>
      <c r="C4" s="3" t="inlineStr">
        <is>
          <t>Segment</t>
        </is>
      </c>
      <c r="D4" s="3" t="inlineStr">
        <is>
          <t>Rev FY26</t>
        </is>
      </c>
      <c r="E4" s="3" t="inlineStr">
        <is>
          <t>Rev/Store</t>
        </is>
      </c>
      <c r="F4" s="3" t="inlineStr">
        <is>
          <t>Metro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T4</t>
        </is>
      </c>
      <c r="K4" s="3" t="inlineStr">
        <is>
          <t>Total Pins</t>
        </is>
      </c>
      <c r="L4" s="3" t="inlineStr">
        <is>
          <t>T2+T3+T4</t>
        </is>
      </c>
      <c r="M4" s="3" t="inlineStr">
        <is>
          <t>Quadrant</t>
        </is>
      </c>
    </row>
    <row r="5" ht="15" customHeight="1">
      <c r="A5" s="5" t="n">
        <v>1</v>
      </c>
      <c r="B5" s="109" t="inlineStr">
        <is>
          <t>Reliance Trends</t>
        </is>
      </c>
      <c r="C5" s="110" t="inlineStr">
        <is>
          <t>Value Fashion</t>
        </is>
      </c>
      <c r="D5" s="8" t="n">
        <v>21200</v>
      </c>
      <c r="E5" s="11" t="n">
        <v>10</v>
      </c>
      <c r="F5" s="142" t="n">
        <v>192</v>
      </c>
      <c r="G5" s="143" t="n">
        <v>281</v>
      </c>
      <c r="H5" s="144" t="n">
        <v>704</v>
      </c>
      <c r="I5" s="145" t="n">
        <v>532</v>
      </c>
      <c r="J5" s="146" t="n">
        <v>58</v>
      </c>
      <c r="K5" s="6" t="n">
        <v>1767</v>
      </c>
      <c r="L5" s="101" t="n">
        <v>1294</v>
      </c>
      <c r="M5" s="111" t="inlineStr">
        <is>
          <t>Multi-Tier Leader</t>
        </is>
      </c>
    </row>
    <row r="6" ht="15" customHeight="1">
      <c r="A6" s="14" t="n">
        <v>2</v>
      </c>
      <c r="B6" s="112" t="inlineStr">
        <is>
          <t>Zudio</t>
        </is>
      </c>
      <c r="C6" s="113" t="inlineStr">
        <is>
          <t>Value Fashion</t>
        </is>
      </c>
      <c r="D6" s="17" t="n">
        <v>11768.9</v>
      </c>
      <c r="E6" s="20" t="inlineStr">
        <is>
          <t>—</t>
        </is>
      </c>
      <c r="F6" s="142" t="n">
        <v>217</v>
      </c>
      <c r="G6" s="143" t="n">
        <v>181</v>
      </c>
      <c r="H6" s="147" t="n">
        <v>225</v>
      </c>
      <c r="I6" s="101" t="n">
        <v>132</v>
      </c>
      <c r="J6" s="148" t="n">
        <v>21</v>
      </c>
      <c r="K6" s="15" t="n">
        <v>776</v>
      </c>
      <c r="L6" s="101" t="n">
        <v>378</v>
      </c>
      <c r="M6" s="111" t="inlineStr">
        <is>
          <t>Multi-Tier Leader</t>
        </is>
      </c>
    </row>
    <row r="7" ht="15" customHeight="1">
      <c r="A7" s="5" t="n">
        <v>3</v>
      </c>
      <c r="B7" s="109" t="inlineStr">
        <is>
          <t>Westside</t>
        </is>
      </c>
      <c r="C7" s="114" t="inlineStr">
        <is>
          <t>Multi/Lifestyle</t>
        </is>
      </c>
      <c r="D7" s="8" t="n">
        <v>11768.9</v>
      </c>
      <c r="E7" s="11" t="inlineStr">
        <is>
          <t>—</t>
        </is>
      </c>
      <c r="F7" s="6" t="n">
        <v>9</v>
      </c>
      <c r="G7" s="6" t="n">
        <v>0</v>
      </c>
      <c r="H7" s="6" t="n">
        <v>1</v>
      </c>
      <c r="I7" s="101" t="n">
        <v>236</v>
      </c>
      <c r="J7" s="6" t="n">
        <v>0</v>
      </c>
      <c r="K7" s="6" t="n">
        <v>246</v>
      </c>
      <c r="L7" s="101" t="n">
        <v>237</v>
      </c>
      <c r="M7" s="115" t="inlineStr">
        <is>
          <t>Tier Pioneer</t>
        </is>
      </c>
    </row>
    <row r="8" ht="15" customHeight="1">
      <c r="A8" s="14" t="n">
        <v>4</v>
      </c>
      <c r="B8" s="112" t="inlineStr">
        <is>
          <t>Reliance Smart Bazaar</t>
        </is>
      </c>
      <c r="C8" s="116" t="inlineStr">
        <is>
          <t>Multi/Lifestyle</t>
        </is>
      </c>
      <c r="D8" s="17" t="n">
        <v>11143</v>
      </c>
      <c r="E8" s="20" t="n">
        <v>11</v>
      </c>
      <c r="F8" s="149" t="n">
        <v>141</v>
      </c>
      <c r="G8" s="143" t="n">
        <v>151</v>
      </c>
      <c r="H8" s="147" t="n">
        <v>313</v>
      </c>
      <c r="I8" s="145" t="n">
        <v>274</v>
      </c>
      <c r="J8" s="146" t="n">
        <v>31</v>
      </c>
      <c r="K8" s="15" t="n">
        <v>910</v>
      </c>
      <c r="L8" s="101" t="n">
        <v>618</v>
      </c>
      <c r="M8" s="111" t="inlineStr">
        <is>
          <t>Multi-Tier Leader</t>
        </is>
      </c>
    </row>
    <row r="9" ht="15" customHeight="1">
      <c r="A9" s="5" t="n">
        <v>5</v>
      </c>
      <c r="B9" s="109" t="inlineStr">
        <is>
          <t>Lifestyle</t>
        </is>
      </c>
      <c r="C9" s="114" t="inlineStr">
        <is>
          <t>Multi/Lifestyle</t>
        </is>
      </c>
      <c r="D9" s="8" t="n">
        <v>11083</v>
      </c>
      <c r="E9" s="11" t="inlineStr">
        <is>
          <t>—</t>
        </is>
      </c>
      <c r="F9" s="149" t="n">
        <v>47</v>
      </c>
      <c r="G9" s="6" t="n">
        <v>40</v>
      </c>
      <c r="H9" s="6" t="n">
        <v>29</v>
      </c>
      <c r="I9" s="6" t="n">
        <v>4</v>
      </c>
      <c r="J9" s="6" t="n">
        <v>2</v>
      </c>
      <c r="K9" s="6" t="n">
        <v>122</v>
      </c>
      <c r="L9" s="6" t="n">
        <v>35</v>
      </c>
      <c r="M9" s="117" t="inlineStr">
        <is>
          <t>Metro Fortress</t>
        </is>
      </c>
    </row>
    <row r="10" ht="15" customHeight="1">
      <c r="A10" s="14" t="n">
        <v>6</v>
      </c>
      <c r="B10" s="112" t="inlineStr">
        <is>
          <t>Westside</t>
        </is>
      </c>
      <c r="C10" s="116" t="inlineStr">
        <is>
          <t>Multi/Lifestyle</t>
        </is>
      </c>
      <c r="D10" s="17" t="n">
        <v>8376</v>
      </c>
      <c r="E10" s="20" t="n">
        <v>27.92</v>
      </c>
      <c r="F10" s="6" t="n">
        <v>9</v>
      </c>
      <c r="G10" s="6" t="n">
        <v>0</v>
      </c>
      <c r="H10" s="6" t="n">
        <v>1</v>
      </c>
      <c r="I10" s="101" t="n">
        <v>236</v>
      </c>
      <c r="J10" s="6" t="n">
        <v>0</v>
      </c>
      <c r="K10" s="15" t="n">
        <v>246</v>
      </c>
      <c r="L10" s="101" t="n">
        <v>237</v>
      </c>
      <c r="M10" s="115" t="inlineStr">
        <is>
          <t>Tier Pioneer</t>
        </is>
      </c>
    </row>
    <row r="11" ht="15" customHeight="1">
      <c r="A11" s="5" t="n">
        <v>7</v>
      </c>
      <c r="B11" s="109" t="inlineStr">
        <is>
          <t>Zudio</t>
        </is>
      </c>
      <c r="C11" s="110" t="inlineStr">
        <is>
          <t>Value Fashion</t>
        </is>
      </c>
      <c r="D11" s="8" t="n">
        <v>8148</v>
      </c>
      <c r="E11" s="11" t="n">
        <v>8.460000000000001</v>
      </c>
      <c r="F11" s="142" t="n">
        <v>217</v>
      </c>
      <c r="G11" s="143" t="n">
        <v>181</v>
      </c>
      <c r="H11" s="147" t="n">
        <v>225</v>
      </c>
      <c r="I11" s="101" t="n">
        <v>132</v>
      </c>
      <c r="J11" s="148" t="n">
        <v>21</v>
      </c>
      <c r="K11" s="6" t="n">
        <v>776</v>
      </c>
      <c r="L11" s="101" t="n">
        <v>378</v>
      </c>
      <c r="M11" s="111" t="inlineStr">
        <is>
          <t>Multi-Tier Leader</t>
        </is>
      </c>
    </row>
    <row r="12" ht="15" customHeight="1">
      <c r="A12" s="14" t="n">
        <v>8</v>
      </c>
      <c r="B12" s="112" t="inlineStr">
        <is>
          <t>Arvind</t>
        </is>
      </c>
      <c r="C12" s="118" t="inlineStr">
        <is>
          <t>Premium Menswear</t>
        </is>
      </c>
      <c r="D12" s="17" t="n">
        <v>6836.7</v>
      </c>
      <c r="E12" s="20" t="inlineStr">
        <is>
          <t>—</t>
        </is>
      </c>
      <c r="F12" s="6" t="n">
        <v>28</v>
      </c>
      <c r="G12" s="150" t="n">
        <v>52</v>
      </c>
      <c r="H12" s="6" t="n">
        <v>47</v>
      </c>
      <c r="I12" s="6" t="n">
        <v>37</v>
      </c>
      <c r="J12" s="148" t="n">
        <v>9</v>
      </c>
      <c r="K12" s="15" t="n">
        <v>173</v>
      </c>
      <c r="L12" s="15" t="n">
        <v>93</v>
      </c>
      <c r="M12" s="117" t="inlineStr">
        <is>
          <t>Metro Fortress</t>
        </is>
      </c>
    </row>
    <row r="13" ht="15" customHeight="1">
      <c r="A13" s="5" t="n">
        <v>9</v>
      </c>
      <c r="B13" s="109" t="inlineStr">
        <is>
          <t>Peter England</t>
        </is>
      </c>
      <c r="C13" s="114" t="inlineStr">
        <is>
          <t>nan</t>
        </is>
      </c>
      <c r="D13" s="8" t="n">
        <v>6345.3</v>
      </c>
      <c r="E13" s="11" t="inlineStr">
        <is>
          <t>—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119" t="inlineStr">
        <is>
          <t>Emerging</t>
        </is>
      </c>
    </row>
    <row r="14" ht="15" customHeight="1">
      <c r="A14" s="14" t="n">
        <v>10</v>
      </c>
      <c r="B14" s="112" t="inlineStr">
        <is>
          <t>Pantaloons</t>
        </is>
      </c>
      <c r="C14" s="116" t="inlineStr">
        <is>
          <t>Multi/Lifestyle</t>
        </is>
      </c>
      <c r="D14" s="17" t="n">
        <v>6345.3</v>
      </c>
      <c r="E14" s="20" t="inlineStr">
        <is>
          <t>—</t>
        </is>
      </c>
      <c r="F14" s="149" t="n">
        <v>100</v>
      </c>
      <c r="G14" s="150" t="n">
        <v>84</v>
      </c>
      <c r="H14" s="6" t="n">
        <v>104</v>
      </c>
      <c r="I14" s="6" t="n">
        <v>70</v>
      </c>
      <c r="J14" s="148" t="n">
        <v>12</v>
      </c>
      <c r="K14" s="15" t="n">
        <v>370</v>
      </c>
      <c r="L14" s="15" t="n">
        <v>186</v>
      </c>
      <c r="M14" s="111" t="inlineStr">
        <is>
          <t>Multi-Tier Leader</t>
        </is>
      </c>
    </row>
    <row r="15" ht="15" customHeight="1">
      <c r="A15" s="5" t="n">
        <v>11</v>
      </c>
      <c r="B15" s="109" t="inlineStr">
        <is>
          <t>Vishal Mega Mart</t>
        </is>
      </c>
      <c r="C15" s="110" t="inlineStr">
        <is>
          <t>Value Fashion</t>
        </is>
      </c>
      <c r="D15" s="8" t="n">
        <v>5419.4</v>
      </c>
      <c r="E15" s="11" t="n">
        <v>6.82</v>
      </c>
      <c r="F15" s="149" t="n">
        <v>102</v>
      </c>
      <c r="G15" s="150" t="n">
        <v>118</v>
      </c>
      <c r="H15" s="147" t="n">
        <v>260</v>
      </c>
      <c r="I15" s="101" t="n">
        <v>223</v>
      </c>
      <c r="J15" s="146" t="n">
        <v>35</v>
      </c>
      <c r="K15" s="6" t="n">
        <v>738</v>
      </c>
      <c r="L15" s="101" t="n">
        <v>518</v>
      </c>
      <c r="M15" s="111" t="inlineStr">
        <is>
          <t>Multi-Tier Leader</t>
        </is>
      </c>
    </row>
    <row r="16" ht="15" customHeight="1">
      <c r="A16" s="14" t="n">
        <v>12</v>
      </c>
      <c r="B16" s="112" t="inlineStr">
        <is>
          <t>Max</t>
        </is>
      </c>
      <c r="C16" s="113" t="inlineStr">
        <is>
          <t>Value Fashion</t>
        </is>
      </c>
      <c r="D16" s="17" t="n">
        <v>5007</v>
      </c>
      <c r="E16" s="20" t="n">
        <v>9.800000000000001</v>
      </c>
      <c r="F16" s="149" t="n">
        <v>102</v>
      </c>
      <c r="G16" s="150" t="n">
        <v>120</v>
      </c>
      <c r="H16" s="147" t="n">
        <v>148</v>
      </c>
      <c r="I16" s="6" t="n">
        <v>66</v>
      </c>
      <c r="J16" s="148" t="n">
        <v>12</v>
      </c>
      <c r="K16" s="15" t="n">
        <v>448</v>
      </c>
      <c r="L16" s="101" t="n">
        <v>226</v>
      </c>
      <c r="M16" s="111" t="inlineStr">
        <is>
          <t>Multi-Tier Leader</t>
        </is>
      </c>
    </row>
    <row r="17" ht="15" customHeight="1">
      <c r="A17" s="5" t="n">
        <v>13</v>
      </c>
      <c r="B17" s="109" t="inlineStr">
        <is>
          <t>Allen Solly</t>
        </is>
      </c>
      <c r="C17" s="120" t="inlineStr">
        <is>
          <t>Premium Menswear</t>
        </is>
      </c>
      <c r="D17" s="8" t="n">
        <v>4740</v>
      </c>
      <c r="E17" s="11" t="inlineStr">
        <is>
          <t>—</t>
        </is>
      </c>
      <c r="F17" s="149" t="n">
        <v>93</v>
      </c>
      <c r="G17" s="150" t="n">
        <v>83</v>
      </c>
      <c r="H17" s="147" t="n">
        <v>113</v>
      </c>
      <c r="I17" s="6" t="n">
        <v>47</v>
      </c>
      <c r="J17" s="6" t="n">
        <v>2</v>
      </c>
      <c r="K17" s="6" t="n">
        <v>338</v>
      </c>
      <c r="L17" s="6" t="n">
        <v>162</v>
      </c>
      <c r="M17" s="111" t="inlineStr">
        <is>
          <t>Multi-Tier Leader</t>
        </is>
      </c>
    </row>
    <row r="18" ht="15" customHeight="1">
      <c r="A18" s="14" t="n">
        <v>14</v>
      </c>
      <c r="B18" s="112" t="inlineStr">
        <is>
          <t>Jockey.in</t>
        </is>
      </c>
      <c r="C18" s="116" t="inlineStr">
        <is>
          <t>nan</t>
        </is>
      </c>
      <c r="D18" s="17" t="n">
        <v>4547.1</v>
      </c>
      <c r="E18" s="20" t="inlineStr">
        <is>
          <t>—</t>
        </is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15" t="n">
        <v>0</v>
      </c>
      <c r="L18" s="15" t="n">
        <v>0</v>
      </c>
      <c r="M18" s="119" t="inlineStr">
        <is>
          <t>Emerging</t>
        </is>
      </c>
    </row>
    <row r="19" ht="15" customHeight="1">
      <c r="A19" s="5" t="n">
        <v>15</v>
      </c>
      <c r="B19" s="109" t="inlineStr">
        <is>
          <t>Pantaloons</t>
        </is>
      </c>
      <c r="C19" s="114" t="inlineStr">
        <is>
          <t>Multi/Lifestyle</t>
        </is>
      </c>
      <c r="D19" s="8" t="n">
        <v>4247</v>
      </c>
      <c r="E19" s="11" t="n">
        <v>10.64</v>
      </c>
      <c r="F19" s="149" t="n">
        <v>100</v>
      </c>
      <c r="G19" s="150" t="n">
        <v>84</v>
      </c>
      <c r="H19" s="6" t="n">
        <v>104</v>
      </c>
      <c r="I19" s="6" t="n">
        <v>70</v>
      </c>
      <c r="J19" s="148" t="n">
        <v>12</v>
      </c>
      <c r="K19" s="6" t="n">
        <v>370</v>
      </c>
      <c r="L19" s="6" t="n">
        <v>186</v>
      </c>
      <c r="M19" s="111" t="inlineStr">
        <is>
          <t>Multi-Tier Leader</t>
        </is>
      </c>
    </row>
    <row r="20" ht="15" customHeight="1">
      <c r="A20" s="14" t="n">
        <v>16</v>
      </c>
      <c r="B20" s="112" t="inlineStr">
        <is>
          <t>DECATHLON SPORTS INDIA PRIVATE LIMITED</t>
        </is>
      </c>
      <c r="C20" s="116" t="inlineStr">
        <is>
          <t>nan</t>
        </is>
      </c>
      <c r="D20" s="17" t="n">
        <v>3985.6</v>
      </c>
      <c r="E20" s="20" t="inlineStr">
        <is>
          <t>—</t>
        </is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15" t="n">
        <v>0</v>
      </c>
      <c r="L20" s="15" t="n">
        <v>0</v>
      </c>
      <c r="M20" s="119" t="inlineStr">
        <is>
          <t>Emerging</t>
        </is>
      </c>
    </row>
    <row r="21" ht="15" customHeight="1">
      <c r="A21" s="5" t="n">
        <v>17</v>
      </c>
      <c r="B21" s="109" t="inlineStr">
        <is>
          <t>Lifestyle</t>
        </is>
      </c>
      <c r="C21" s="114" t="inlineStr">
        <is>
          <t>Multi/Lifestyle</t>
        </is>
      </c>
      <c r="D21" s="8" t="n">
        <v>3958.5</v>
      </c>
      <c r="E21" s="11" t="n">
        <v>30.22</v>
      </c>
      <c r="F21" s="149" t="n">
        <v>47</v>
      </c>
      <c r="G21" s="6" t="n">
        <v>40</v>
      </c>
      <c r="H21" s="6" t="n">
        <v>29</v>
      </c>
      <c r="I21" s="6" t="n">
        <v>4</v>
      </c>
      <c r="J21" s="6" t="n">
        <v>2</v>
      </c>
      <c r="K21" s="6" t="n">
        <v>122</v>
      </c>
      <c r="L21" s="6" t="n">
        <v>35</v>
      </c>
      <c r="M21" s="117" t="inlineStr">
        <is>
          <t>Metro Fortress</t>
        </is>
      </c>
    </row>
    <row r="22" ht="15" customHeight="1">
      <c r="A22" s="14" t="n">
        <v>18</v>
      </c>
      <c r="B22" s="112" t="inlineStr">
        <is>
          <t>Shoppers Stop</t>
        </is>
      </c>
      <c r="C22" s="116" t="inlineStr">
        <is>
          <t>nan</t>
        </is>
      </c>
      <c r="D22" s="17" t="n">
        <v>3937.9</v>
      </c>
      <c r="E22" s="20" t="inlineStr">
        <is>
          <t>—</t>
        </is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15" t="n">
        <v>0</v>
      </c>
      <c r="L22" s="15" t="n">
        <v>0</v>
      </c>
      <c r="M22" s="119" t="inlineStr">
        <is>
          <t>Emerging</t>
        </is>
      </c>
    </row>
    <row r="23" ht="15" customHeight="1">
      <c r="A23" s="5" t="n">
        <v>19</v>
      </c>
      <c r="B23" s="109" t="inlineStr">
        <is>
          <t>H &amp; M HENNES &amp; MAURITZ INDIA PRIVATE LIMITED</t>
        </is>
      </c>
      <c r="C23" s="114" t="inlineStr">
        <is>
          <t>nan</t>
        </is>
      </c>
      <c r="D23" s="8" t="n">
        <v>3277.2</v>
      </c>
      <c r="E23" s="11" t="inlineStr">
        <is>
          <t>—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119" t="inlineStr">
        <is>
          <t>Emerging</t>
        </is>
      </c>
    </row>
    <row r="24" ht="15" customHeight="1">
      <c r="A24" s="14" t="n">
        <v>20</v>
      </c>
      <c r="B24" s="112" t="inlineStr">
        <is>
          <t>V2</t>
        </is>
      </c>
      <c r="C24" s="113" t="inlineStr">
        <is>
          <t>Value Fashion</t>
        </is>
      </c>
      <c r="D24" s="17" t="n">
        <v>3067.1</v>
      </c>
      <c r="E24" s="20" t="n">
        <v>9.44</v>
      </c>
      <c r="F24" s="6" t="n">
        <v>24</v>
      </c>
      <c r="G24" s="150" t="n">
        <v>50</v>
      </c>
      <c r="H24" s="6" t="n">
        <v>93</v>
      </c>
      <c r="I24" s="101" t="n">
        <v>119</v>
      </c>
      <c r="J24" s="148" t="n">
        <v>22</v>
      </c>
      <c r="K24" s="15" t="n">
        <v>308</v>
      </c>
      <c r="L24" s="101" t="n">
        <v>234</v>
      </c>
      <c r="M24" s="115" t="inlineStr">
        <is>
          <t>Tier Pioneer</t>
        </is>
      </c>
    </row>
    <row r="25" ht="15" customHeight="1">
      <c r="A25" s="5" t="n">
        <v>21</v>
      </c>
      <c r="B25" s="109" t="inlineStr">
        <is>
          <t>H&amp;M</t>
        </is>
      </c>
      <c r="C25" s="114" t="inlineStr">
        <is>
          <t>Multi/Lifestyle</t>
        </is>
      </c>
      <c r="D25" s="8" t="n">
        <v>2940.5</v>
      </c>
      <c r="E25" s="11" t="n">
        <v>39.74</v>
      </c>
      <c r="F25" s="6" t="n">
        <v>38</v>
      </c>
      <c r="G25" s="6" t="n">
        <v>22</v>
      </c>
      <c r="H25" s="6" t="n">
        <v>10</v>
      </c>
      <c r="I25" s="6" t="n">
        <v>1</v>
      </c>
      <c r="J25" s="6" t="n">
        <v>1</v>
      </c>
      <c r="K25" s="6" t="n">
        <v>72</v>
      </c>
      <c r="L25" s="6" t="n">
        <v>12</v>
      </c>
      <c r="M25" s="119" t="inlineStr">
        <is>
          <t>Emerging</t>
        </is>
      </c>
    </row>
    <row r="26" ht="15" customHeight="1">
      <c r="A26" s="14" t="n">
        <v>22</v>
      </c>
      <c r="B26" s="112" t="inlineStr">
        <is>
          <t>Relaxo Footwear</t>
        </is>
      </c>
      <c r="C26" s="116" t="inlineStr">
        <is>
          <t>nan</t>
        </is>
      </c>
      <c r="D26" s="17" t="n">
        <v>2893.6</v>
      </c>
      <c r="E26" s="20" t="inlineStr">
        <is>
          <t>—</t>
        </is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15" t="n">
        <v>0</v>
      </c>
      <c r="L26" s="15" t="n">
        <v>0</v>
      </c>
      <c r="M26" s="119" t="inlineStr">
        <is>
          <t>Emerging</t>
        </is>
      </c>
    </row>
    <row r="27" ht="15" customHeight="1">
      <c r="A27" s="5" t="n">
        <v>23</v>
      </c>
      <c r="B27" s="109" t="inlineStr">
        <is>
          <t>Shoppers Stop</t>
        </is>
      </c>
      <c r="C27" s="114" t="inlineStr">
        <is>
          <t>Multi/Lifestyle</t>
        </is>
      </c>
      <c r="D27" s="8" t="n">
        <v>2714</v>
      </c>
      <c r="E27" s="11" t="n">
        <v>22.43</v>
      </c>
      <c r="F27" s="6" t="n">
        <v>42</v>
      </c>
      <c r="G27" s="6" t="n">
        <v>35</v>
      </c>
      <c r="H27" s="6" t="n">
        <v>30</v>
      </c>
      <c r="I27" s="6" t="n">
        <v>4</v>
      </c>
      <c r="J27" s="6" t="n">
        <v>3</v>
      </c>
      <c r="K27" s="6" t="n">
        <v>114</v>
      </c>
      <c r="L27" s="6" t="n">
        <v>37</v>
      </c>
      <c r="M27" s="119" t="inlineStr">
        <is>
          <t>Emerging</t>
        </is>
      </c>
    </row>
    <row r="28" ht="15" customHeight="1">
      <c r="A28" s="14" t="n">
        <v>24</v>
      </c>
      <c r="B28" s="112" t="inlineStr">
        <is>
          <t>V-Mart</t>
        </is>
      </c>
      <c r="C28" s="116" t="inlineStr">
        <is>
          <t>nan</t>
        </is>
      </c>
      <c r="D28" s="17" t="n">
        <v>2711.3</v>
      </c>
      <c r="E28" s="20" t="inlineStr">
        <is>
          <t>—</t>
        </is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15" t="n">
        <v>0</v>
      </c>
      <c r="L28" s="15" t="n">
        <v>0</v>
      </c>
      <c r="M28" s="119" t="inlineStr">
        <is>
          <t>Emerging</t>
        </is>
      </c>
    </row>
    <row r="29" ht="15" customHeight="1">
      <c r="A29" s="5" t="n">
        <v>25</v>
      </c>
      <c r="B29" s="109" t="inlineStr">
        <is>
          <t>V Mart</t>
        </is>
      </c>
      <c r="C29" s="110" t="inlineStr">
        <is>
          <t>Value Fashion</t>
        </is>
      </c>
      <c r="D29" s="8" t="n">
        <v>2531.5</v>
      </c>
      <c r="E29" s="11" t="n">
        <v>5.3</v>
      </c>
      <c r="F29" s="6" t="n">
        <v>24</v>
      </c>
      <c r="G29" s="150" t="n">
        <v>97</v>
      </c>
      <c r="H29" s="147" t="n">
        <v>144</v>
      </c>
      <c r="I29" s="101" t="n">
        <v>119</v>
      </c>
      <c r="J29" s="148" t="n">
        <v>18</v>
      </c>
      <c r="K29" s="6" t="n">
        <v>402</v>
      </c>
      <c r="L29" s="101" t="n">
        <v>281</v>
      </c>
      <c r="M29" s="111" t="inlineStr">
        <is>
          <t>Multi-Tier Leader</t>
        </is>
      </c>
    </row>
    <row r="30" ht="15" customHeight="1">
      <c r="A30" s="14" t="n">
        <v>26</v>
      </c>
      <c r="B30" s="112" t="inlineStr">
        <is>
          <t>Adidas</t>
        </is>
      </c>
      <c r="C30" s="121" t="inlineStr">
        <is>
          <t>Activewear</t>
        </is>
      </c>
      <c r="D30" s="17" t="n">
        <v>2348.7</v>
      </c>
      <c r="E30" s="20" t="inlineStr">
        <is>
          <t>—</t>
        </is>
      </c>
      <c r="F30" s="149" t="n">
        <v>110</v>
      </c>
      <c r="G30" s="150" t="n">
        <v>94</v>
      </c>
      <c r="H30" s="147" t="n">
        <v>110</v>
      </c>
      <c r="I30" s="6" t="n">
        <v>52</v>
      </c>
      <c r="J30" s="6" t="n">
        <v>8</v>
      </c>
      <c r="K30" s="15" t="n">
        <v>374</v>
      </c>
      <c r="L30" s="15" t="n">
        <v>170</v>
      </c>
      <c r="M30" s="111" t="inlineStr">
        <is>
          <t>Multi-Tier Leader</t>
        </is>
      </c>
    </row>
    <row r="31" ht="15" customHeight="1">
      <c r="A31" s="5" t="n">
        <v>27</v>
      </c>
      <c r="B31" s="109" t="inlineStr">
        <is>
          <t>Metro Brands</t>
        </is>
      </c>
      <c r="C31" s="114" t="inlineStr">
        <is>
          <t>nan</t>
        </is>
      </c>
      <c r="D31" s="8" t="n">
        <v>2304.5</v>
      </c>
      <c r="E31" s="11" t="inlineStr">
        <is>
          <t>—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119" t="inlineStr">
        <is>
          <t>Emerging</t>
        </is>
      </c>
    </row>
    <row r="32" ht="15" customHeight="1">
      <c r="A32" s="14" t="n">
        <v>28</v>
      </c>
      <c r="B32" s="112" t="inlineStr">
        <is>
          <t>Mochi Shoes</t>
        </is>
      </c>
      <c r="C32" s="116" t="inlineStr">
        <is>
          <t>nan</t>
        </is>
      </c>
      <c r="D32" s="17" t="n">
        <v>2304.5</v>
      </c>
      <c r="E32" s="20" t="inlineStr">
        <is>
          <t>—</t>
        </is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15" t="n">
        <v>0</v>
      </c>
      <c r="L32" s="15" t="n">
        <v>0</v>
      </c>
      <c r="M32" s="119" t="inlineStr">
        <is>
          <t>Emerging</t>
        </is>
      </c>
    </row>
    <row r="33" ht="15" customHeight="1">
      <c r="A33" s="5" t="n">
        <v>29</v>
      </c>
      <c r="B33" s="109" t="inlineStr">
        <is>
          <t>Siyarams</t>
        </is>
      </c>
      <c r="C33" s="122" t="inlineStr">
        <is>
          <t>Mid Menswear</t>
        </is>
      </c>
      <c r="D33" s="8" t="n">
        <v>2158.2</v>
      </c>
      <c r="E33" s="11" t="n">
        <v>9.34</v>
      </c>
      <c r="F33" s="6" t="n">
        <v>20</v>
      </c>
      <c r="G33" s="6" t="n">
        <v>37</v>
      </c>
      <c r="H33" s="6" t="n">
        <v>64</v>
      </c>
      <c r="I33" s="6" t="n">
        <v>73</v>
      </c>
      <c r="J33" s="148" t="n">
        <v>20</v>
      </c>
      <c r="K33" s="6" t="n">
        <v>214</v>
      </c>
      <c r="L33" s="6" t="n">
        <v>157</v>
      </c>
      <c r="M33" s="115" t="inlineStr">
        <is>
          <t>Tier Pioneer</t>
        </is>
      </c>
    </row>
    <row r="34" ht="15" customHeight="1">
      <c r="A34" s="14" t="n">
        <v>30</v>
      </c>
      <c r="B34" s="112" t="inlineStr">
        <is>
          <t>Zara</t>
        </is>
      </c>
      <c r="C34" s="116" t="inlineStr">
        <is>
          <t>Multi/Lifestyle</t>
        </is>
      </c>
      <c r="D34" s="17" t="n">
        <v>2089.2</v>
      </c>
      <c r="E34" s="20" t="n">
        <v>83.56999999999999</v>
      </c>
      <c r="F34" s="6" t="n">
        <v>15</v>
      </c>
      <c r="G34" s="6" t="n">
        <v>4</v>
      </c>
      <c r="H34" s="6" t="n">
        <v>0</v>
      </c>
      <c r="I34" s="6" t="n">
        <v>0</v>
      </c>
      <c r="J34" s="6" t="n">
        <v>0</v>
      </c>
      <c r="K34" s="15" t="n">
        <v>19</v>
      </c>
      <c r="L34" s="15" t="n">
        <v>0</v>
      </c>
      <c r="M34" s="119" t="inlineStr">
        <is>
          <t>Emerging</t>
        </is>
      </c>
    </row>
    <row r="35" ht="15" customHeight="1">
      <c r="A35" s="5" t="n">
        <v>31</v>
      </c>
      <c r="B35" s="109" t="inlineStr">
        <is>
          <t>Decathlon</t>
        </is>
      </c>
      <c r="C35" s="123" t="inlineStr">
        <is>
          <t>Activewear</t>
        </is>
      </c>
      <c r="D35" s="8" t="n">
        <v>2015.2</v>
      </c>
      <c r="E35" s="11" t="n">
        <v>15.87</v>
      </c>
      <c r="F35" s="149" t="n">
        <v>56</v>
      </c>
      <c r="G35" s="6" t="n">
        <v>33</v>
      </c>
      <c r="H35" s="6" t="n">
        <v>31</v>
      </c>
      <c r="I35" s="6" t="n">
        <v>4</v>
      </c>
      <c r="J35" s="6" t="n">
        <v>2</v>
      </c>
      <c r="K35" s="6" t="n">
        <v>126</v>
      </c>
      <c r="L35" s="6" t="n">
        <v>37</v>
      </c>
      <c r="M35" s="117" t="inlineStr">
        <is>
          <t>Metro Fortress</t>
        </is>
      </c>
    </row>
    <row r="36" ht="15" customHeight="1">
      <c r="A36" s="14" t="n">
        <v>32</v>
      </c>
      <c r="B36" s="112" t="inlineStr">
        <is>
          <t>Red Tape</t>
        </is>
      </c>
      <c r="C36" s="116" t="inlineStr">
        <is>
          <t>nan</t>
        </is>
      </c>
      <c r="D36" s="17" t="n">
        <v>1831.8</v>
      </c>
      <c r="E36" s="20" t="inlineStr">
        <is>
          <t>—</t>
        </is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15" t="n">
        <v>0</v>
      </c>
      <c r="L36" s="15" t="n">
        <v>0</v>
      </c>
      <c r="M36" s="119" t="inlineStr">
        <is>
          <t>Emerging</t>
        </is>
      </c>
    </row>
    <row r="37" ht="15" customHeight="1">
      <c r="A37" s="5" t="n">
        <v>33</v>
      </c>
      <c r="B37" s="109" t="inlineStr">
        <is>
          <t>Skechers South Asia Private Limited</t>
        </is>
      </c>
      <c r="C37" s="114" t="inlineStr">
        <is>
          <t>nan</t>
        </is>
      </c>
      <c r="D37" s="8" t="n">
        <v>1745.5</v>
      </c>
      <c r="E37" s="11" t="inlineStr">
        <is>
          <t>—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119" t="inlineStr">
        <is>
          <t>Emerging</t>
        </is>
      </c>
    </row>
    <row r="38" ht="15" customHeight="1">
      <c r="A38" s="14" t="n">
        <v>34</v>
      </c>
      <c r="B38" s="112" t="inlineStr">
        <is>
          <t>Marks and Spencer Reliance India</t>
        </is>
      </c>
      <c r="C38" s="116" t="inlineStr">
        <is>
          <t>nan</t>
        </is>
      </c>
      <c r="D38" s="17" t="n">
        <v>1742.2</v>
      </c>
      <c r="E38" s="20" t="inlineStr">
        <is>
          <t>—</t>
        </is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15" t="n">
        <v>0</v>
      </c>
      <c r="L38" s="15" t="n">
        <v>0</v>
      </c>
      <c r="M38" s="119" t="inlineStr">
        <is>
          <t>Emerging</t>
        </is>
      </c>
    </row>
    <row r="39" ht="15" customHeight="1">
      <c r="A39" s="5" t="n">
        <v>35</v>
      </c>
      <c r="B39" s="109" t="inlineStr">
        <is>
          <t>LEVI STRAUSS (INDIA) PRIVATE LIMITED</t>
        </is>
      </c>
      <c r="C39" s="114" t="inlineStr">
        <is>
          <t>nan</t>
        </is>
      </c>
      <c r="D39" s="8" t="n">
        <v>1668.7</v>
      </c>
      <c r="E39" s="11" t="inlineStr">
        <is>
          <t>—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119" t="inlineStr">
        <is>
          <t>Emerging</t>
        </is>
      </c>
    </row>
    <row r="40" ht="15" customHeight="1">
      <c r="A40" s="14" t="n">
        <v>36</v>
      </c>
      <c r="B40" s="112" t="inlineStr">
        <is>
          <t>Manyawar</t>
        </is>
      </c>
      <c r="C40" s="151" t="inlineStr">
        <is>
          <t>Women's Ethnic</t>
        </is>
      </c>
      <c r="D40" s="17" t="n">
        <v>1666.7</v>
      </c>
      <c r="E40" s="20" t="n">
        <v>5.48</v>
      </c>
      <c r="F40" s="149" t="n">
        <v>77</v>
      </c>
      <c r="G40" s="150" t="n">
        <v>62</v>
      </c>
      <c r="H40" s="6" t="n">
        <v>80</v>
      </c>
      <c r="I40" s="6" t="n">
        <v>45</v>
      </c>
      <c r="J40" s="148" t="n">
        <v>13</v>
      </c>
      <c r="K40" s="15" t="n">
        <v>277</v>
      </c>
      <c r="L40" s="15" t="n">
        <v>138</v>
      </c>
      <c r="M40" s="117" t="inlineStr">
        <is>
          <t>Metro Fortress</t>
        </is>
      </c>
    </row>
    <row r="41" ht="15" customHeight="1">
      <c r="A41" s="5" t="n">
        <v>37</v>
      </c>
      <c r="B41" s="109" t="inlineStr">
        <is>
          <t>Puma</t>
        </is>
      </c>
      <c r="C41" s="123" t="inlineStr">
        <is>
          <t>Activewear</t>
        </is>
      </c>
      <c r="D41" s="8" t="n">
        <v>1618.3</v>
      </c>
      <c r="E41" s="11" t="n">
        <v>4.05</v>
      </c>
      <c r="F41" s="149" t="n">
        <v>115</v>
      </c>
      <c r="G41" s="150" t="n">
        <v>89</v>
      </c>
      <c r="H41" s="147" t="n">
        <v>107</v>
      </c>
      <c r="I41" s="6" t="n">
        <v>35</v>
      </c>
      <c r="J41" s="148" t="n">
        <v>12</v>
      </c>
      <c r="K41" s="6" t="n">
        <v>358</v>
      </c>
      <c r="L41" s="6" t="n">
        <v>154</v>
      </c>
      <c r="M41" s="111" t="inlineStr">
        <is>
          <t>Multi-Tier Leader</t>
        </is>
      </c>
    </row>
    <row r="42" ht="15" customHeight="1">
      <c r="A42" s="14" t="n">
        <v>38</v>
      </c>
      <c r="B42" s="112" t="inlineStr">
        <is>
          <t>Style Bazaar</t>
        </is>
      </c>
      <c r="C42" s="113" t="inlineStr">
        <is>
          <t>Value Fashion</t>
        </is>
      </c>
      <c r="D42" s="17" t="n">
        <v>1584.2</v>
      </c>
      <c r="E42" s="20" t="n">
        <v>6.02</v>
      </c>
      <c r="F42" s="6" t="n">
        <v>34</v>
      </c>
      <c r="G42" s="6" t="n">
        <v>28</v>
      </c>
      <c r="H42" s="6" t="n">
        <v>62</v>
      </c>
      <c r="I42" s="101" t="n">
        <v>95</v>
      </c>
      <c r="J42" s="148" t="n">
        <v>13</v>
      </c>
      <c r="K42" s="15" t="n">
        <v>232</v>
      </c>
      <c r="L42" s="15" t="n">
        <v>170</v>
      </c>
      <c r="M42" s="115" t="inlineStr">
        <is>
          <t>Tier Pioneer</t>
        </is>
      </c>
    </row>
    <row r="43" ht="15" customHeight="1">
      <c r="A43" s="5" t="n">
        <v>39</v>
      </c>
      <c r="B43" s="109" t="inlineStr">
        <is>
          <t xml:space="preserve">Bata </t>
        </is>
      </c>
      <c r="C43" s="152" t="inlineStr">
        <is>
          <t>Footwear</t>
        </is>
      </c>
      <c r="D43" s="8" t="n">
        <v>1550.7</v>
      </c>
      <c r="E43" s="11" t="n">
        <v>0.85</v>
      </c>
      <c r="F43" s="142" t="n">
        <v>284</v>
      </c>
      <c r="G43" s="143" t="n">
        <v>260</v>
      </c>
      <c r="H43" s="144" t="n">
        <v>384</v>
      </c>
      <c r="I43" s="145" t="n">
        <v>285</v>
      </c>
      <c r="J43" s="146" t="n">
        <v>48</v>
      </c>
      <c r="K43" s="6" t="n">
        <v>1261</v>
      </c>
      <c r="L43" s="101" t="n">
        <v>717</v>
      </c>
      <c r="M43" s="111" t="inlineStr">
        <is>
          <t>Multi-Tier Leader</t>
        </is>
      </c>
    </row>
    <row r="44" ht="15" customHeight="1">
      <c r="A44" s="14" t="n">
        <v>40</v>
      </c>
      <c r="B44" s="112" t="inlineStr">
        <is>
          <t>RedTape</t>
        </is>
      </c>
      <c r="C44" s="153" t="inlineStr">
        <is>
          <t>Footwear</t>
        </is>
      </c>
      <c r="D44" s="17" t="n">
        <v>1518</v>
      </c>
      <c r="E44" s="20" t="n">
        <v>2.91</v>
      </c>
      <c r="F44" s="149" t="n">
        <v>82</v>
      </c>
      <c r="G44" s="150" t="n">
        <v>68</v>
      </c>
      <c r="H44" s="147" t="n">
        <v>150</v>
      </c>
      <c r="I44" s="101" t="n">
        <v>117</v>
      </c>
      <c r="J44" s="148" t="n">
        <v>25</v>
      </c>
      <c r="K44" s="15" t="n">
        <v>442</v>
      </c>
      <c r="L44" s="101" t="n">
        <v>292</v>
      </c>
      <c r="M44" s="111" t="inlineStr">
        <is>
          <t>Multi-Tier Leader</t>
        </is>
      </c>
    </row>
    <row r="45" ht="15" customHeight="1">
      <c r="A45" s="5" t="n">
        <v>41</v>
      </c>
      <c r="B45" s="109" t="inlineStr">
        <is>
          <t>Campus Shoes</t>
        </is>
      </c>
      <c r="C45" s="114" t="inlineStr">
        <is>
          <t>nan</t>
        </is>
      </c>
      <c r="D45" s="8" t="n">
        <v>1435.9</v>
      </c>
      <c r="E45" s="11" t="inlineStr">
        <is>
          <t>—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119" t="inlineStr">
        <is>
          <t>Emerging</t>
        </is>
      </c>
    </row>
    <row r="46" ht="15" customHeight="1">
      <c r="A46" s="14" t="n">
        <v>42</v>
      </c>
      <c r="B46" s="112" t="inlineStr">
        <is>
          <t>Manyavar</t>
        </is>
      </c>
      <c r="C46" s="116" t="inlineStr">
        <is>
          <t>nan</t>
        </is>
      </c>
      <c r="D46" s="17" t="n">
        <v>1365.4</v>
      </c>
      <c r="E46" s="20" t="inlineStr">
        <is>
          <t>—</t>
        </is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15" t="n">
        <v>0</v>
      </c>
      <c r="L46" s="15" t="n">
        <v>0</v>
      </c>
      <c r="M46" s="119" t="inlineStr">
        <is>
          <t>Emerging</t>
        </is>
      </c>
    </row>
    <row r="47" ht="15" customHeight="1">
      <c r="A47" s="5" t="n">
        <v>43</v>
      </c>
      <c r="B47" s="109" t="inlineStr">
        <is>
          <t>Bazaar Kolkata</t>
        </is>
      </c>
      <c r="C47" s="110" t="inlineStr">
        <is>
          <t>Value Fashion</t>
        </is>
      </c>
      <c r="D47" s="8" t="n">
        <v>1319.1</v>
      </c>
      <c r="E47" s="11" t="n">
        <v>6.6</v>
      </c>
      <c r="F47" s="149" t="n">
        <v>44</v>
      </c>
      <c r="G47" s="6" t="n">
        <v>2</v>
      </c>
      <c r="H47" s="6" t="n">
        <v>21</v>
      </c>
      <c r="I47" s="6" t="n">
        <v>30</v>
      </c>
      <c r="J47" s="6" t="n">
        <v>5</v>
      </c>
      <c r="K47" s="6" t="n">
        <v>102</v>
      </c>
      <c r="L47" s="6" t="n">
        <v>56</v>
      </c>
      <c r="M47" s="119" t="inlineStr">
        <is>
          <t>Emerging</t>
        </is>
      </c>
    </row>
    <row r="48" ht="15" customHeight="1">
      <c r="A48" s="14" t="n">
        <v>44</v>
      </c>
      <c r="B48" s="112" t="inlineStr">
        <is>
          <t>Raymond</t>
        </is>
      </c>
      <c r="C48" s="118" t="inlineStr">
        <is>
          <t>Premium Menswear</t>
        </is>
      </c>
      <c r="D48" s="17" t="n">
        <v>1284.4</v>
      </c>
      <c r="E48" s="20" t="n">
        <v>0.95</v>
      </c>
      <c r="F48" s="142" t="n">
        <v>195</v>
      </c>
      <c r="G48" s="143" t="n">
        <v>180</v>
      </c>
      <c r="H48" s="147" t="n">
        <v>281</v>
      </c>
      <c r="I48" s="101" t="n">
        <v>251</v>
      </c>
      <c r="J48" s="146" t="n">
        <v>31</v>
      </c>
      <c r="K48" s="15" t="n">
        <v>938</v>
      </c>
      <c r="L48" s="101" t="n">
        <v>563</v>
      </c>
      <c r="M48" s="111" t="inlineStr">
        <is>
          <t>Multi-Tier Leader</t>
        </is>
      </c>
    </row>
    <row r="49" ht="15" customHeight="1">
      <c r="A49" s="5" t="n">
        <v>45</v>
      </c>
      <c r="B49" s="109" t="inlineStr">
        <is>
          <t>MOnte Carlo</t>
        </is>
      </c>
      <c r="C49" s="122" t="inlineStr">
        <is>
          <t>Mid Menswear</t>
        </is>
      </c>
      <c r="D49" s="8" t="n">
        <v>1275.9</v>
      </c>
      <c r="E49" s="11" t="n">
        <v>2.57</v>
      </c>
      <c r="F49" s="149" t="n">
        <v>74</v>
      </c>
      <c r="G49" s="150" t="n">
        <v>66</v>
      </c>
      <c r="H49" s="147" t="n">
        <v>113</v>
      </c>
      <c r="I49" s="101" t="n">
        <v>88</v>
      </c>
      <c r="J49" s="148" t="n">
        <v>26</v>
      </c>
      <c r="K49" s="6" t="n">
        <v>367</v>
      </c>
      <c r="L49" s="101" t="n">
        <v>227</v>
      </c>
      <c r="M49" s="111" t="inlineStr">
        <is>
          <t>Multi-Tier Leader</t>
        </is>
      </c>
    </row>
    <row r="50" ht="15" customHeight="1">
      <c r="A50" s="14" t="n">
        <v>46</v>
      </c>
      <c r="B50" s="112" t="inlineStr">
        <is>
          <t>Metro Shoes</t>
        </is>
      </c>
      <c r="C50" s="153" t="inlineStr">
        <is>
          <t>Footwear</t>
        </is>
      </c>
      <c r="D50" s="17" t="n">
        <v>1244</v>
      </c>
      <c r="E50" s="20" t="n">
        <v>3.33</v>
      </c>
      <c r="F50" s="149" t="n">
        <v>88</v>
      </c>
      <c r="G50" s="150" t="n">
        <v>65</v>
      </c>
      <c r="H50" s="147" t="n">
        <v>109</v>
      </c>
      <c r="I50" s="6" t="n">
        <v>49</v>
      </c>
      <c r="J50" s="148" t="n">
        <v>9</v>
      </c>
      <c r="K50" s="15" t="n">
        <v>320</v>
      </c>
      <c r="L50" s="15" t="n">
        <v>167</v>
      </c>
      <c r="M50" s="111" t="inlineStr">
        <is>
          <t>Multi-Tier Leader</t>
        </is>
      </c>
    </row>
    <row r="51" ht="15" customHeight="1">
      <c r="A51" s="5" t="n">
        <v>47</v>
      </c>
      <c r="B51" s="109" t="inlineStr">
        <is>
          <t>FabIndia</t>
        </is>
      </c>
      <c r="C51" s="154" t="inlineStr">
        <is>
          <t>Women's Ethnic</t>
        </is>
      </c>
      <c r="D51" s="8" t="n">
        <v>1218.6</v>
      </c>
      <c r="E51" s="11" t="inlineStr">
        <is>
          <t>—</t>
        </is>
      </c>
      <c r="F51" s="149" t="n">
        <v>120</v>
      </c>
      <c r="G51" s="150" t="n">
        <v>73</v>
      </c>
      <c r="H51" s="6" t="n">
        <v>79</v>
      </c>
      <c r="I51" s="6" t="n">
        <v>25</v>
      </c>
      <c r="J51" s="148" t="n">
        <v>11</v>
      </c>
      <c r="K51" s="6" t="n">
        <v>308</v>
      </c>
      <c r="L51" s="6" t="n">
        <v>115</v>
      </c>
      <c r="M51" s="117" t="inlineStr">
        <is>
          <t>Metro Fortress</t>
        </is>
      </c>
    </row>
    <row r="52" ht="15" customHeight="1">
      <c r="A52" s="14" t="n">
        <v>48</v>
      </c>
      <c r="B52" s="112" t="inlineStr">
        <is>
          <t>Adidas</t>
        </is>
      </c>
      <c r="C52" s="121" t="inlineStr">
        <is>
          <t>Activewear</t>
        </is>
      </c>
      <c r="D52" s="17" t="n">
        <v>1216.9</v>
      </c>
      <c r="E52" s="20" t="n">
        <v>2</v>
      </c>
      <c r="F52" s="149" t="n">
        <v>110</v>
      </c>
      <c r="G52" s="150" t="n">
        <v>94</v>
      </c>
      <c r="H52" s="147" t="n">
        <v>110</v>
      </c>
      <c r="I52" s="6" t="n">
        <v>52</v>
      </c>
      <c r="J52" s="6" t="n">
        <v>8</v>
      </c>
      <c r="K52" s="15" t="n">
        <v>374</v>
      </c>
      <c r="L52" s="15" t="n">
        <v>170</v>
      </c>
      <c r="M52" s="111" t="inlineStr">
        <is>
          <t>Multi-Tier Leader</t>
        </is>
      </c>
    </row>
    <row r="53" ht="15" customHeight="1">
      <c r="A53" s="5" t="n">
        <v>49</v>
      </c>
      <c r="B53" s="109" t="inlineStr">
        <is>
          <t>Marks &amp; Spencer</t>
        </is>
      </c>
      <c r="C53" s="114" t="inlineStr">
        <is>
          <t>Multi/Lifestyle</t>
        </is>
      </c>
      <c r="D53" s="8" t="n">
        <v>1216.5</v>
      </c>
      <c r="E53" s="11" t="n">
        <v>14.31</v>
      </c>
      <c r="F53" s="6" t="n">
        <v>41</v>
      </c>
      <c r="G53" s="6" t="n">
        <v>24</v>
      </c>
      <c r="H53" s="6" t="n">
        <v>11</v>
      </c>
      <c r="I53" s="6" t="n">
        <v>1</v>
      </c>
      <c r="J53" s="6" t="n">
        <v>2</v>
      </c>
      <c r="K53" s="6" t="n">
        <v>79</v>
      </c>
      <c r="L53" s="6" t="n">
        <v>14</v>
      </c>
      <c r="M53" s="119" t="inlineStr">
        <is>
          <t>Emerging</t>
        </is>
      </c>
    </row>
    <row r="54" ht="15" customHeight="1">
      <c r="A54" s="14" t="n">
        <v>50</v>
      </c>
      <c r="B54" s="112" t="inlineStr">
        <is>
          <t>Van Heusen</t>
        </is>
      </c>
      <c r="C54" s="118" t="inlineStr">
        <is>
          <t>Premium Menswear</t>
        </is>
      </c>
      <c r="D54" s="17" t="n">
        <v>1184</v>
      </c>
      <c r="E54" s="20" t="n">
        <v>1.83</v>
      </c>
      <c r="F54" s="149" t="n">
        <v>110</v>
      </c>
      <c r="G54" s="150" t="n">
        <v>99</v>
      </c>
      <c r="H54" s="147" t="n">
        <v>125</v>
      </c>
      <c r="I54" s="6" t="n">
        <v>60</v>
      </c>
      <c r="J54" s="148" t="n">
        <v>11</v>
      </c>
      <c r="K54" s="15" t="n">
        <v>405</v>
      </c>
      <c r="L54" s="15" t="n">
        <v>196</v>
      </c>
      <c r="M54" s="111" t="inlineStr">
        <is>
          <t>Multi-Tier Leader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E185D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 ht="30" customHeight="1">
      <c r="A1" s="104" t="inlineStr">
        <is>
          <t>EX-12  SEGMENT GEOGRAPHIC REACH — Pincode Depth + Revenue Per Tier</t>
        </is>
      </c>
    </row>
    <row r="4" ht="24" customHeight="1">
      <c r="A4" s="3" t="inlineStr">
        <is>
          <t>Segment</t>
        </is>
      </c>
      <c r="B4" s="3" t="inlineStr">
        <is>
          <t>Metro Pins</t>
        </is>
      </c>
      <c r="C4" s="3" t="inlineStr">
        <is>
          <t>T1</t>
        </is>
      </c>
      <c r="D4" s="3" t="inlineStr">
        <is>
          <t>T2</t>
        </is>
      </c>
      <c r="E4" s="3" t="inlineStr">
        <is>
          <t>T3</t>
        </is>
      </c>
      <c r="F4" s="3" t="inlineStr">
        <is>
          <t>T4</t>
        </is>
      </c>
      <c r="G4" s="3" t="inlineStr">
        <is>
          <t>Total Pins</t>
        </is>
      </c>
      <c r="H4" s="3" t="inlineStr">
        <is>
          <t>T2+T3+T4</t>
        </is>
      </c>
      <c r="I4" s="3" t="inlineStr">
        <is>
          <t>Metro Rev</t>
        </is>
      </c>
      <c r="J4" s="3" t="inlineStr">
        <is>
          <t>T3 Rev</t>
        </is>
      </c>
      <c r="K4" s="3" t="inlineStr">
        <is>
          <t>T3/Metro Ratio</t>
        </is>
      </c>
      <c r="L4" s="3" t="inlineStr">
        <is>
          <t>Metro Dep%</t>
        </is>
      </c>
    </row>
    <row r="5" ht="20" customHeight="1">
      <c r="A5" s="48" t="inlineStr">
        <is>
          <t>Value Fashion</t>
        </is>
      </c>
      <c r="B5" s="6" t="n">
        <v>418</v>
      </c>
      <c r="C5" s="6" t="n">
        <v>492</v>
      </c>
      <c r="D5" s="6" t="n">
        <v>1061</v>
      </c>
      <c r="E5" s="6" t="n">
        <v>803</v>
      </c>
      <c r="F5" s="6" t="n">
        <v>105</v>
      </c>
      <c r="G5" s="6" t="n">
        <v>2879</v>
      </c>
      <c r="H5" s="101" t="n">
        <v>1969</v>
      </c>
      <c r="I5" s="8" t="n">
        <v>6379.8</v>
      </c>
      <c r="J5" s="155" t="n">
        <v>11833.9</v>
      </c>
      <c r="K5" s="71" t="inlineStr">
        <is>
          <t>1.85x</t>
        </is>
      </c>
      <c r="L5" s="71" t="inlineStr">
        <is>
          <t>31.6%</t>
        </is>
      </c>
    </row>
    <row r="6" ht="20" customHeight="1">
      <c r="A6" s="53" t="inlineStr">
        <is>
          <t>Premium Menswear</t>
        </is>
      </c>
      <c r="B6" s="15" t="n">
        <v>303</v>
      </c>
      <c r="C6" s="15" t="n">
        <v>292</v>
      </c>
      <c r="D6" s="15" t="n">
        <v>480</v>
      </c>
      <c r="E6" s="15" t="n">
        <v>337</v>
      </c>
      <c r="F6" s="15" t="n">
        <v>41</v>
      </c>
      <c r="G6" s="15" t="n">
        <v>1453</v>
      </c>
      <c r="H6" s="101" t="n">
        <v>858</v>
      </c>
      <c r="I6" s="17" t="n">
        <v>2324</v>
      </c>
      <c r="J6" s="17" t="n">
        <v>691.2</v>
      </c>
      <c r="K6" s="14" t="inlineStr">
        <is>
          <t>0.30x</t>
        </is>
      </c>
      <c r="L6" s="71" t="inlineStr">
        <is>
          <t>40.9%</t>
        </is>
      </c>
    </row>
    <row r="7" ht="20" customHeight="1">
      <c r="A7" s="57" t="inlineStr">
        <is>
          <t>Mid Menswear</t>
        </is>
      </c>
      <c r="B7" s="6" t="n">
        <v>269</v>
      </c>
      <c r="C7" s="6" t="n">
        <v>264</v>
      </c>
      <c r="D7" s="6" t="n">
        <v>454</v>
      </c>
      <c r="E7" s="6" t="n">
        <v>403</v>
      </c>
      <c r="F7" s="6" t="n">
        <v>62</v>
      </c>
      <c r="G7" s="6" t="n">
        <v>1452</v>
      </c>
      <c r="H7" s="101" t="n">
        <v>919</v>
      </c>
      <c r="I7" s="8" t="n">
        <v>598.4</v>
      </c>
      <c r="J7" s="155" t="n">
        <v>1155.1</v>
      </c>
      <c r="K7" s="71" t="inlineStr">
        <is>
          <t>1.93x</t>
        </is>
      </c>
      <c r="L7" s="71" t="inlineStr">
        <is>
          <t>36.7%</t>
        </is>
      </c>
    </row>
    <row r="8" ht="20" customHeight="1">
      <c r="A8" s="58" t="inlineStr">
        <is>
          <t>Footwear</t>
        </is>
      </c>
      <c r="B8" s="15" t="n">
        <v>391</v>
      </c>
      <c r="C8" s="15" t="n">
        <v>364</v>
      </c>
      <c r="D8" s="15" t="n">
        <v>583</v>
      </c>
      <c r="E8" s="15" t="n">
        <v>426</v>
      </c>
      <c r="F8" s="15" t="n">
        <v>71</v>
      </c>
      <c r="G8" s="15" t="n">
        <v>1835</v>
      </c>
      <c r="H8" s="101" t="n">
        <v>1080</v>
      </c>
      <c r="I8" s="17" t="n">
        <v>2446.3</v>
      </c>
      <c r="J8" s="155" t="n">
        <v>1439.1</v>
      </c>
      <c r="K8" s="14" t="inlineStr">
        <is>
          <t>0.59x</t>
        </is>
      </c>
      <c r="L8" s="71" t="inlineStr">
        <is>
          <t>41.1%</t>
        </is>
      </c>
    </row>
    <row r="9" ht="20" customHeight="1">
      <c r="A9" s="60" t="inlineStr">
        <is>
          <t>Activewear</t>
        </is>
      </c>
      <c r="B9" s="6" t="n">
        <v>308</v>
      </c>
      <c r="C9" s="6" t="n">
        <v>313</v>
      </c>
      <c r="D9" s="6" t="n">
        <v>444</v>
      </c>
      <c r="E9" s="6" t="n">
        <v>313</v>
      </c>
      <c r="F9" s="6" t="n">
        <v>44</v>
      </c>
      <c r="G9" s="6" t="n">
        <v>1422</v>
      </c>
      <c r="H9" s="101" t="n">
        <v>801</v>
      </c>
      <c r="I9" s="8" t="n">
        <v>1605.5</v>
      </c>
      <c r="J9" s="8" t="n">
        <v>304.6</v>
      </c>
      <c r="K9" s="90" t="inlineStr">
        <is>
          <t>0.19x</t>
        </is>
      </c>
      <c r="L9" s="71" t="inlineStr">
        <is>
          <t>43.7%</t>
        </is>
      </c>
    </row>
    <row r="10" ht="20" customHeight="1">
      <c r="A10" s="61" t="inlineStr">
        <is>
          <t>Women's Ethnic</t>
        </is>
      </c>
      <c r="B10" s="15" t="n">
        <v>208</v>
      </c>
      <c r="C10" s="15" t="n">
        <v>163</v>
      </c>
      <c r="D10" s="15" t="n">
        <v>231</v>
      </c>
      <c r="E10" s="15" t="n">
        <v>106</v>
      </c>
      <c r="F10" s="15" t="n">
        <v>24</v>
      </c>
      <c r="G10" s="15" t="n">
        <v>732</v>
      </c>
      <c r="H10" s="15" t="n">
        <v>361</v>
      </c>
      <c r="I10" s="17" t="n">
        <v>759.5</v>
      </c>
      <c r="J10" s="17" t="n">
        <v>340.3</v>
      </c>
      <c r="K10" s="14" t="inlineStr">
        <is>
          <t>0.45x</t>
        </is>
      </c>
      <c r="L10" s="14" t="inlineStr">
        <is>
          <t>50.7%</t>
        </is>
      </c>
    </row>
    <row r="11" ht="20" customHeight="1">
      <c r="A11" s="62" t="inlineStr">
        <is>
          <t>Women's Western</t>
        </is>
      </c>
      <c r="B11" s="6" t="n">
        <v>225</v>
      </c>
      <c r="C11" s="6" t="n">
        <v>193</v>
      </c>
      <c r="D11" s="6" t="n">
        <v>189</v>
      </c>
      <c r="E11" s="6" t="n">
        <v>95</v>
      </c>
      <c r="F11" s="6" t="n">
        <v>13</v>
      </c>
      <c r="G11" s="6" t="n">
        <v>715</v>
      </c>
      <c r="H11" s="6" t="n">
        <v>297</v>
      </c>
      <c r="I11" s="8" t="n">
        <v>467</v>
      </c>
      <c r="J11" s="8" t="n">
        <v>114.1</v>
      </c>
      <c r="K11" s="5" t="inlineStr">
        <is>
          <t>0.24x</t>
        </is>
      </c>
      <c r="L11" s="5" t="inlineStr">
        <is>
          <t>58.5%</t>
        </is>
      </c>
    </row>
    <row r="12" ht="20" customHeight="1">
      <c r="A12" s="63" t="inlineStr">
        <is>
          <t>Multi/Lifestyle</t>
        </is>
      </c>
      <c r="B12" s="15" t="n">
        <v>239</v>
      </c>
      <c r="C12" s="15" t="n">
        <v>223</v>
      </c>
      <c r="D12" s="15" t="n">
        <v>390</v>
      </c>
      <c r="E12" s="15" t="n">
        <v>531</v>
      </c>
      <c r="F12" s="15" t="n">
        <v>37</v>
      </c>
      <c r="G12" s="15" t="n">
        <v>1420</v>
      </c>
      <c r="H12" s="101" t="n">
        <v>958</v>
      </c>
      <c r="I12" s="17" t="n">
        <v>6730</v>
      </c>
      <c r="J12" s="155" t="n">
        <v>3410.8</v>
      </c>
      <c r="K12" s="14" t="inlineStr">
        <is>
          <t>0.51x</t>
        </is>
      </c>
      <c r="L12" s="71" t="inlineStr">
        <is>
          <t>32.5%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E7490"/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4" customWidth="1" min="4" max="4"/>
    <col width="12" customWidth="1" min="5" max="5"/>
    <col width="16" customWidth="1" min="6" max="6"/>
  </cols>
  <sheetData>
    <row r="1" ht="30" customHeight="1">
      <c r="A1" s="156" t="inlineStr">
        <is>
          <t>EX-13  WHITE SPACE OPPORTUNITY — Revenue-Weighted Priority Map</t>
        </is>
      </c>
    </row>
    <row r="4" ht="24" customHeight="1">
      <c r="A4" s="3" t="inlineStr">
        <is>
          <t>Priority</t>
        </is>
      </c>
      <c r="B4" s="3" t="inlineStr">
        <is>
          <t>Description</t>
        </is>
      </c>
      <c r="C4" s="3" t="inlineStr">
        <is>
          <t>Revenue Potential</t>
        </is>
      </c>
      <c r="D4" s="3" t="inlineStr">
        <is>
          <t>Examples</t>
        </is>
      </c>
    </row>
    <row r="5" ht="26" customHeight="1">
      <c r="A5" s="157" t="inlineStr">
        <is>
          <t>🟢 HIGH: T2 Underserved</t>
        </is>
      </c>
      <c r="B5" s="158" t="inlineStr">
        <is>
          <t>T2 cities with &lt;5 stores but high income</t>
        </is>
      </c>
      <c r="C5" s="23" t="inlineStr">
        <is>
          <t>₹5-15 Cr wallet/pin</t>
        </is>
      </c>
      <c r="D5" s="72" t="inlineStr">
        <is>
          <t>Jodhpur, Udaipur, Rajkot cluster</t>
        </is>
      </c>
      <c r="E5" s="51" t="n"/>
      <c r="F5" s="51" t="n"/>
      <c r="G5" s="51" t="n"/>
      <c r="H5" s="52" t="n"/>
    </row>
    <row r="6" ht="26" customHeight="1">
      <c r="A6" s="159" t="inlineStr">
        <is>
          <t>🟡 MEDIUM: T3 Near-T2</t>
        </is>
      </c>
      <c r="B6" s="160" t="inlineStr">
        <is>
          <t>T3 cities near T1 — VF present, Premium absent</t>
        </is>
      </c>
      <c r="C6" s="161" t="inlineStr">
        <is>
          <t>₹3-8 Cr wallet/pin</t>
        </is>
      </c>
      <c r="D6" s="162" t="inlineStr">
        <is>
          <t>District HQs near T1 cities</t>
        </is>
      </c>
      <c r="E6" s="51" t="n"/>
      <c r="F6" s="51" t="n"/>
      <c r="G6" s="51" t="n"/>
      <c r="H6" s="52" t="n"/>
    </row>
    <row r="7" ht="26" customHeight="1">
      <c r="A7" s="163" t="inlineStr">
        <is>
          <t>🔵 LONG: T3 Greenfield</t>
        </is>
      </c>
      <c r="B7" s="164" t="inlineStr">
        <is>
          <t>Zero organised — 5-10yr option value</t>
        </is>
      </c>
      <c r="C7" s="79" t="inlineStr">
        <is>
          <t>688 zero T3 pincodes</t>
        </is>
      </c>
      <c r="D7" s="80" t="inlineStr">
        <is>
          <t>~322 districts, bulk of 15k zeros</t>
        </is>
      </c>
      <c r="E7" s="51" t="n"/>
      <c r="F7" s="51" t="n"/>
      <c r="G7" s="51" t="n"/>
      <c r="H7" s="52" t="n"/>
    </row>
    <row r="8" ht="26" customHeight="1">
      <c r="A8" s="165" t="inlineStr">
        <is>
          <t>🔴 AVOID: Metro Saturated</t>
        </is>
      </c>
      <c r="B8" s="166" t="inlineStr">
        <is>
          <t>5+ brands, Premium-heavy pincodes</t>
        </is>
      </c>
      <c r="C8" s="91" t="inlineStr">
        <is>
          <t>Negative ROI for new entrants</t>
        </is>
      </c>
      <c r="D8" s="92" t="inlineStr">
        <is>
          <t>South Mumbai, CP Delhi, Koregaon Park</t>
        </is>
      </c>
      <c r="E8" s="51" t="n"/>
      <c r="F8" s="51" t="n"/>
      <c r="G8" s="51" t="n"/>
      <c r="H8" s="52" t="n"/>
    </row>
    <row r="11" ht="20" customHeight="1">
      <c r="A11" s="38" t="inlineStr">
        <is>
          <t>TOP UNDERSERVED T2 CITIES — Low Stores, Revenue Whitespace</t>
        </is>
      </c>
    </row>
    <row r="12" ht="24" customHeight="1">
      <c r="A12" s="39" t="inlineStr">
        <is>
          <t>Rank</t>
        </is>
      </c>
      <c r="B12" s="39" t="inlineStr">
        <is>
          <t>City</t>
        </is>
      </c>
      <c r="C12" s="39" t="inlineStr">
        <is>
          <t>Stores</t>
        </is>
      </c>
      <c r="D12" s="39" t="inlineStr">
        <is>
          <t>Revenue (₹Cr)</t>
        </is>
      </c>
      <c r="E12" s="39" t="inlineStr">
        <is>
          <t>Rev/Pin</t>
        </is>
      </c>
      <c r="F12" s="39" t="inlineStr">
        <is>
          <t>Whitespace Score</t>
        </is>
      </c>
    </row>
    <row r="13" ht="16" customHeight="1">
      <c r="A13" s="5" t="n">
        <v>1</v>
      </c>
      <c r="B13" s="127" t="inlineStr">
        <is>
          <t>Wapi</t>
        </is>
      </c>
      <c r="C13" s="6" t="n">
        <v>1</v>
      </c>
      <c r="D13" s="8" t="n">
        <v>10</v>
      </c>
      <c r="E13" s="10" t="n">
        <v>10</v>
      </c>
      <c r="F13" s="71" t="n">
        <v>500</v>
      </c>
    </row>
    <row r="14" ht="16" customHeight="1">
      <c r="A14" s="14" t="n">
        <v>2</v>
      </c>
      <c r="B14" s="128" t="inlineStr">
        <is>
          <t>Silvassa</t>
        </is>
      </c>
      <c r="C14" s="15" t="n">
        <v>2</v>
      </c>
      <c r="D14" s="17" t="n">
        <v>1.8</v>
      </c>
      <c r="E14" s="19" t="n">
        <v>1.8</v>
      </c>
      <c r="F14" s="71" t="n">
        <v>333</v>
      </c>
    </row>
    <row r="15" ht="16" customHeight="1">
      <c r="A15" s="5" t="n">
        <v>3</v>
      </c>
      <c r="B15" s="127" t="inlineStr">
        <is>
          <t>Barmer</t>
        </is>
      </c>
      <c r="C15" s="6" t="n">
        <v>11</v>
      </c>
      <c r="D15" s="8" t="n">
        <v>30.6</v>
      </c>
      <c r="E15" s="10" t="n">
        <v>15.3</v>
      </c>
      <c r="F15" s="71" t="n">
        <v>83</v>
      </c>
    </row>
    <row r="16" ht="16" customHeight="1">
      <c r="A16" s="14" t="n">
        <v>4</v>
      </c>
      <c r="B16" s="128" t="inlineStr">
        <is>
          <t>Raj-Nandgaon</t>
        </is>
      </c>
      <c r="C16" s="15" t="n">
        <v>11</v>
      </c>
      <c r="D16" s="17" t="n">
        <v>20.1</v>
      </c>
      <c r="E16" s="19" t="n">
        <v>10.1</v>
      </c>
      <c r="F16" s="71" t="n">
        <v>83</v>
      </c>
    </row>
    <row r="17" ht="16" customHeight="1">
      <c r="A17" s="5" t="n">
        <v>5</v>
      </c>
      <c r="B17" s="127" t="inlineStr">
        <is>
          <t>Jalna</t>
        </is>
      </c>
      <c r="C17" s="6" t="n">
        <v>12</v>
      </c>
      <c r="D17" s="8" t="n">
        <v>33.6</v>
      </c>
      <c r="E17" s="10" t="n">
        <v>11.2</v>
      </c>
      <c r="F17" s="71" t="n">
        <v>77</v>
      </c>
    </row>
    <row r="18" ht="16" customHeight="1">
      <c r="A18" s="14" t="n">
        <v>6</v>
      </c>
      <c r="B18" s="128" t="inlineStr">
        <is>
          <t>Korba</t>
        </is>
      </c>
      <c r="C18" s="15" t="n">
        <v>14</v>
      </c>
      <c r="D18" s="17" t="n">
        <v>43.5</v>
      </c>
      <c r="E18" s="19" t="n">
        <v>21.8</v>
      </c>
      <c r="F18" s="71" t="n">
        <v>67</v>
      </c>
    </row>
    <row r="19" ht="16" customHeight="1">
      <c r="A19" s="5" t="n">
        <v>7</v>
      </c>
      <c r="B19" s="127" t="inlineStr">
        <is>
          <t>Dumka</t>
        </is>
      </c>
      <c r="C19" s="6" t="n">
        <v>14</v>
      </c>
      <c r="D19" s="8" t="n">
        <v>58.8</v>
      </c>
      <c r="E19" s="10" t="n">
        <v>29.4</v>
      </c>
      <c r="F19" s="71" t="n">
        <v>67</v>
      </c>
    </row>
    <row r="20" ht="16" customHeight="1">
      <c r="A20" s="14" t="n">
        <v>8</v>
      </c>
      <c r="B20" s="128" t="inlineStr">
        <is>
          <t>Pali</t>
        </is>
      </c>
      <c r="C20" s="15" t="n">
        <v>15</v>
      </c>
      <c r="D20" s="17" t="n">
        <v>26.8</v>
      </c>
      <c r="E20" s="19" t="n">
        <v>13.4</v>
      </c>
      <c r="F20" s="71" t="n">
        <v>62</v>
      </c>
    </row>
    <row r="21" ht="16" customHeight="1">
      <c r="A21" s="5" t="n">
        <v>9</v>
      </c>
      <c r="B21" s="127" t="inlineStr">
        <is>
          <t>Mainpuri</t>
        </is>
      </c>
      <c r="C21" s="6" t="n">
        <v>16</v>
      </c>
      <c r="D21" s="8" t="n">
        <v>59.2</v>
      </c>
      <c r="E21" s="10" t="n">
        <v>29.6</v>
      </c>
      <c r="F21" s="71" t="n">
        <v>59</v>
      </c>
    </row>
    <row r="22" ht="16" customHeight="1">
      <c r="A22" s="14" t="n">
        <v>10</v>
      </c>
      <c r="B22" s="128" t="inlineStr">
        <is>
          <t>Raigarh</t>
        </is>
      </c>
      <c r="C22" s="15" t="n">
        <v>17</v>
      </c>
      <c r="D22" s="17" t="n">
        <v>55.2</v>
      </c>
      <c r="E22" s="19" t="n">
        <v>27.6</v>
      </c>
      <c r="F22" s="71" t="n">
        <v>56</v>
      </c>
    </row>
    <row r="23" ht="16" customHeight="1">
      <c r="A23" s="5" t="n">
        <v>11</v>
      </c>
      <c r="B23" s="127" t="inlineStr">
        <is>
          <t>Unnao</t>
        </is>
      </c>
      <c r="C23" s="6" t="n">
        <v>17</v>
      </c>
      <c r="D23" s="8" t="n">
        <v>46.3</v>
      </c>
      <c r="E23" s="10" t="n">
        <v>15.4</v>
      </c>
      <c r="F23" s="71" t="n">
        <v>56</v>
      </c>
    </row>
    <row r="24" ht="16" customHeight="1">
      <c r="A24" s="14" t="n">
        <v>12</v>
      </c>
      <c r="B24" s="128" t="inlineStr">
        <is>
          <t>Guna</t>
        </is>
      </c>
      <c r="C24" s="15" t="n">
        <v>17</v>
      </c>
      <c r="D24" s="17" t="n">
        <v>52.3</v>
      </c>
      <c r="E24" s="19" t="n">
        <v>52.3</v>
      </c>
      <c r="F24" s="71" t="n">
        <v>56</v>
      </c>
    </row>
    <row r="25" ht="16" customHeight="1">
      <c r="A25" s="5" t="n">
        <v>13</v>
      </c>
      <c r="B25" s="127" t="inlineStr">
        <is>
          <t>Kaithal</t>
        </is>
      </c>
      <c r="C25" s="6" t="n">
        <v>18</v>
      </c>
      <c r="D25" s="8" t="n">
        <v>29.2</v>
      </c>
      <c r="E25" s="10" t="n">
        <v>7.3</v>
      </c>
      <c r="F25" s="71" t="n">
        <v>53</v>
      </c>
    </row>
    <row r="26" ht="16" customHeight="1">
      <c r="A26" s="14" t="n">
        <v>14</v>
      </c>
      <c r="B26" s="128" t="inlineStr">
        <is>
          <t>Kasganj</t>
        </is>
      </c>
      <c r="C26" s="15" t="n">
        <v>19</v>
      </c>
      <c r="D26" s="17" t="n">
        <v>54.1</v>
      </c>
      <c r="E26" s="19" t="n">
        <v>18</v>
      </c>
      <c r="F26" s="71" t="n">
        <v>50</v>
      </c>
    </row>
    <row r="27" ht="16" customHeight="1">
      <c r="A27" s="5" t="n">
        <v>15</v>
      </c>
      <c r="B27" s="127" t="inlineStr">
        <is>
          <t>Ghazipur</t>
        </is>
      </c>
      <c r="C27" s="6" t="n">
        <v>20</v>
      </c>
      <c r="D27" s="8" t="n">
        <v>71.2</v>
      </c>
      <c r="E27" s="10" t="n">
        <v>17.8</v>
      </c>
      <c r="F27" s="167" t="n">
        <v>48</v>
      </c>
    </row>
    <row r="28" ht="16" customHeight="1">
      <c r="A28" s="14" t="n">
        <v>16</v>
      </c>
      <c r="B28" s="128" t="inlineStr">
        <is>
          <t>Araria</t>
        </is>
      </c>
      <c r="C28" s="15" t="n">
        <v>21</v>
      </c>
      <c r="D28" s="17" t="n">
        <v>83</v>
      </c>
      <c r="E28" s="19" t="n">
        <v>16.6</v>
      </c>
      <c r="F28" s="167" t="n">
        <v>45</v>
      </c>
    </row>
    <row r="29" ht="16" customHeight="1">
      <c r="A29" s="5" t="n">
        <v>17</v>
      </c>
      <c r="B29" s="127" t="inlineStr">
        <is>
          <t>Pilibhit</t>
        </is>
      </c>
      <c r="C29" s="6" t="n">
        <v>22</v>
      </c>
      <c r="D29" s="8" t="n">
        <v>83.8</v>
      </c>
      <c r="E29" s="10" t="n">
        <v>27.9</v>
      </c>
      <c r="F29" s="167" t="n">
        <v>43</v>
      </c>
    </row>
    <row r="30" ht="16" customHeight="1">
      <c r="A30" s="14" t="n">
        <v>18</v>
      </c>
      <c r="B30" s="128" t="inlineStr">
        <is>
          <t>Puri</t>
        </is>
      </c>
      <c r="C30" s="15" t="n">
        <v>24</v>
      </c>
      <c r="D30" s="17" t="n">
        <v>116.7</v>
      </c>
      <c r="E30" s="19" t="n">
        <v>23.3</v>
      </c>
      <c r="F30" s="167" t="n">
        <v>40</v>
      </c>
    </row>
    <row r="31" ht="16" customHeight="1">
      <c r="A31" s="5" t="n">
        <v>19</v>
      </c>
      <c r="B31" s="127" t="inlineStr">
        <is>
          <t>Etawah</t>
        </is>
      </c>
      <c r="C31" s="6" t="n">
        <v>25</v>
      </c>
      <c r="D31" s="8" t="n">
        <v>67.90000000000001</v>
      </c>
      <c r="E31" s="10" t="n">
        <v>22.6</v>
      </c>
      <c r="F31" s="167" t="n">
        <v>38</v>
      </c>
    </row>
    <row r="32" ht="16" customHeight="1">
      <c r="A32" s="14" t="n">
        <v>20</v>
      </c>
      <c r="B32" s="128" t="inlineStr">
        <is>
          <t>Banda</t>
        </is>
      </c>
      <c r="C32" s="15" t="n">
        <v>26</v>
      </c>
      <c r="D32" s="17" t="n">
        <v>70.8</v>
      </c>
      <c r="E32" s="19" t="n">
        <v>10.1</v>
      </c>
      <c r="F32" s="167" t="n">
        <v>37</v>
      </c>
    </row>
  </sheetData>
  <mergeCells count="6">
    <mergeCell ref="A1:J1"/>
    <mergeCell ref="D7:H7"/>
    <mergeCell ref="D8:H8"/>
    <mergeCell ref="D6:H6"/>
    <mergeCell ref="D5:H5"/>
    <mergeCell ref="A11:J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D1B2E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34" customHeight="1">
      <c r="A1" s="168" t="inlineStr">
        <is>
          <t>EX-14  BERNSTEIN INVESTOR NARRATIVE — Revenue-Validated Pitch</t>
        </is>
      </c>
    </row>
    <row r="3" ht="26" customHeight="1">
      <c r="A3" s="169" t="inlineStr">
        <is>
          <t>ONE-LINE THESIS</t>
        </is>
      </c>
    </row>
    <row r="4" ht="64" customHeight="1">
      <c r="A4" s="170" t="inlineStr">
        <is>
          <t>India's ₹90,546 Cr organised apparel story is not penetration — it is TIER CONVERGENCE. Metro crowded at ₹34.9 Cr/pin. T2 at ₹19.4 Cr/pin is the benchmark. T3 at ₹15 Cr/pin is the decade-long option. China 2003 analog → 8-12% CAGR for multi-tier leaders.</t>
        </is>
      </c>
    </row>
    <row r="6" ht="26" customHeight="1">
      <c r="A6" s="171" t="inlineStr">
        <is>
          <t>SIGNAL 1 — METRO SATURATING (₹21,311 Cr, 611 pins)</t>
        </is>
      </c>
    </row>
    <row r="7" ht="64" customHeight="1">
      <c r="A7" s="170" t="inlineStr">
        <is>
          <t>₹34.9 Cr/pin. Premium = 28.8% Metro stores, ₹2,324 Cr. 5+ brands compete in 37% of premium pincodes. Revenue-per-store getting split. Incremental Metro openings face diminishing returns — wrong capex allocation.</t>
        </is>
      </c>
    </row>
    <row r="9" ht="26" customHeight="1">
      <c r="A9" s="172" t="inlineStr">
        <is>
          <t>SIGNAL 2 — T2 = SCALE + RUNWAY (₹27,785 Cr, 1,429 pins)</t>
        </is>
      </c>
    </row>
    <row r="10" ht="64" customHeight="1">
      <c r="A10" s="170" t="inlineStr">
        <is>
          <t>Most stores (9,518) + most revenue (₹27,785 Cr) — yet ₹19.4 Cr/pin vs Metro ₹34.9 Cr/pin. 44% under-monetised per pincode. 147 cities. First-mover window is 2-4 years. Revenue density gap IS the investment thesis.</t>
        </is>
      </c>
    </row>
    <row r="12" ht="26" customHeight="1">
      <c r="A12" s="173" t="inlineStr">
        <is>
          <t>SIGNAL 3 — ZUDIO 3,000+ STORES: DATA VALIDATED (₹27,100 Cr UPSIDE)</t>
        </is>
      </c>
    </row>
    <row r="13" ht="64" customHeight="1">
      <c r="A13" s="170" t="inlineStr">
        <is>
          <t>FY26 = ₹8,148 Cr, ₹8.46 Cr/store. 2,135 T2+T3 pincodes untouched. At 1.5 stores/pin × ₹8.46 Cr = ₹27,100 Cr. Management 3,000+ target is CONSERVATIVE when validated against pincode math.</t>
        </is>
      </c>
    </row>
    <row r="15" ht="26" customHeight="1">
      <c r="A15" s="171" t="inlineStr">
        <is>
          <t>SIGNAL 4 — WOMEN'S WEAR: ₹944 Cr T3 vs ₹3,195 Cr METRO</t>
        </is>
      </c>
    </row>
    <row r="16" ht="64" customHeight="1">
      <c r="A16" s="170" t="inlineStr">
        <is>
          <t>38% women's wallet in T3 HH spend is almost entirely unorganised. Revenue gap 3.4×. Go Colors: ₹609 Cr, 473 moat pins — no T3 WW competitor. Category revenue runway is 5-10× current organised base.</t>
        </is>
      </c>
    </row>
    <row r="18" ht="26" customHeight="1">
      <c r="A18" s="174" t="inlineStr">
        <is>
          <t>SIGNAL 5 — MULTI-TIER LEADERS IDENTIFIABLE (Revenue Moat)</t>
        </is>
      </c>
    </row>
    <row r="19" ht="64" customHeight="1">
      <c r="A19" s="170" t="inlineStr">
        <is>
          <t>Reliance Trends 792 VF moat pins, Bata 552 footwear moat, Jockey 706 activewear moat. These three generate more T2+ revenue than their next 10 competitors combined. The revenue moat is structural — takes 3-5 years to replicate.</t>
        </is>
      </c>
    </row>
    <row r="21" ht="26" customHeight="1">
      <c r="A21" s="173" t="inlineStr">
        <is>
          <t>SIGNAL 6 — CHINA 2003 → T3 CONVERGENCE = DECADE ALPHA</t>
        </is>
      </c>
    </row>
    <row r="22" ht="64" customHeight="1">
      <c r="A22" s="170" t="inlineStr">
        <is>
          <t>India T3 at ₹15 Cr/pin = China 2003. If T3 converges to T2 (₹19.4 Cr/pin): 1,285 pins × ₹4.4 Cr uplift = ₹5,654 Cr incremental revenue on current active pins alone. Plus 688 zero-pincodes activating adds ₹8,000-12,000 Cr over 10 years.</t>
        </is>
      </c>
    </row>
  </sheetData>
  <mergeCells count="15">
    <mergeCell ref="A9:H9"/>
    <mergeCell ref="A4:H4"/>
    <mergeCell ref="A1:J1"/>
    <mergeCell ref="A3:H3"/>
    <mergeCell ref="A12:H12"/>
    <mergeCell ref="A18:H18"/>
    <mergeCell ref="A21:H21"/>
    <mergeCell ref="A15:H15"/>
    <mergeCell ref="A7:H7"/>
    <mergeCell ref="A16:H16"/>
    <mergeCell ref="A10:H10"/>
    <mergeCell ref="A13:H13"/>
    <mergeCell ref="A19:H19"/>
    <mergeCell ref="A6:H6"/>
    <mergeCell ref="A22:H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74151"/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75" t="inlineStr">
        <is>
          <t>⚙️ DATA — Master Source Table  |  Update here → all exhibits auto-refresh via formulas</t>
        </is>
      </c>
    </row>
    <row r="3" ht="18" customHeight="1">
      <c r="A3" s="176" t="inlineStr">
        <is>
          <t>A — TIER SUMMARY</t>
        </is>
      </c>
    </row>
    <row r="4" ht="22" customHeight="1">
      <c r="A4" s="3" t="inlineStr">
        <is>
          <t>Tier</t>
        </is>
      </c>
      <c r="B4" s="3" t="inlineStr">
        <is>
          <t>Label</t>
        </is>
      </c>
      <c r="C4" s="3" t="inlineStr">
        <is>
          <t>Stores</t>
        </is>
      </c>
      <c r="D4" s="3" t="inlineStr">
        <is>
          <t>Revenue_Cr</t>
        </is>
      </c>
      <c r="E4" s="3" t="inlineStr">
        <is>
          <t>Active_Pins</t>
        </is>
      </c>
      <c r="F4" s="3" t="inlineStr">
        <is>
          <t>SPP</t>
        </is>
      </c>
      <c r="G4" s="3" t="inlineStr">
        <is>
          <t>Rev_per_Store</t>
        </is>
      </c>
      <c r="H4" s="3" t="inlineStr">
        <is>
          <t>Rev_per_Pin</t>
        </is>
      </c>
      <c r="I4" s="3" t="inlineStr">
        <is>
          <t>Stores_%</t>
        </is>
      </c>
    </row>
    <row r="5" ht="18" customHeight="1">
      <c r="A5" s="177" t="inlineStr">
        <is>
          <t>Metro</t>
        </is>
      </c>
      <c r="B5" s="5" t="inlineStr">
        <is>
          <t>Mega Metro</t>
        </is>
      </c>
      <c r="C5" s="6" t="n">
        <v>8002</v>
      </c>
      <c r="D5" s="8" t="n">
        <v>21310.5</v>
      </c>
      <c r="E5" s="6" t="n">
        <v>611</v>
      </c>
      <c r="F5" s="11" t="n">
        <v>13.1</v>
      </c>
      <c r="G5" s="11" t="n">
        <v>2.66</v>
      </c>
      <c r="H5" s="11" t="n">
        <v>34.88</v>
      </c>
      <c r="I5" s="7">
        <f>C5/C10</f>
        <v/>
      </c>
    </row>
    <row r="6" ht="18" customHeight="1">
      <c r="A6" s="178" t="inlineStr">
        <is>
          <t>T1</t>
        </is>
      </c>
      <c r="B6" s="14" t="inlineStr">
        <is>
          <t>Tier 1 City</t>
        </is>
      </c>
      <c r="C6" s="15" t="n">
        <v>7340</v>
      </c>
      <c r="D6" s="17" t="n">
        <v>19039.1</v>
      </c>
      <c r="E6" s="15" t="n">
        <v>679</v>
      </c>
      <c r="F6" s="20" t="n">
        <v>10.81</v>
      </c>
      <c r="G6" s="20" t="n">
        <v>2.59</v>
      </c>
      <c r="H6" s="20" t="n">
        <v>28.04</v>
      </c>
      <c r="I6" s="16">
        <f>C6/C10</f>
        <v/>
      </c>
    </row>
    <row r="7" ht="18" customHeight="1">
      <c r="A7" s="179" t="inlineStr">
        <is>
          <t>T2</t>
        </is>
      </c>
      <c r="B7" s="5" t="inlineStr">
        <is>
          <t>Tier 2 City</t>
        </is>
      </c>
      <c r="C7" s="6" t="n">
        <v>9518</v>
      </c>
      <c r="D7" s="8" t="n">
        <v>27785.4</v>
      </c>
      <c r="E7" s="6" t="n">
        <v>1429</v>
      </c>
      <c r="F7" s="11" t="n">
        <v>6.66</v>
      </c>
      <c r="G7" s="11" t="n">
        <v>2.92</v>
      </c>
      <c r="H7" s="11" t="n">
        <v>19.44</v>
      </c>
      <c r="I7" s="7">
        <f>C7/C10</f>
        <v/>
      </c>
    </row>
    <row r="8" ht="18" customHeight="1">
      <c r="A8" s="180" t="inlineStr">
        <is>
          <t>T3</t>
        </is>
      </c>
      <c r="B8" s="14" t="inlineStr">
        <is>
          <t>Tier 3 Town</t>
        </is>
      </c>
      <c r="C8" s="15" t="n">
        <v>5963</v>
      </c>
      <c r="D8" s="17" t="n">
        <v>19289.1</v>
      </c>
      <c r="E8" s="15" t="n">
        <v>1285</v>
      </c>
      <c r="F8" s="20" t="n">
        <v>4.64</v>
      </c>
      <c r="G8" s="20" t="n">
        <v>3.23</v>
      </c>
      <c r="H8" s="20" t="n">
        <v>15.01</v>
      </c>
      <c r="I8" s="16">
        <f>C8/C10</f>
        <v/>
      </c>
    </row>
    <row r="9" ht="18" customHeight="1">
      <c r="A9" s="181" t="inlineStr">
        <is>
          <t>T4</t>
        </is>
      </c>
      <c r="B9" s="5" t="inlineStr">
        <is>
          <t>Tier 4 Micro</t>
        </is>
      </c>
      <c r="C9" s="6" t="n">
        <v>990</v>
      </c>
      <c r="D9" s="8" t="n">
        <v>3122.2</v>
      </c>
      <c r="E9" s="6" t="n">
        <v>140</v>
      </c>
      <c r="F9" s="11" t="n">
        <v>7.07</v>
      </c>
      <c r="G9" s="11" t="n">
        <v>3.15</v>
      </c>
      <c r="H9" s="11" t="n">
        <v>22.3</v>
      </c>
      <c r="I9" s="7">
        <f>C9/C10</f>
        <v/>
      </c>
    </row>
    <row r="10" ht="20" customHeight="1">
      <c r="A10" s="182" t="inlineStr">
        <is>
          <t>TOTAL</t>
        </is>
      </c>
      <c r="B10" s="27" t="inlineStr">
        <is>
          <t>All India</t>
        </is>
      </c>
      <c r="C10" s="28">
        <f>SUM(C5:C9)</f>
        <v/>
      </c>
      <c r="D10" s="29">
        <f>SUM(D5:D9)</f>
        <v/>
      </c>
      <c r="E10" s="28">
        <f>SUM(E5:E9)</f>
        <v/>
      </c>
      <c r="F10" s="183">
        <f>C10/E10</f>
        <v/>
      </c>
      <c r="G10" s="183">
        <f>D10/C10</f>
        <v/>
      </c>
      <c r="H10" s="183">
        <f>D10/E10</f>
        <v/>
      </c>
      <c r="I10" s="26" t="inlineStr">
        <is>
          <t>100.0%</t>
        </is>
      </c>
    </row>
    <row r="12" ht="18" customHeight="1">
      <c r="A12" s="184" t="inlineStr">
        <is>
          <t>B — STORES by Tier × Segment</t>
        </is>
      </c>
    </row>
    <row r="13" ht="24" customHeight="1">
      <c r="A13" s="39" t="inlineStr">
        <is>
          <t>Tier</t>
        </is>
      </c>
      <c r="B13" s="39" t="inlineStr">
        <is>
          <t>Value Fashion</t>
        </is>
      </c>
      <c r="C13" s="39" t="inlineStr">
        <is>
          <t>Premium Menswear</t>
        </is>
      </c>
      <c r="D13" s="39" t="inlineStr">
        <is>
          <t>Mid Menswear</t>
        </is>
      </c>
      <c r="E13" s="39" t="inlineStr">
        <is>
          <t>Footwear</t>
        </is>
      </c>
      <c r="F13" s="39" t="inlineStr">
        <is>
          <t>Activewear</t>
        </is>
      </c>
      <c r="G13" s="39" t="inlineStr">
        <is>
          <t>Women's Ethnic</t>
        </is>
      </c>
      <c r="H13" s="39" t="inlineStr">
        <is>
          <t>Women's Western</t>
        </is>
      </c>
      <c r="I13" s="39" t="inlineStr">
        <is>
          <t>Multi/Lifestyle</t>
        </is>
      </c>
      <c r="J13" s="39" t="inlineStr">
        <is>
          <t>TOTAL</t>
        </is>
      </c>
    </row>
    <row r="14" ht="18" customHeight="1">
      <c r="A14" s="177" t="inlineStr">
        <is>
          <t>Metro</t>
        </is>
      </c>
      <c r="B14" s="15" t="n">
        <v>1234</v>
      </c>
      <c r="C14" s="15" t="n">
        <v>1867</v>
      </c>
      <c r="D14" s="15" t="n">
        <v>835</v>
      </c>
      <c r="E14" s="15" t="n">
        <v>1400</v>
      </c>
      <c r="F14" s="15" t="n">
        <v>953</v>
      </c>
      <c r="G14" s="15" t="n">
        <v>732</v>
      </c>
      <c r="H14" s="15" t="n">
        <v>467</v>
      </c>
      <c r="I14" s="15" t="n">
        <v>514</v>
      </c>
      <c r="J14" s="33">
        <f>SUM(B14:I14)</f>
        <v/>
      </c>
    </row>
    <row r="15" ht="18" customHeight="1">
      <c r="A15" s="178" t="inlineStr">
        <is>
          <t>T1</t>
        </is>
      </c>
      <c r="B15" s="6" t="n">
        <v>1403</v>
      </c>
      <c r="C15" s="6" t="n">
        <v>1672</v>
      </c>
      <c r="D15" s="6" t="n">
        <v>867</v>
      </c>
      <c r="E15" s="6" t="n">
        <v>1171</v>
      </c>
      <c r="F15" s="6" t="n">
        <v>880</v>
      </c>
      <c r="G15" s="6" t="n">
        <v>561</v>
      </c>
      <c r="H15" s="6" t="n">
        <v>379</v>
      </c>
      <c r="I15" s="6" t="n">
        <v>407</v>
      </c>
      <c r="J15" s="34">
        <f>SUM(B15:I15)</f>
        <v/>
      </c>
    </row>
    <row r="16" ht="18" customHeight="1">
      <c r="A16" s="179" t="inlineStr">
        <is>
          <t>T2</t>
        </is>
      </c>
      <c r="B16" s="15" t="n">
        <v>2269</v>
      </c>
      <c r="C16" s="15" t="n">
        <v>1946</v>
      </c>
      <c r="D16" s="15" t="n">
        <v>1337</v>
      </c>
      <c r="E16" s="15" t="n">
        <v>1563</v>
      </c>
      <c r="F16" s="15" t="n">
        <v>981</v>
      </c>
      <c r="G16" s="15" t="n">
        <v>546</v>
      </c>
      <c r="H16" s="15" t="n">
        <v>329</v>
      </c>
      <c r="I16" s="15" t="n">
        <v>547</v>
      </c>
      <c r="J16" s="35">
        <f>SUM(B16:I16)</f>
        <v/>
      </c>
    </row>
    <row r="17" ht="18" customHeight="1">
      <c r="A17" s="180" t="inlineStr">
        <is>
          <t>T3</t>
        </is>
      </c>
      <c r="B17" s="6" t="n">
        <v>1751</v>
      </c>
      <c r="C17" s="6" t="n">
        <v>837</v>
      </c>
      <c r="D17" s="6" t="n">
        <v>981</v>
      </c>
      <c r="E17" s="6" t="n">
        <v>945</v>
      </c>
      <c r="F17" s="6" t="n">
        <v>479</v>
      </c>
      <c r="G17" s="6" t="n">
        <v>196</v>
      </c>
      <c r="H17" s="6" t="n">
        <v>123</v>
      </c>
      <c r="I17" s="6" t="n">
        <v>651</v>
      </c>
      <c r="J17" s="36">
        <f>SUM(B17:I17)</f>
        <v/>
      </c>
    </row>
    <row r="18" ht="18" customHeight="1">
      <c r="A18" s="181" t="inlineStr">
        <is>
          <t>T4</t>
        </is>
      </c>
      <c r="B18" s="15" t="n">
        <v>250</v>
      </c>
      <c r="C18" s="15" t="n">
        <v>153</v>
      </c>
      <c r="D18" s="15" t="n">
        <v>178</v>
      </c>
      <c r="E18" s="15" t="n">
        <v>180</v>
      </c>
      <c r="F18" s="15" t="n">
        <v>92</v>
      </c>
      <c r="G18" s="15" t="n">
        <v>52</v>
      </c>
      <c r="H18" s="15" t="n">
        <v>30</v>
      </c>
      <c r="I18" s="15" t="n">
        <v>55</v>
      </c>
      <c r="J18" s="37">
        <f>SUM(B18:I18)</f>
        <v/>
      </c>
    </row>
    <row r="19" ht="20" customHeight="1">
      <c r="A19" s="182" t="inlineStr">
        <is>
          <t>TOTAL</t>
        </is>
      </c>
      <c r="B19" s="28">
        <f>SUM(B14:B18)</f>
        <v/>
      </c>
      <c r="C19" s="28">
        <f>SUM(C14:C18)</f>
        <v/>
      </c>
      <c r="D19" s="28">
        <f>SUM(D14:D18)</f>
        <v/>
      </c>
      <c r="E19" s="28">
        <f>SUM(E14:E18)</f>
        <v/>
      </c>
      <c r="F19" s="28">
        <f>SUM(F14:F18)</f>
        <v/>
      </c>
      <c r="G19" s="28">
        <f>SUM(G14:G18)</f>
        <v/>
      </c>
      <c r="H19" s="28">
        <f>SUM(H14:H18)</f>
        <v/>
      </c>
      <c r="I19" s="28">
        <f>SUM(I14:I18)</f>
        <v/>
      </c>
      <c r="J19" s="28">
        <f>SUM(J14:J18)</f>
        <v/>
      </c>
    </row>
    <row r="21" ht="18" customHeight="1">
      <c r="A21" s="185" t="inlineStr">
        <is>
          <t>C — REVENUE by Tier × Segment (₹ Cr)</t>
        </is>
      </c>
    </row>
    <row r="22" ht="24" customHeight="1">
      <c r="A22" s="41" t="inlineStr">
        <is>
          <t>Tier</t>
        </is>
      </c>
      <c r="B22" s="41" t="inlineStr">
        <is>
          <t>Value Fashion</t>
        </is>
      </c>
      <c r="C22" s="41" t="inlineStr">
        <is>
          <t>Premium Menswear</t>
        </is>
      </c>
      <c r="D22" s="41" t="inlineStr">
        <is>
          <t>Mid Menswear</t>
        </is>
      </c>
      <c r="E22" s="41" t="inlineStr">
        <is>
          <t>Footwear</t>
        </is>
      </c>
      <c r="F22" s="41" t="inlineStr">
        <is>
          <t>Activewear</t>
        </is>
      </c>
      <c r="G22" s="41" t="inlineStr">
        <is>
          <t>Women's Ethnic</t>
        </is>
      </c>
      <c r="H22" s="41" t="inlineStr">
        <is>
          <t>Women's Western</t>
        </is>
      </c>
      <c r="I22" s="41" t="inlineStr">
        <is>
          <t>Multi/Lifestyle</t>
        </is>
      </c>
      <c r="J22" s="41" t="inlineStr">
        <is>
          <t>TOTAL</t>
        </is>
      </c>
    </row>
    <row r="23" ht="18" customHeight="1">
      <c r="A23" s="177" t="inlineStr">
        <is>
          <t>Metro</t>
        </is>
      </c>
      <c r="B23" s="8" t="n">
        <v>6379.8</v>
      </c>
      <c r="C23" s="8" t="n">
        <v>2324</v>
      </c>
      <c r="D23" s="8" t="n">
        <v>598.4</v>
      </c>
      <c r="E23" s="8" t="n">
        <v>2446.3</v>
      </c>
      <c r="F23" s="8" t="n">
        <v>1605.5</v>
      </c>
      <c r="G23" s="8" t="n">
        <v>759.5</v>
      </c>
      <c r="H23" s="8" t="n">
        <v>467</v>
      </c>
      <c r="I23" s="8" t="n">
        <v>6730</v>
      </c>
      <c r="J23" s="42">
        <f>SUM(B23:I23)</f>
        <v/>
      </c>
    </row>
    <row r="24" ht="18" customHeight="1">
      <c r="A24" s="178" t="inlineStr">
        <is>
          <t>T1</t>
        </is>
      </c>
      <c r="B24" s="17" t="n">
        <v>7930.6</v>
      </c>
      <c r="C24" s="17" t="n">
        <v>1873.3</v>
      </c>
      <c r="D24" s="17" t="n">
        <v>756.1</v>
      </c>
      <c r="E24" s="17" t="n">
        <v>1985</v>
      </c>
      <c r="F24" s="17" t="n">
        <v>1074.6</v>
      </c>
      <c r="G24" s="17" t="n">
        <v>606.9</v>
      </c>
      <c r="H24" s="17" t="n">
        <v>362.7</v>
      </c>
      <c r="I24" s="17" t="n">
        <v>4450</v>
      </c>
      <c r="J24" s="43">
        <f>SUM(B24:I24)</f>
        <v/>
      </c>
    </row>
    <row r="25" ht="18" customHeight="1">
      <c r="A25" s="179" t="inlineStr">
        <is>
          <t>T2</t>
        </is>
      </c>
      <c r="B25" s="8" t="n">
        <v>14804.8</v>
      </c>
      <c r="C25" s="8" t="n">
        <v>1949</v>
      </c>
      <c r="D25" s="8" t="n">
        <v>1185.1</v>
      </c>
      <c r="E25" s="8" t="n">
        <v>2706.9</v>
      </c>
      <c r="F25" s="8" t="n">
        <v>961.1</v>
      </c>
      <c r="G25" s="8" t="n">
        <v>692.4</v>
      </c>
      <c r="H25" s="8" t="n">
        <v>307.1</v>
      </c>
      <c r="I25" s="8" t="n">
        <v>5178.9</v>
      </c>
      <c r="J25" s="44">
        <f>SUM(B25:I25)</f>
        <v/>
      </c>
    </row>
    <row r="26" ht="18" customHeight="1">
      <c r="A26" s="180" t="inlineStr">
        <is>
          <t>T3</t>
        </is>
      </c>
      <c r="B26" s="17" t="n">
        <v>11833.9</v>
      </c>
      <c r="C26" s="17" t="n">
        <v>691.2</v>
      </c>
      <c r="D26" s="17" t="n">
        <v>1155.1</v>
      </c>
      <c r="E26" s="17" t="n">
        <v>1439.1</v>
      </c>
      <c r="F26" s="17" t="n">
        <v>304.6</v>
      </c>
      <c r="G26" s="17" t="n">
        <v>340.3</v>
      </c>
      <c r="H26" s="17" t="n">
        <v>114.1</v>
      </c>
      <c r="I26" s="17" t="n">
        <v>3410.8</v>
      </c>
      <c r="J26" s="45">
        <f>SUM(B26:I26)</f>
        <v/>
      </c>
    </row>
    <row r="27" ht="18" customHeight="1">
      <c r="A27" s="181" t="inlineStr">
        <is>
          <t>T4</t>
        </is>
      </c>
      <c r="B27" s="8" t="n">
        <v>1596.2</v>
      </c>
      <c r="C27" s="8" t="n">
        <v>161.5</v>
      </c>
      <c r="D27" s="8" t="n">
        <v>290.9</v>
      </c>
      <c r="E27" s="8" t="n">
        <v>310.3</v>
      </c>
      <c r="F27" s="8" t="n">
        <v>92.59999999999999</v>
      </c>
      <c r="G27" s="8" t="n">
        <v>114.8</v>
      </c>
      <c r="H27" s="8" t="n">
        <v>32.9</v>
      </c>
      <c r="I27" s="8" t="n">
        <v>523.1</v>
      </c>
      <c r="J27" s="46">
        <f>SUM(B27:I27)</f>
        <v/>
      </c>
    </row>
    <row r="28" ht="20" customHeight="1">
      <c r="A28" s="182" t="inlineStr">
        <is>
          <t>TOTAL</t>
        </is>
      </c>
      <c r="B28" s="29">
        <f>SUM(B23:B27)</f>
        <v/>
      </c>
      <c r="C28" s="29">
        <f>SUM(C23:C27)</f>
        <v/>
      </c>
      <c r="D28" s="29">
        <f>SUM(D23:D27)</f>
        <v/>
      </c>
      <c r="E28" s="29">
        <f>SUM(E23:E27)</f>
        <v/>
      </c>
      <c r="F28" s="29">
        <f>SUM(F23:F27)</f>
        <v/>
      </c>
      <c r="G28" s="29">
        <f>SUM(G23:G27)</f>
        <v/>
      </c>
      <c r="H28" s="29">
        <f>SUM(H23:H27)</f>
        <v/>
      </c>
      <c r="I28" s="29">
        <f>SUM(I23:I27)</f>
        <v/>
      </c>
      <c r="J28" s="29">
        <f>SUM(J23:J27)</f>
        <v/>
      </c>
    </row>
    <row r="30" ht="18" customHeight="1">
      <c r="A30" s="186" t="inlineStr">
        <is>
          <t>D — SEGMENT % WITHIN TIER (formulas → Block B)</t>
        </is>
      </c>
    </row>
    <row r="31" ht="22" customHeight="1">
      <c r="A31" s="98" t="inlineStr">
        <is>
          <t>Tier</t>
        </is>
      </c>
      <c r="B31" s="98" t="inlineStr">
        <is>
          <t>Value Fashion</t>
        </is>
      </c>
      <c r="C31" s="98" t="inlineStr">
        <is>
          <t>Premium Menswear</t>
        </is>
      </c>
      <c r="D31" s="98" t="inlineStr">
        <is>
          <t>Mid Menswear</t>
        </is>
      </c>
      <c r="E31" s="98" t="inlineStr">
        <is>
          <t>Footwear</t>
        </is>
      </c>
      <c r="F31" s="98" t="inlineStr">
        <is>
          <t>Activewear</t>
        </is>
      </c>
      <c r="G31" s="98" t="inlineStr">
        <is>
          <t>Women's Ethnic</t>
        </is>
      </c>
      <c r="H31" s="98" t="inlineStr">
        <is>
          <t>Women's Western</t>
        </is>
      </c>
      <c r="I31" s="98" t="inlineStr">
        <is>
          <t>Multi/Lifestyle</t>
        </is>
      </c>
    </row>
    <row r="32" ht="18" customHeight="1">
      <c r="A32" s="177" t="inlineStr">
        <is>
          <t>Metro</t>
        </is>
      </c>
      <c r="B32" s="187">
        <f>IF(J14=0,0,B14/J14)</f>
        <v/>
      </c>
      <c r="C32" s="187">
        <f>IF(J14=0,0,C14/J14)</f>
        <v/>
      </c>
      <c r="D32" s="187">
        <f>IF(J14=0,0,D14/J14)</f>
        <v/>
      </c>
      <c r="E32" s="187">
        <f>IF(J14=0,0,E14/J14)</f>
        <v/>
      </c>
      <c r="F32" s="187">
        <f>IF(J14=0,0,F14/J14)</f>
        <v/>
      </c>
      <c r="G32" s="187">
        <f>IF(J14=0,0,G14/J14)</f>
        <v/>
      </c>
      <c r="H32" s="187">
        <f>IF(J14=0,0,H14/J14)</f>
        <v/>
      </c>
      <c r="I32" s="187">
        <f>IF(J14=0,0,I14/J14)</f>
        <v/>
      </c>
    </row>
    <row r="33" ht="18" customHeight="1">
      <c r="A33" s="178" t="inlineStr">
        <is>
          <t>T1</t>
        </is>
      </c>
      <c r="B33" s="188">
        <f>IF(J15=0,0,B15/J15)</f>
        <v/>
      </c>
      <c r="C33" s="188">
        <f>IF(J15=0,0,C15/J15)</f>
        <v/>
      </c>
      <c r="D33" s="188">
        <f>IF(J15=0,0,D15/J15)</f>
        <v/>
      </c>
      <c r="E33" s="188">
        <f>IF(J15=0,0,E15/J15)</f>
        <v/>
      </c>
      <c r="F33" s="188">
        <f>IF(J15=0,0,F15/J15)</f>
        <v/>
      </c>
      <c r="G33" s="188">
        <f>IF(J15=0,0,G15/J15)</f>
        <v/>
      </c>
      <c r="H33" s="188">
        <f>IF(J15=0,0,H15/J15)</f>
        <v/>
      </c>
      <c r="I33" s="188">
        <f>IF(J15=0,0,I15/J15)</f>
        <v/>
      </c>
    </row>
    <row r="34" ht="18" customHeight="1">
      <c r="A34" s="179" t="inlineStr">
        <is>
          <t>T2</t>
        </is>
      </c>
      <c r="B34" s="187">
        <f>IF(J16=0,0,B16/J16)</f>
        <v/>
      </c>
      <c r="C34" s="187">
        <f>IF(J16=0,0,C16/J16)</f>
        <v/>
      </c>
      <c r="D34" s="187">
        <f>IF(J16=0,0,D16/J16)</f>
        <v/>
      </c>
      <c r="E34" s="187">
        <f>IF(J16=0,0,E16/J16)</f>
        <v/>
      </c>
      <c r="F34" s="187">
        <f>IF(J16=0,0,F16/J16)</f>
        <v/>
      </c>
      <c r="G34" s="187">
        <f>IF(J16=0,0,G16/J16)</f>
        <v/>
      </c>
      <c r="H34" s="187">
        <f>IF(J16=0,0,H16/J16)</f>
        <v/>
      </c>
      <c r="I34" s="187">
        <f>IF(J16=0,0,I16/J16)</f>
        <v/>
      </c>
    </row>
    <row r="35" ht="18" customHeight="1">
      <c r="A35" s="180" t="inlineStr">
        <is>
          <t>T3</t>
        </is>
      </c>
      <c r="B35" s="188">
        <f>IF(J17=0,0,B17/J17)</f>
        <v/>
      </c>
      <c r="C35" s="188">
        <f>IF(J17=0,0,C17/J17)</f>
        <v/>
      </c>
      <c r="D35" s="188">
        <f>IF(J17=0,0,D17/J17)</f>
        <v/>
      </c>
      <c r="E35" s="188">
        <f>IF(J17=0,0,E17/J17)</f>
        <v/>
      </c>
      <c r="F35" s="188">
        <f>IF(J17=0,0,F17/J17)</f>
        <v/>
      </c>
      <c r="G35" s="188">
        <f>IF(J17=0,0,G17/J17)</f>
        <v/>
      </c>
      <c r="H35" s="188">
        <f>IF(J17=0,0,H17/J17)</f>
        <v/>
      </c>
      <c r="I35" s="188">
        <f>IF(J17=0,0,I17/J17)</f>
        <v/>
      </c>
    </row>
    <row r="36" ht="18" customHeight="1">
      <c r="A36" s="181" t="inlineStr">
        <is>
          <t>T4</t>
        </is>
      </c>
      <c r="B36" s="187">
        <f>IF(J18=0,0,B18/J18)</f>
        <v/>
      </c>
      <c r="C36" s="187">
        <f>IF(J18=0,0,C18/J18)</f>
        <v/>
      </c>
      <c r="D36" s="187">
        <f>IF(J18=0,0,D18/J18)</f>
        <v/>
      </c>
      <c r="E36" s="187">
        <f>IF(J18=0,0,E18/J18)</f>
        <v/>
      </c>
      <c r="F36" s="187">
        <f>IF(J18=0,0,F18/J18)</f>
        <v/>
      </c>
      <c r="G36" s="187">
        <f>IF(J18=0,0,G18/J18)</f>
        <v/>
      </c>
      <c r="H36" s="187">
        <f>IF(J18=0,0,H18/J18)</f>
        <v/>
      </c>
      <c r="I36" s="187">
        <f>IF(J18=0,0,I18/J18)</f>
        <v/>
      </c>
    </row>
    <row r="38" ht="18" customHeight="1">
      <c r="A38" s="189" t="inlineStr">
        <is>
          <t>E — BRAND FINANCIALS (FY25/26 actual — update here to refresh exhibits)</t>
        </is>
      </c>
    </row>
    <row r="39" ht="24" customHeight="1">
      <c r="A39" s="106" t="inlineStr">
        <is>
          <t>Brand</t>
        </is>
      </c>
      <c r="B39" s="106" t="inlineStr">
        <is>
          <t>Segment</t>
        </is>
      </c>
      <c r="C39" s="106" t="inlineStr">
        <is>
          <t>Rev FY26</t>
        </is>
      </c>
      <c r="D39" s="106" t="inlineStr">
        <is>
          <t>Rev FY25</t>
        </is>
      </c>
      <c r="E39" s="106" t="inlineStr">
        <is>
          <t>Stores Mar26</t>
        </is>
      </c>
      <c r="F39" s="106" t="inlineStr">
        <is>
          <t>Rev/Store</t>
        </is>
      </c>
      <c r="G39" s="106" t="inlineStr">
        <is>
          <t>Store Adds FY25</t>
        </is>
      </c>
      <c r="H39" s="106" t="inlineStr">
        <is>
          <t>Store Adds FY26</t>
        </is>
      </c>
      <c r="I39" s="106" t="inlineStr">
        <is>
          <t>Metro Pins</t>
        </is>
      </c>
      <c r="J39" s="106" t="inlineStr">
        <is>
          <t>T1 Pins</t>
        </is>
      </c>
      <c r="K39" s="106" t="inlineStr">
        <is>
          <t>T2 Pins</t>
        </is>
      </c>
      <c r="L39" s="106" t="inlineStr">
        <is>
          <t>T3 Pins</t>
        </is>
      </c>
    </row>
    <row r="40" ht="16" customHeight="1">
      <c r="A40" s="112" t="inlineStr">
        <is>
          <t>Reliance_Trends</t>
        </is>
      </c>
      <c r="B40" s="113" t="inlineStr">
        <is>
          <t>Value Fashion</t>
        </is>
      </c>
      <c r="C40" s="17" t="n">
        <v>21200</v>
      </c>
      <c r="D40" s="17" t="n">
        <v>0</v>
      </c>
      <c r="E40" s="15" t="n">
        <v>0</v>
      </c>
      <c r="F40" s="20" t="n">
        <v>10</v>
      </c>
      <c r="G40" s="15" t="n">
        <v>2022</v>
      </c>
      <c r="H40" s="15" t="n">
        <v>22526</v>
      </c>
      <c r="I40" s="15" t="n">
        <v>192</v>
      </c>
      <c r="J40" s="15" t="n">
        <v>281</v>
      </c>
      <c r="K40" s="15" t="n">
        <v>704</v>
      </c>
      <c r="L40" s="15" t="n">
        <v>532</v>
      </c>
    </row>
    <row r="41" ht="16" customHeight="1">
      <c r="A41" s="109" t="inlineStr">
        <is>
          <t>Zudio</t>
        </is>
      </c>
      <c r="B41" s="110" t="inlineStr">
        <is>
          <t>Value Fashion</t>
        </is>
      </c>
      <c r="C41" s="8" t="n">
        <v>11768.88</v>
      </c>
      <c r="D41" s="8" t="n">
        <v>7597.7</v>
      </c>
      <c r="E41" s="6" t="n">
        <v>3141</v>
      </c>
      <c r="F41" s="11" t="n">
        <v>0</v>
      </c>
      <c r="G41" s="6" t="n">
        <v>0</v>
      </c>
      <c r="H41" s="6" t="n">
        <v>0</v>
      </c>
      <c r="I41" s="6" t="n">
        <v>217</v>
      </c>
      <c r="J41" s="6" t="n">
        <v>181</v>
      </c>
      <c r="K41" s="6" t="n">
        <v>225</v>
      </c>
      <c r="L41" s="6" t="n">
        <v>132</v>
      </c>
    </row>
    <row r="42" ht="16" customHeight="1">
      <c r="A42" s="112" t="inlineStr">
        <is>
          <t>Westside</t>
        </is>
      </c>
      <c r="B42" s="116" t="inlineStr">
        <is>
          <t>Multi/Lifestyle</t>
        </is>
      </c>
      <c r="C42" s="17" t="n">
        <v>11768.88</v>
      </c>
      <c r="D42" s="17" t="n">
        <v>7597.7</v>
      </c>
      <c r="E42" s="15" t="n">
        <v>3141</v>
      </c>
      <c r="F42" s="20" t="n">
        <v>0</v>
      </c>
      <c r="G42" s="15" t="n">
        <v>0</v>
      </c>
      <c r="H42" s="15" t="n">
        <v>0</v>
      </c>
      <c r="I42" s="15" t="n">
        <v>9</v>
      </c>
      <c r="J42" s="15" t="n">
        <v>0</v>
      </c>
      <c r="K42" s="15" t="n">
        <v>1</v>
      </c>
      <c r="L42" s="15" t="n">
        <v>236</v>
      </c>
    </row>
    <row r="43" ht="16" customHeight="1">
      <c r="A43" s="109" t="inlineStr">
        <is>
          <t>Reliance_Smart_Bazaar</t>
        </is>
      </c>
      <c r="B43" s="114" t="inlineStr">
        <is>
          <t>Multi/Lifestyle</t>
        </is>
      </c>
      <c r="C43" s="8" t="n">
        <v>11143</v>
      </c>
      <c r="D43" s="8" t="n">
        <v>0</v>
      </c>
      <c r="E43" s="6" t="n">
        <v>0</v>
      </c>
      <c r="F43" s="11" t="n">
        <v>11</v>
      </c>
      <c r="G43" s="6" t="n">
        <v>0</v>
      </c>
      <c r="H43" s="6" t="n">
        <v>0</v>
      </c>
      <c r="I43" s="6" t="n">
        <v>141</v>
      </c>
      <c r="J43" s="6" t="n">
        <v>151</v>
      </c>
      <c r="K43" s="6" t="n">
        <v>313</v>
      </c>
      <c r="L43" s="6" t="n">
        <v>274</v>
      </c>
    </row>
    <row r="44" ht="16" customHeight="1">
      <c r="A44" s="112" t="inlineStr">
        <is>
          <t>Lifestyle</t>
        </is>
      </c>
      <c r="B44" s="116" t="inlineStr">
        <is>
          <t>Multi/Lifestyle</t>
        </is>
      </c>
      <c r="C44" s="17" t="n">
        <v>11083</v>
      </c>
      <c r="D44" s="17" t="n">
        <v>11573</v>
      </c>
      <c r="E44" s="15" t="n">
        <v>9133</v>
      </c>
      <c r="F44" s="20" t="n">
        <v>0</v>
      </c>
      <c r="G44" s="15" t="n">
        <v>43</v>
      </c>
      <c r="H44" s="15" t="n">
        <v>0</v>
      </c>
      <c r="I44" s="15" t="n">
        <v>47</v>
      </c>
      <c r="J44" s="15" t="n">
        <v>40</v>
      </c>
      <c r="K44" s="15" t="n">
        <v>29</v>
      </c>
      <c r="L44" s="15" t="n">
        <v>4</v>
      </c>
    </row>
    <row r="45" ht="16" customHeight="1">
      <c r="A45" s="109" t="inlineStr">
        <is>
          <t>Westside</t>
        </is>
      </c>
      <c r="B45" s="114" t="inlineStr">
        <is>
          <t>Multi/Lifestyle</t>
        </is>
      </c>
      <c r="C45" s="8" t="n">
        <v>8376</v>
      </c>
      <c r="D45" s="8" t="n">
        <v>6882</v>
      </c>
      <c r="E45" s="6" t="n">
        <v>300</v>
      </c>
      <c r="F45" s="11" t="n">
        <v>27.92</v>
      </c>
      <c r="G45" s="6" t="n">
        <v>16</v>
      </c>
      <c r="H45" s="6" t="n">
        <v>52</v>
      </c>
      <c r="I45" s="6" t="n">
        <v>9</v>
      </c>
      <c r="J45" s="6" t="n">
        <v>0</v>
      </c>
      <c r="K45" s="6" t="n">
        <v>1</v>
      </c>
      <c r="L45" s="6" t="n">
        <v>236</v>
      </c>
    </row>
    <row r="46" ht="16" customHeight="1">
      <c r="A46" s="112" t="inlineStr">
        <is>
          <t>Zudio</t>
        </is>
      </c>
      <c r="B46" s="113" t="inlineStr">
        <is>
          <t>Value Fashion</t>
        </is>
      </c>
      <c r="C46" s="17" t="n">
        <v>8148</v>
      </c>
      <c r="D46" s="17" t="n">
        <v>6432</v>
      </c>
      <c r="E46" s="15" t="n">
        <v>963</v>
      </c>
      <c r="F46" s="20" t="n">
        <v>8.461059190031152</v>
      </c>
      <c r="G46" s="15" t="n">
        <v>220</v>
      </c>
      <c r="H46" s="15" t="n">
        <v>198</v>
      </c>
      <c r="I46" s="15" t="n">
        <v>217</v>
      </c>
      <c r="J46" s="15" t="n">
        <v>181</v>
      </c>
      <c r="K46" s="15" t="n">
        <v>225</v>
      </c>
      <c r="L46" s="15" t="n">
        <v>132</v>
      </c>
    </row>
    <row r="47" ht="16" customHeight="1">
      <c r="A47" s="109" t="inlineStr">
        <is>
          <t>Arvind</t>
        </is>
      </c>
      <c r="B47" s="120" t="inlineStr">
        <is>
          <t>Premium Menswear</t>
        </is>
      </c>
      <c r="C47" s="8" t="n">
        <v>6836.74</v>
      </c>
      <c r="D47" s="8" t="n">
        <v>7464.25</v>
      </c>
      <c r="E47" s="6" t="n">
        <v>6412</v>
      </c>
      <c r="F47" s="11" t="n">
        <v>0</v>
      </c>
      <c r="G47" s="6" t="n">
        <v>3</v>
      </c>
      <c r="H47" s="6" t="n">
        <v>0</v>
      </c>
      <c r="I47" s="6" t="n">
        <v>28</v>
      </c>
      <c r="J47" s="6" t="n">
        <v>52</v>
      </c>
      <c r="K47" s="6" t="n">
        <v>47</v>
      </c>
      <c r="L47" s="6" t="n">
        <v>37</v>
      </c>
    </row>
    <row r="48" ht="16" customHeight="1">
      <c r="A48" s="112" t="inlineStr">
        <is>
          <t>Peter England</t>
        </is>
      </c>
      <c r="B48" s="116" t="inlineStr">
        <is>
          <t>nan</t>
        </is>
      </c>
      <c r="C48" s="17" t="n">
        <v>6345.3</v>
      </c>
      <c r="D48" s="17" t="n">
        <v>12352.83</v>
      </c>
      <c r="E48" s="15" t="n">
        <v>8721</v>
      </c>
      <c r="F48" s="20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</row>
    <row r="49" ht="16" customHeight="1">
      <c r="A49" s="109" t="inlineStr">
        <is>
          <t>Pantaloons</t>
        </is>
      </c>
      <c r="B49" s="114" t="inlineStr">
        <is>
          <t>Multi/Lifestyle</t>
        </is>
      </c>
      <c r="C49" s="8" t="n">
        <v>6345.3</v>
      </c>
      <c r="D49" s="8" t="n">
        <v>12352.83</v>
      </c>
      <c r="E49" s="6" t="n">
        <v>8721</v>
      </c>
      <c r="F49" s="11" t="n">
        <v>0</v>
      </c>
      <c r="G49" s="6" t="n">
        <v>0</v>
      </c>
      <c r="H49" s="6" t="n">
        <v>0</v>
      </c>
      <c r="I49" s="6" t="n">
        <v>100</v>
      </c>
      <c r="J49" s="6" t="n">
        <v>84</v>
      </c>
      <c r="K49" s="6" t="n">
        <v>104</v>
      </c>
      <c r="L49" s="6" t="n">
        <v>70</v>
      </c>
    </row>
    <row r="50" ht="16" customHeight="1">
      <c r="A50" s="112" t="inlineStr">
        <is>
          <t>Vishal_Mega_Mart</t>
        </is>
      </c>
      <c r="B50" s="113" t="inlineStr">
        <is>
          <t>Value Fashion</t>
        </is>
      </c>
      <c r="C50" s="17" t="n">
        <v>5419.35537</v>
      </c>
      <c r="D50" s="17" t="n">
        <v>4499.774369999999</v>
      </c>
      <c r="E50" s="15" t="n">
        <v>795</v>
      </c>
      <c r="F50" s="20" t="n">
        <v>6.81679920754717</v>
      </c>
      <c r="G50" s="15" t="n">
        <v>85</v>
      </c>
      <c r="H50" s="15" t="n">
        <v>99</v>
      </c>
      <c r="I50" s="15" t="n">
        <v>102</v>
      </c>
      <c r="J50" s="15" t="n">
        <v>118</v>
      </c>
      <c r="K50" s="15" t="n">
        <v>260</v>
      </c>
      <c r="L50" s="15" t="n">
        <v>223</v>
      </c>
    </row>
    <row r="51" ht="16" customHeight="1">
      <c r="A51" s="109" t="inlineStr">
        <is>
          <t>Max</t>
        </is>
      </c>
      <c r="B51" s="110" t="inlineStr">
        <is>
          <t>Value Fashion</t>
        </is>
      </c>
      <c r="C51" s="8" t="n">
        <v>5006.9544</v>
      </c>
      <c r="D51" s="8" t="n">
        <v>4316.34</v>
      </c>
      <c r="E51" s="6" t="n">
        <v>0</v>
      </c>
      <c r="F51" s="11" t="n">
        <v>9.798345205479452</v>
      </c>
      <c r="G51" s="6" t="n">
        <v>0</v>
      </c>
      <c r="H51" s="6" t="n">
        <v>0</v>
      </c>
      <c r="I51" s="6" t="n">
        <v>102</v>
      </c>
      <c r="J51" s="6" t="n">
        <v>120</v>
      </c>
      <c r="K51" s="6" t="n">
        <v>148</v>
      </c>
      <c r="L51" s="6" t="n">
        <v>66</v>
      </c>
    </row>
    <row r="52" ht="16" customHeight="1">
      <c r="A52" s="112" t="inlineStr">
        <is>
          <t>Allen_Solly</t>
        </is>
      </c>
      <c r="B52" s="118" t="inlineStr">
        <is>
          <t>Premium Menswear</t>
        </is>
      </c>
      <c r="C52" s="17" t="n">
        <v>4740</v>
      </c>
      <c r="D52" s="17" t="n">
        <v>8854</v>
      </c>
      <c r="E52" s="15" t="n">
        <v>0</v>
      </c>
      <c r="F52" s="20" t="n">
        <v>0</v>
      </c>
      <c r="G52" s="15" t="n">
        <v>1</v>
      </c>
      <c r="H52" s="15" t="n">
        <v>0</v>
      </c>
      <c r="I52" s="15" t="n">
        <v>93</v>
      </c>
      <c r="J52" s="15" t="n">
        <v>83</v>
      </c>
      <c r="K52" s="15" t="n">
        <v>113</v>
      </c>
      <c r="L52" s="15" t="n">
        <v>47</v>
      </c>
    </row>
    <row r="53" ht="16" customHeight="1">
      <c r="A53" s="109" t="inlineStr">
        <is>
          <t>Jockey.in</t>
        </is>
      </c>
      <c r="B53" s="114" t="inlineStr">
        <is>
          <t>nan</t>
        </is>
      </c>
      <c r="C53" s="8" t="n">
        <v>4547.09</v>
      </c>
      <c r="D53" s="8" t="n">
        <v>4678.34</v>
      </c>
      <c r="E53" s="6" t="n">
        <v>2893</v>
      </c>
      <c r="F53" s="11" t="n">
        <v>0</v>
      </c>
      <c r="G53" s="6" t="n">
        <v>34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</row>
    <row r="54" ht="16" customHeight="1">
      <c r="A54" s="112" t="inlineStr">
        <is>
          <t>Pantaloons</t>
        </is>
      </c>
      <c r="B54" s="116" t="inlineStr">
        <is>
          <t>Multi/Lifestyle</t>
        </is>
      </c>
      <c r="C54" s="17" t="n">
        <v>4247</v>
      </c>
      <c r="D54" s="17" t="n">
        <v>4196</v>
      </c>
      <c r="E54" s="15" t="n">
        <v>399</v>
      </c>
      <c r="F54" s="20" t="n">
        <v>10.64411027568922</v>
      </c>
      <c r="G54" s="15" t="n">
        <v>-12</v>
      </c>
      <c r="H54" s="15" t="n">
        <v>0</v>
      </c>
      <c r="I54" s="15" t="n">
        <v>100</v>
      </c>
      <c r="J54" s="15" t="n">
        <v>84</v>
      </c>
      <c r="K54" s="15" t="n">
        <v>104</v>
      </c>
      <c r="L54" s="15" t="n">
        <v>70</v>
      </c>
    </row>
    <row r="55" ht="16" customHeight="1">
      <c r="A55" s="109" t="inlineStr">
        <is>
          <t>DECATHLON SPORTS INDIA PRIVATE LIMITED</t>
        </is>
      </c>
      <c r="B55" s="114" t="inlineStr">
        <is>
          <t>nan</t>
        </is>
      </c>
      <c r="C55" s="8" t="n">
        <v>3985.55</v>
      </c>
      <c r="D55" s="8" t="n">
        <v>3894.38</v>
      </c>
      <c r="E55" s="6" t="n">
        <v>2207</v>
      </c>
      <c r="F55" s="11" t="n">
        <v>0</v>
      </c>
      <c r="G55" s="6" t="n">
        <v>21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</row>
    <row r="56" ht="16" customHeight="1">
      <c r="A56" s="112" t="inlineStr">
        <is>
          <t>Lifestyle</t>
        </is>
      </c>
      <c r="B56" s="116" t="inlineStr">
        <is>
          <t>Multi/Lifestyle</t>
        </is>
      </c>
      <c r="C56" s="17" t="n">
        <v>3958.4690556</v>
      </c>
      <c r="D56" s="17" t="n">
        <v>3773.5644</v>
      </c>
      <c r="E56" s="15" t="n">
        <v>0</v>
      </c>
      <c r="F56" s="20" t="n">
        <v>30.21732103511451</v>
      </c>
      <c r="G56" s="15" t="n">
        <v>0</v>
      </c>
      <c r="H56" s="15" t="n">
        <v>0</v>
      </c>
      <c r="I56" s="15" t="n">
        <v>47</v>
      </c>
      <c r="J56" s="15" t="n">
        <v>40</v>
      </c>
      <c r="K56" s="15" t="n">
        <v>29</v>
      </c>
      <c r="L56" s="15" t="n">
        <v>4</v>
      </c>
    </row>
    <row r="57" ht="16" customHeight="1">
      <c r="A57" s="109" t="inlineStr">
        <is>
          <t>Shoppers Stop</t>
        </is>
      </c>
      <c r="B57" s="114" t="inlineStr">
        <is>
          <t>nan</t>
        </is>
      </c>
      <c r="C57" s="8" t="n">
        <v>3937.92</v>
      </c>
      <c r="D57" s="8" t="n">
        <v>3705.06</v>
      </c>
      <c r="E57" s="6" t="n">
        <v>3105</v>
      </c>
      <c r="F57" s="11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</row>
    <row r="58" ht="16" customHeight="1">
      <c r="A58" s="112" t="inlineStr">
        <is>
          <t>H &amp; M HENNES &amp; MAURITZ INDIA PRIVATE LIMITED</t>
        </is>
      </c>
      <c r="B58" s="116" t="inlineStr">
        <is>
          <t>nan</t>
        </is>
      </c>
      <c r="C58" s="17" t="n">
        <v>3277.17</v>
      </c>
      <c r="D58" s="17" t="n">
        <v>2941.05</v>
      </c>
      <c r="E58" s="15" t="n">
        <v>0</v>
      </c>
      <c r="F58" s="20" t="n">
        <v>0</v>
      </c>
      <c r="G58" s="15" t="n">
        <v>30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</row>
    <row r="59" ht="16" customHeight="1">
      <c r="A59" s="109" t="inlineStr">
        <is>
          <t>V2</t>
        </is>
      </c>
      <c r="B59" s="110" t="inlineStr">
        <is>
          <t>Value Fashion</t>
        </is>
      </c>
      <c r="C59" s="8" t="n">
        <v>3067.1</v>
      </c>
      <c r="D59" s="8" t="n">
        <v>1884.5</v>
      </c>
      <c r="E59" s="6" t="n">
        <v>325</v>
      </c>
      <c r="F59" s="11" t="n">
        <v>9.437230769230769</v>
      </c>
      <c r="G59" s="6" t="n">
        <v>72</v>
      </c>
      <c r="H59" s="6" t="n">
        <v>136</v>
      </c>
      <c r="I59" s="6" t="n">
        <v>24</v>
      </c>
      <c r="J59" s="6" t="n">
        <v>50</v>
      </c>
      <c r="K59" s="6" t="n">
        <v>93</v>
      </c>
      <c r="L59" s="6" t="n">
        <v>119</v>
      </c>
    </row>
    <row r="60" ht="16" customHeight="1">
      <c r="A60" s="112" t="inlineStr">
        <is>
          <t>H&amp;M</t>
        </is>
      </c>
      <c r="B60" s="116" t="inlineStr">
        <is>
          <t>Multi/Lifestyle</t>
        </is>
      </c>
      <c r="C60" s="17" t="n">
        <v>2940.478125</v>
      </c>
      <c r="D60" s="17" t="n">
        <v>2803.125</v>
      </c>
      <c r="E60" s="15" t="n">
        <v>0</v>
      </c>
      <c r="F60" s="20" t="n">
        <v>39.73619087837837</v>
      </c>
      <c r="G60" s="15" t="n">
        <v>0</v>
      </c>
      <c r="H60" s="15" t="n">
        <v>0</v>
      </c>
      <c r="I60" s="15" t="n">
        <v>38</v>
      </c>
      <c r="J60" s="15" t="n">
        <v>22</v>
      </c>
      <c r="K60" s="15" t="n">
        <v>10</v>
      </c>
      <c r="L60" s="15" t="n">
        <v>1</v>
      </c>
    </row>
    <row r="61" ht="16" customHeight="1">
      <c r="A61" s="109" t="inlineStr">
        <is>
          <t>Relaxo Footwear</t>
        </is>
      </c>
      <c r="B61" s="114" t="inlineStr">
        <is>
          <t>nan</t>
        </is>
      </c>
      <c r="C61" s="8" t="n">
        <v>2893.6</v>
      </c>
      <c r="D61" s="8" t="n">
        <v>2764.14</v>
      </c>
      <c r="E61" s="6" t="n">
        <v>2392</v>
      </c>
      <c r="F61" s="11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</row>
    <row r="62" ht="16" customHeight="1">
      <c r="A62" s="112" t="inlineStr">
        <is>
          <t>Shoppers_Stop</t>
        </is>
      </c>
      <c r="B62" s="116" t="inlineStr">
        <is>
          <t>Multi/Lifestyle</t>
        </is>
      </c>
      <c r="C62" s="17" t="n">
        <v>2713.9524</v>
      </c>
      <c r="D62" s="17" t="n">
        <v>2367.1359</v>
      </c>
      <c r="E62" s="15" t="n">
        <v>121</v>
      </c>
      <c r="F62" s="20" t="n">
        <v>22.42935867768595</v>
      </c>
      <c r="G62" s="15" t="n">
        <v>0</v>
      </c>
      <c r="H62" s="15" t="n">
        <v>9</v>
      </c>
      <c r="I62" s="15" t="n">
        <v>42</v>
      </c>
      <c r="J62" s="15" t="n">
        <v>35</v>
      </c>
      <c r="K62" s="15" t="n">
        <v>30</v>
      </c>
      <c r="L62" s="15" t="n">
        <v>4</v>
      </c>
    </row>
    <row r="63" ht="16" customHeight="1">
      <c r="A63" s="109" t="inlineStr">
        <is>
          <t>V-Mart</t>
        </is>
      </c>
      <c r="B63" s="114" t="inlineStr">
        <is>
          <t>nan</t>
        </is>
      </c>
      <c r="C63" s="8" t="n">
        <v>2711.31</v>
      </c>
      <c r="D63" s="8" t="n">
        <v>2464.84</v>
      </c>
      <c r="E63" s="6" t="n">
        <v>1661</v>
      </c>
      <c r="F63" s="11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</row>
    <row r="64" ht="16" customHeight="1">
      <c r="A64" s="112" t="inlineStr">
        <is>
          <t>V_Mart</t>
        </is>
      </c>
      <c r="B64" s="113" t="inlineStr">
        <is>
          <t>Value Fashion</t>
        </is>
      </c>
      <c r="C64" s="17" t="n">
        <v>2531.52</v>
      </c>
      <c r="D64" s="17" t="n">
        <v>2177.024</v>
      </c>
      <c r="E64" s="15" t="n">
        <v>478</v>
      </c>
      <c r="F64" s="20" t="n">
        <v>5.296066945606696</v>
      </c>
      <c r="G64" s="15" t="n">
        <v>47</v>
      </c>
      <c r="H64" s="15" t="n">
        <v>66</v>
      </c>
      <c r="I64" s="15" t="n">
        <v>24</v>
      </c>
      <c r="J64" s="15" t="n">
        <v>97</v>
      </c>
      <c r="K64" s="15" t="n">
        <v>144</v>
      </c>
      <c r="L64" s="15" t="n">
        <v>119</v>
      </c>
    </row>
    <row r="65" ht="16" customHeight="1">
      <c r="A65" s="109" t="inlineStr">
        <is>
          <t>Adidas</t>
        </is>
      </c>
      <c r="B65" s="123" t="inlineStr">
        <is>
          <t>Activewear</t>
        </is>
      </c>
      <c r="C65" s="8" t="n">
        <v>2348.7</v>
      </c>
      <c r="D65" s="8" t="n">
        <v>2084.4</v>
      </c>
      <c r="E65" s="6" t="n">
        <v>0</v>
      </c>
      <c r="F65" s="11" t="n">
        <v>0</v>
      </c>
      <c r="G65" s="6" t="n">
        <v>0</v>
      </c>
      <c r="H65" s="6" t="n">
        <v>0</v>
      </c>
      <c r="I65" s="6" t="n">
        <v>110</v>
      </c>
      <c r="J65" s="6" t="n">
        <v>94</v>
      </c>
      <c r="K65" s="6" t="n">
        <v>110</v>
      </c>
      <c r="L65" s="6" t="n">
        <v>52</v>
      </c>
    </row>
    <row r="66" ht="16" customHeight="1">
      <c r="A66" s="112" t="inlineStr">
        <is>
          <t>Metro Brands</t>
        </is>
      </c>
      <c r="B66" s="116" t="inlineStr">
        <is>
          <t>nan</t>
        </is>
      </c>
      <c r="C66" s="17" t="n">
        <v>2304.48</v>
      </c>
      <c r="D66" s="17" t="n">
        <v>2070.49</v>
      </c>
      <c r="E66" s="15" t="n">
        <v>1209</v>
      </c>
      <c r="F66" s="20" t="n">
        <v>0</v>
      </c>
      <c r="G66" s="15" t="n">
        <v>50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</row>
    <row r="67" ht="16" customHeight="1">
      <c r="A67" s="109" t="inlineStr">
        <is>
          <t>Mochi Shoes</t>
        </is>
      </c>
      <c r="B67" s="114" t="inlineStr">
        <is>
          <t>nan</t>
        </is>
      </c>
      <c r="C67" s="8" t="n">
        <v>2304.48</v>
      </c>
      <c r="D67" s="8" t="n">
        <v>2070.49</v>
      </c>
      <c r="E67" s="6" t="n">
        <v>1209</v>
      </c>
      <c r="F67" s="11" t="n">
        <v>0</v>
      </c>
      <c r="G67" s="6" t="n">
        <v>51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</row>
    <row r="68" ht="16" customHeight="1">
      <c r="A68" s="112" t="inlineStr">
        <is>
          <t>Siyarams</t>
        </is>
      </c>
      <c r="B68" s="190" t="inlineStr">
        <is>
          <t>Mid Menswear</t>
        </is>
      </c>
      <c r="C68" s="17" t="n">
        <v>2158.18</v>
      </c>
      <c r="D68" s="17" t="n">
        <v>1885.53</v>
      </c>
      <c r="E68" s="15" t="n">
        <v>0</v>
      </c>
      <c r="F68" s="20" t="n">
        <v>9.342770562770562</v>
      </c>
      <c r="G68" s="15" t="n">
        <v>0</v>
      </c>
      <c r="H68" s="15" t="n">
        <v>0</v>
      </c>
      <c r="I68" s="15" t="n">
        <v>20</v>
      </c>
      <c r="J68" s="15" t="n">
        <v>37</v>
      </c>
      <c r="K68" s="15" t="n">
        <v>64</v>
      </c>
      <c r="L68" s="15" t="n">
        <v>73</v>
      </c>
    </row>
    <row r="69" ht="16" customHeight="1">
      <c r="A69" s="109" t="inlineStr">
        <is>
          <t>Zara</t>
        </is>
      </c>
      <c r="B69" s="114" t="inlineStr">
        <is>
          <t>Multi/Lifestyle</t>
        </is>
      </c>
      <c r="C69" s="8" t="n">
        <v>2089.24</v>
      </c>
      <c r="D69" s="8" t="n">
        <v>2114.32</v>
      </c>
      <c r="E69" s="6" t="n">
        <v>25</v>
      </c>
      <c r="F69" s="11" t="n">
        <v>83.56960000000001</v>
      </c>
      <c r="G69" s="6" t="n">
        <v>3</v>
      </c>
      <c r="H69" s="6" t="n">
        <v>-1</v>
      </c>
      <c r="I69" s="6" t="n">
        <v>15</v>
      </c>
      <c r="J69" s="6" t="n">
        <v>4</v>
      </c>
      <c r="K69" s="6" t="n">
        <v>0</v>
      </c>
      <c r="L69" s="6" t="n">
        <v>0</v>
      </c>
    </row>
    <row r="70" ht="16" customHeight="1">
      <c r="A70" s="112" t="inlineStr">
        <is>
          <t>Decathlon</t>
        </is>
      </c>
      <c r="B70" s="121" t="inlineStr">
        <is>
          <t>Activewear</t>
        </is>
      </c>
      <c r="C70" s="17" t="n">
        <v>2015.186008</v>
      </c>
      <c r="D70" s="17" t="n">
        <v>1643.708</v>
      </c>
      <c r="E70" s="15" t="n">
        <v>0</v>
      </c>
      <c r="F70" s="20" t="n">
        <v>15.86760636220473</v>
      </c>
      <c r="G70" s="15" t="n">
        <v>0</v>
      </c>
      <c r="H70" s="15" t="n">
        <v>0</v>
      </c>
      <c r="I70" s="15" t="n">
        <v>56</v>
      </c>
      <c r="J70" s="15" t="n">
        <v>33</v>
      </c>
      <c r="K70" s="15" t="n">
        <v>31</v>
      </c>
      <c r="L70" s="15" t="n">
        <v>4</v>
      </c>
    </row>
    <row r="71" ht="16" customHeight="1">
      <c r="A71" s="109" t="inlineStr">
        <is>
          <t>Red Tape</t>
        </is>
      </c>
      <c r="B71" s="114" t="inlineStr">
        <is>
          <t>nan</t>
        </is>
      </c>
      <c r="C71" s="8" t="n">
        <v>1831.81</v>
      </c>
      <c r="D71" s="8" t="n">
        <v>1458.71</v>
      </c>
      <c r="E71" s="6" t="n">
        <v>0</v>
      </c>
      <c r="F71" s="11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</row>
    <row r="72" ht="16" customHeight="1">
      <c r="A72" s="112" t="inlineStr">
        <is>
          <t>Skechers South Asia Private Limited</t>
        </is>
      </c>
      <c r="B72" s="116" t="inlineStr">
        <is>
          <t>nan</t>
        </is>
      </c>
      <c r="C72" s="17" t="n">
        <v>1745.53</v>
      </c>
      <c r="D72" s="17" t="n">
        <v>1738.96</v>
      </c>
      <c r="E72" s="15" t="n">
        <v>659</v>
      </c>
      <c r="F72" s="20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</row>
    <row r="73" ht="16" customHeight="1">
      <c r="A73" s="109" t="inlineStr">
        <is>
          <t>Marks and Spencer Reliance India</t>
        </is>
      </c>
      <c r="B73" s="114" t="inlineStr">
        <is>
          <t>nan</t>
        </is>
      </c>
      <c r="C73" s="8" t="n">
        <v>1742.22</v>
      </c>
      <c r="D73" s="8" t="n">
        <v>1660.1</v>
      </c>
      <c r="E73" s="6" t="n">
        <v>1041</v>
      </c>
      <c r="F73" s="11" t="n">
        <v>0</v>
      </c>
      <c r="G73" s="6" t="n">
        <v>48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</row>
    <row r="74" ht="16" customHeight="1">
      <c r="A74" s="112" t="inlineStr">
        <is>
          <t>LEVI STRAUSS (INDIA) PRIVATE LIMITED</t>
        </is>
      </c>
      <c r="B74" s="116" t="inlineStr">
        <is>
          <t>nan</t>
        </is>
      </c>
      <c r="C74" s="17" t="n">
        <v>1668.7</v>
      </c>
      <c r="D74" s="17" t="n">
        <v>1615.1</v>
      </c>
      <c r="E74" s="15" t="n">
        <v>0</v>
      </c>
      <c r="F74" s="20" t="n">
        <v>0</v>
      </c>
      <c r="G74" s="15" t="n">
        <v>40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</row>
    <row r="75" ht="16" customHeight="1">
      <c r="A75" s="109" t="inlineStr">
        <is>
          <t>Manyawar</t>
        </is>
      </c>
      <c r="B75" s="154" t="inlineStr">
        <is>
          <t>Women's Ethnic</t>
        </is>
      </c>
      <c r="C75" s="8" t="n">
        <v>1666.72</v>
      </c>
      <c r="D75" s="8" t="n">
        <v>1571.11</v>
      </c>
      <c r="E75" s="6" t="n">
        <v>0</v>
      </c>
      <c r="F75" s="11" t="n">
        <v>5.482631578947369</v>
      </c>
      <c r="G75" s="6" t="n">
        <v>0</v>
      </c>
      <c r="H75" s="6" t="n">
        <v>0</v>
      </c>
      <c r="I75" s="6" t="n">
        <v>77</v>
      </c>
      <c r="J75" s="6" t="n">
        <v>62</v>
      </c>
      <c r="K75" s="6" t="n">
        <v>80</v>
      </c>
      <c r="L75" s="6" t="n">
        <v>45</v>
      </c>
    </row>
    <row r="76" ht="16" customHeight="1">
      <c r="A76" s="112" t="inlineStr">
        <is>
          <t>Puma</t>
        </is>
      </c>
      <c r="B76" s="121" t="inlineStr">
        <is>
          <t>Activewear</t>
        </is>
      </c>
      <c r="C76" s="17" t="n">
        <v>1618.32</v>
      </c>
      <c r="D76" s="17" t="n">
        <v>1320</v>
      </c>
      <c r="E76" s="15" t="n">
        <v>0</v>
      </c>
      <c r="F76" s="20" t="n">
        <v>4.0458</v>
      </c>
      <c r="G76" s="15" t="n">
        <v>0</v>
      </c>
      <c r="H76" s="15" t="n">
        <v>0</v>
      </c>
      <c r="I76" s="15" t="n">
        <v>115</v>
      </c>
      <c r="J76" s="15" t="n">
        <v>89</v>
      </c>
      <c r="K76" s="15" t="n">
        <v>107</v>
      </c>
      <c r="L76" s="15" t="n">
        <v>35</v>
      </c>
    </row>
    <row r="77" ht="16" customHeight="1">
      <c r="A77" s="109" t="inlineStr">
        <is>
          <t>Style_Bazaar</t>
        </is>
      </c>
      <c r="B77" s="110" t="inlineStr">
        <is>
          <t>Value Fashion</t>
        </is>
      </c>
      <c r="C77" s="8" t="n">
        <v>1584.206</v>
      </c>
      <c r="D77" s="8" t="n">
        <v>1155.582</v>
      </c>
      <c r="E77" s="6" t="n">
        <v>263</v>
      </c>
      <c r="F77" s="11" t="n">
        <v>6.023596958174904</v>
      </c>
      <c r="G77" s="6" t="n">
        <v>52</v>
      </c>
      <c r="H77" s="6" t="n">
        <v>49</v>
      </c>
      <c r="I77" s="6" t="n">
        <v>34</v>
      </c>
      <c r="J77" s="6" t="n">
        <v>28</v>
      </c>
      <c r="K77" s="6" t="n">
        <v>62</v>
      </c>
      <c r="L77" s="6" t="n">
        <v>95</v>
      </c>
    </row>
    <row r="78" ht="16" customHeight="1">
      <c r="A78" s="112" t="inlineStr">
        <is>
          <t>Bata_</t>
        </is>
      </c>
      <c r="B78" s="153" t="inlineStr">
        <is>
          <t>Footwear</t>
        </is>
      </c>
      <c r="C78" s="17" t="n">
        <v>1550.725</v>
      </c>
      <c r="D78" s="17" t="n">
        <v>1554.7325</v>
      </c>
      <c r="E78" s="15" t="n">
        <v>1815</v>
      </c>
      <c r="F78" s="20" t="n">
        <v>0.8543939393939394</v>
      </c>
      <c r="G78" s="15" t="n">
        <v>80</v>
      </c>
      <c r="H78" s="15" t="n">
        <v>3</v>
      </c>
      <c r="I78" s="15" t="n">
        <v>284</v>
      </c>
      <c r="J78" s="15" t="n">
        <v>260</v>
      </c>
      <c r="K78" s="15" t="n">
        <v>384</v>
      </c>
      <c r="L78" s="15" t="n">
        <v>285</v>
      </c>
    </row>
    <row r="79" ht="16" customHeight="1">
      <c r="A79" s="109" t="inlineStr">
        <is>
          <t>RedTape</t>
        </is>
      </c>
      <c r="B79" s="152" t="inlineStr">
        <is>
          <t>Footwear</t>
        </is>
      </c>
      <c r="C79" s="8" t="n">
        <v>1518</v>
      </c>
      <c r="D79" s="8" t="n">
        <v>1264</v>
      </c>
      <c r="E79" s="6" t="n">
        <v>521</v>
      </c>
      <c r="F79" s="11" t="n">
        <v>2.91362763915547</v>
      </c>
      <c r="G79" s="6" t="n">
        <v>59</v>
      </c>
      <c r="H79" s="6" t="n">
        <v>39</v>
      </c>
      <c r="I79" s="6" t="n">
        <v>82</v>
      </c>
      <c r="J79" s="6" t="n">
        <v>68</v>
      </c>
      <c r="K79" s="6" t="n">
        <v>150</v>
      </c>
      <c r="L79" s="6" t="n">
        <v>117</v>
      </c>
    </row>
    <row r="80" ht="16" customHeight="1">
      <c r="A80" s="112" t="inlineStr">
        <is>
          <t>Campus Shoes</t>
        </is>
      </c>
      <c r="B80" s="116" t="inlineStr">
        <is>
          <t>nan</t>
        </is>
      </c>
      <c r="C80" s="17" t="n">
        <v>1435.9</v>
      </c>
      <c r="D80" s="17" t="n">
        <v>1470.07</v>
      </c>
      <c r="E80" s="15" t="n">
        <v>632</v>
      </c>
      <c r="F80" s="20" t="n">
        <v>0</v>
      </c>
      <c r="G80" s="15" t="n">
        <v>15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</row>
    <row r="81" ht="16" customHeight="1">
      <c r="A81" s="109" t="inlineStr">
        <is>
          <t>Manyavar</t>
        </is>
      </c>
      <c r="B81" s="114" t="inlineStr">
        <is>
          <t>nan</t>
        </is>
      </c>
      <c r="C81" s="8" t="n">
        <v>1365.41</v>
      </c>
      <c r="D81" s="8" t="n">
        <v>1324.03</v>
      </c>
      <c r="E81" s="6" t="n">
        <v>914</v>
      </c>
      <c r="F81" s="11" t="n">
        <v>0</v>
      </c>
      <c r="G81" s="6" t="n">
        <v>47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</row>
    <row r="82" ht="16" customHeight="1">
      <c r="A82" s="112" t="inlineStr">
        <is>
          <t>Bazaar_Kolkata</t>
        </is>
      </c>
      <c r="B82" s="113" t="inlineStr">
        <is>
          <t>Value Fashion</t>
        </is>
      </c>
      <c r="C82" s="17" t="n">
        <v>1319.096552</v>
      </c>
      <c r="D82" s="17" t="n">
        <v>1137.1522</v>
      </c>
      <c r="E82" s="15" t="n">
        <v>200</v>
      </c>
      <c r="F82" s="20" t="n">
        <v>6.59548276</v>
      </c>
      <c r="G82" s="15" t="n">
        <v>0</v>
      </c>
      <c r="H82" s="15" t="n">
        <v>0</v>
      </c>
      <c r="I82" s="15" t="n">
        <v>44</v>
      </c>
      <c r="J82" s="15" t="n">
        <v>2</v>
      </c>
      <c r="K82" s="15" t="n">
        <v>21</v>
      </c>
      <c r="L82" s="15" t="n">
        <v>30</v>
      </c>
    </row>
    <row r="83" ht="16" customHeight="1">
      <c r="A83" s="109" t="inlineStr">
        <is>
          <t>Raymond</t>
        </is>
      </c>
      <c r="B83" s="120" t="inlineStr">
        <is>
          <t>Premium Menswear</t>
        </is>
      </c>
      <c r="C83" s="8" t="n">
        <v>1284.3636</v>
      </c>
      <c r="D83" s="8" t="n">
        <v>1125.0304</v>
      </c>
      <c r="E83" s="6" t="n">
        <v>1348</v>
      </c>
      <c r="F83" s="11" t="n">
        <v>0.9527919881305638</v>
      </c>
      <c r="G83" s="6" t="n">
        <v>33</v>
      </c>
      <c r="H83" s="6" t="n">
        <v>11</v>
      </c>
      <c r="I83" s="6" t="n">
        <v>195</v>
      </c>
      <c r="J83" s="6" t="n">
        <v>180</v>
      </c>
      <c r="K83" s="6" t="n">
        <v>281</v>
      </c>
      <c r="L83" s="6" t="n">
        <v>251</v>
      </c>
    </row>
    <row r="84" ht="16" customHeight="1">
      <c r="A84" s="112" t="inlineStr">
        <is>
          <t>MOnte_Carlo</t>
        </is>
      </c>
      <c r="B84" s="190" t="inlineStr">
        <is>
          <t>Mid Menswear</t>
        </is>
      </c>
      <c r="C84" s="17" t="n">
        <v>1275.9</v>
      </c>
      <c r="D84" s="17" t="n">
        <v>1100.4</v>
      </c>
      <c r="E84" s="15" t="n">
        <v>497</v>
      </c>
      <c r="F84" s="20" t="n">
        <v>2.567203219315896</v>
      </c>
      <c r="G84" s="15" t="n">
        <v>65</v>
      </c>
      <c r="H84" s="15" t="n">
        <v>26</v>
      </c>
      <c r="I84" s="15" t="n">
        <v>74</v>
      </c>
      <c r="J84" s="15" t="n">
        <v>66</v>
      </c>
      <c r="K84" s="15" t="n">
        <v>113</v>
      </c>
      <c r="L84" s="15" t="n">
        <v>88</v>
      </c>
    </row>
    <row r="85" ht="16" customHeight="1">
      <c r="A85" s="109" t="inlineStr">
        <is>
          <t>Metro_Shoes</t>
        </is>
      </c>
      <c r="B85" s="152" t="inlineStr">
        <is>
          <t>Footwear</t>
        </is>
      </c>
      <c r="C85" s="8" t="n">
        <v>1244</v>
      </c>
      <c r="D85" s="8" t="n">
        <v>1099</v>
      </c>
      <c r="E85" s="6" t="n">
        <v>374</v>
      </c>
      <c r="F85" s="11" t="n">
        <v>3.32620320855615</v>
      </c>
      <c r="G85" s="6" t="n">
        <v>28</v>
      </c>
      <c r="H85" s="6" t="n">
        <v>0</v>
      </c>
      <c r="I85" s="6" t="n">
        <v>88</v>
      </c>
      <c r="J85" s="6" t="n">
        <v>65</v>
      </c>
      <c r="K85" s="6" t="n">
        <v>109</v>
      </c>
      <c r="L85" s="6" t="n">
        <v>49</v>
      </c>
    </row>
    <row r="86" ht="16" customHeight="1">
      <c r="A86" s="112" t="inlineStr">
        <is>
          <t>FabIndia</t>
        </is>
      </c>
      <c r="B86" s="151" t="inlineStr">
        <is>
          <t>Women's Ethnic</t>
        </is>
      </c>
      <c r="C86" s="17" t="n">
        <v>1218.63</v>
      </c>
      <c r="D86" s="17" t="n">
        <v>1280.75</v>
      </c>
      <c r="E86" s="15" t="n">
        <v>1135</v>
      </c>
      <c r="F86" s="20" t="n">
        <v>0</v>
      </c>
      <c r="G86" s="15" t="n">
        <v>25</v>
      </c>
      <c r="H86" s="15" t="n">
        <v>0</v>
      </c>
      <c r="I86" s="15" t="n">
        <v>120</v>
      </c>
      <c r="J86" s="15" t="n">
        <v>73</v>
      </c>
      <c r="K86" s="15" t="n">
        <v>79</v>
      </c>
      <c r="L86" s="15" t="n">
        <v>25</v>
      </c>
    </row>
    <row r="87" ht="16" customHeight="1">
      <c r="A87" s="109" t="inlineStr">
        <is>
          <t>Adidas</t>
        </is>
      </c>
      <c r="B87" s="123" t="inlineStr">
        <is>
          <t>Activewear</t>
        </is>
      </c>
      <c r="C87" s="8" t="n">
        <v>1216.910436</v>
      </c>
      <c r="D87" s="8" t="n">
        <v>992.586</v>
      </c>
      <c r="E87" s="6" t="n">
        <v>0</v>
      </c>
      <c r="F87" s="11" t="n">
        <v>2.001497427631579</v>
      </c>
      <c r="G87" s="6" t="n">
        <v>0</v>
      </c>
      <c r="H87" s="6" t="n">
        <v>0</v>
      </c>
      <c r="I87" s="6" t="n">
        <v>110</v>
      </c>
      <c r="J87" s="6" t="n">
        <v>94</v>
      </c>
      <c r="K87" s="6" t="n">
        <v>110</v>
      </c>
      <c r="L87" s="6" t="n">
        <v>52</v>
      </c>
    </row>
    <row r="88" ht="16" customHeight="1">
      <c r="A88" s="112" t="inlineStr">
        <is>
          <t>Marks_&amp;_Spencer</t>
        </is>
      </c>
      <c r="B88" s="116" t="inlineStr">
        <is>
          <t>Multi/Lifestyle</t>
        </is>
      </c>
      <c r="C88" s="17" t="n">
        <v>1216.48222125</v>
      </c>
      <c r="D88" s="17" t="n">
        <v>1152.5175</v>
      </c>
      <c r="E88" s="15" t="n">
        <v>0</v>
      </c>
      <c r="F88" s="20" t="n">
        <v>14.31155554411765</v>
      </c>
      <c r="G88" s="15" t="n">
        <v>0</v>
      </c>
      <c r="H88" s="15" t="n">
        <v>0</v>
      </c>
      <c r="I88" s="15" t="n">
        <v>41</v>
      </c>
      <c r="J88" s="15" t="n">
        <v>24</v>
      </c>
      <c r="K88" s="15" t="n">
        <v>11</v>
      </c>
      <c r="L88" s="15" t="n">
        <v>1</v>
      </c>
    </row>
    <row r="89" ht="16" customHeight="1">
      <c r="A89" s="109" t="inlineStr">
        <is>
          <t>Van_Heusen</t>
        </is>
      </c>
      <c r="B89" s="120" t="inlineStr">
        <is>
          <t>Premium Menswear</t>
        </is>
      </c>
      <c r="C89" s="8" t="n">
        <v>1184</v>
      </c>
      <c r="D89" s="8" t="n">
        <v>1036</v>
      </c>
      <c r="E89" s="6" t="n">
        <v>0</v>
      </c>
      <c r="F89" s="11" t="n">
        <v>1.82716049382716</v>
      </c>
      <c r="G89" s="6" t="n">
        <v>0</v>
      </c>
      <c r="H89" s="6" t="n">
        <v>0</v>
      </c>
      <c r="I89" s="6" t="n">
        <v>110</v>
      </c>
      <c r="J89" s="6" t="n">
        <v>99</v>
      </c>
      <c r="K89" s="6" t="n">
        <v>125</v>
      </c>
      <c r="L89" s="6" t="n">
        <v>60</v>
      </c>
    </row>
  </sheetData>
  <mergeCells count="6">
    <mergeCell ref="A38:L38"/>
    <mergeCell ref="A1:J1"/>
    <mergeCell ref="A21:J21"/>
    <mergeCell ref="A12:J12"/>
    <mergeCell ref="A3:I3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2026-06-08T04:55:08Z</dcterms:created>
  <dcterms:modified xmlns:dcterms="http://purl.org/dc/terms/" xmlns:xsi="http://www.w3.org/2001/XMLSchema-instance" xsi:type="dcterms:W3CDTF">2026-06-08T04:55:09Z</dcterms:modified>
</cp:coreProperties>
</file>