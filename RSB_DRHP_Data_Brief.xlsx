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Cover" sheetId="1" state="visible" r:id="rId3"/>
    <sheet name="1_A_Macro" sheetId="2" state="visible" r:id="rId4"/>
    <sheet name="2_B1_Retail" sheetId="3" state="visible" r:id="rId5"/>
    <sheet name="3_B2_Apparel" sheetId="4" state="visible" r:id="rId6"/>
    <sheet name="4_B3_Womens" sheetId="5" state="visible" r:id="rId7"/>
    <sheet name="5_B4_Mens_Kids" sheetId="6" state="visible" r:id="rId8"/>
    <sheet name="6_B5_Price_Segs" sheetId="7" state="visible" r:id="rId9"/>
    <sheet name="7_C1_SouthIndia" sheetId="8" state="visible" r:id="rId10"/>
    <sheet name="8_C2_LFS" sheetId="9" state="visible" r:id="rId11"/>
    <sheet name="9_C3_Value" sheetId="10" state="visible" r:id="rId12"/>
    <sheet name="10_RSB_Business" sheetId="11" state="visible" r:id="rId13"/>
    <sheet name="11_RSB_Financials" sheetId="12" state="visible" r:id="rId14"/>
    <sheet name="12_Peer_Revenue_Margins" sheetId="13" state="visible" r:id="rId15"/>
    <sheet name="13_Peer_Returns_Eff" sheetId="14" state="visible" r:id="rId16"/>
    <sheet name="14_Competitive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<sst xmlns="http://schemas.openxmlformats.org/spreadsheetml/2006/main" count="2498" uniqueCount="1485">
  <si>
    <t xml:space="preserve">RSB Retail India Limited — DRHP Data Brief</t>
  </si>
  <si>
    <t xml:space="preserve">Apparel Market &amp; Business Intelligence  ·  Pages 142–204</t>
  </si>
  <si>
    <t xml:space="preserve">Source: Technopak Report (Aug 12, 2025) + RSB Restated Financials FY2023–2025</t>
  </si>
  <si>
    <t xml:space="preserve">Prepared: June 2026  ·  All monetary values in INR Billion unless noted  ·  USD 1 = INR 80</t>
  </si>
  <si>
    <t xml:space="preserve">KEY METRICS AT A GLANCE</t>
  </si>
  <si>
    <t xml:space="preserve">Metric</t>
  </si>
  <si>
    <t xml:space="preserve">Value</t>
  </si>
  <si>
    <t xml:space="preserve">Context</t>
  </si>
  <si>
    <t xml:space="preserve">India Apparel Market (FY2024)</t>
  </si>
  <si>
    <t xml:space="preserve">₹6,212 Bn</t>
  </si>
  <si>
    <t xml:space="preserve">CAGR 11.7% → ₹10,815 Bn by FY29</t>
  </si>
  <si>
    <t xml:space="preserve">South India Apparel (FY2024)</t>
  </si>
  <si>
    <t xml:space="preserve">₹1,723 Bn</t>
  </si>
  <si>
    <t xml:space="preserve">CAGR 12.1% → ₹3,050 Bn by FY29</t>
  </si>
  <si>
    <t xml:space="preserve">RSB Revenue FY2025</t>
  </si>
  <si>
    <t xml:space="preserve">₹26,939 Mn</t>
  </si>
  <si>
    <t xml:space="preserve">CAGR 12.55% (FY23–25)</t>
  </si>
  <si>
    <t xml:space="preserve">RSB EBITDA Margin FY2025</t>
  </si>
  <si>
    <t xml:space="preserve">13.88%</t>
  </si>
  <si>
    <t xml:space="preserve">↑ from 10.31% in FY2023 (+357 bps)</t>
  </si>
  <si>
    <t xml:space="preserve">RSB Gross Margin FY2025</t>
  </si>
  <si>
    <t xml:space="preserve">37.59%</t>
  </si>
  <si>
    <t xml:space="preserve">↑ from 32.55% in FY2023 (+502 bps)</t>
  </si>
  <si>
    <t xml:space="preserve">RSB ROE / ROCE (FY2025)</t>
  </si>
  <si>
    <t xml:space="preserve">25.83% / 28.95%</t>
  </si>
  <si>
    <t xml:space="preserve">Recovering from FY2024 dip</t>
  </si>
  <si>
    <t xml:space="preserve">RSB Total Stores (Mar 2025)</t>
  </si>
  <si>
    <t xml:space="preserve">73 Stores</t>
  </si>
  <si>
    <t xml:space="preserve">22 Cities · 3 States</t>
  </si>
  <si>
    <t xml:space="preserve">South India Saree Mkt Share</t>
  </si>
  <si>
    <t xml:space="preserve">49.3%</t>
  </si>
  <si>
    <t xml:space="preserve">RSB's home geography dominates</t>
  </si>
  <si>
    <t xml:space="preserve">Organised Retail Share FY2029P</t>
  </si>
  <si>
    <t xml:space="preserve">24.2%</t>
  </si>
  <si>
    <t xml:space="preserve">Up from 18.2% in FY2024</t>
  </si>
  <si>
    <t xml:space="preserve">RSB Private Label Revenue</t>
  </si>
  <si>
    <t xml:space="preserve">7.25% of Rev</t>
  </si>
  <si>
    <t xml:space="preserve">↑ from 3.75% in FY2023</t>
  </si>
  <si>
    <t xml:space="preserve">RSB Avg Rev / Store (FY2025)</t>
  </si>
  <si>
    <t xml:space="preserve">₹369 Mn</t>
  </si>
  <si>
    <t xml:space="preserve">2nd highest among regional peers</t>
  </si>
  <si>
    <t xml:space="preserve">RSB SSSG FY2025</t>
  </si>
  <si>
    <t xml:space="preserve">(4.38)%</t>
  </si>
  <si>
    <t xml:space="preserve">⚠ Negative — key risk to monitor</t>
  </si>
  <si>
    <t xml:space="preserve">SHEET INDEX</t>
  </si>
  <si>
    <t xml:space="preserve">Sheet Name</t>
  </si>
  <si>
    <t xml:space="preserve">Section</t>
  </si>
  <si>
    <t xml:space="preserve">Contents</t>
  </si>
  <si>
    <t xml:space="preserve">Colour</t>
  </si>
  <si>
    <t xml:space="preserve">1_A_Macro</t>
  </si>
  <si>
    <t xml:space="preserve">Section A — Macro India</t>
  </si>
  <si>
    <t xml:space="preserve">GDP, Per Capita, Demographics, Urbanisation, Digital, Growth Drivers</t>
  </si>
  <si>
    <t xml:space="preserve">Blue</t>
  </si>
  <si>
    <t xml:space="preserve">2_B1_Retail</t>
  </si>
  <si>
    <t xml:space="preserve">Section B1 — India Retail Market</t>
  </si>
  <si>
    <t xml:space="preserve">Total retail, channel split, consumption basket by category</t>
  </si>
  <si>
    <t xml:space="preserve">Teal</t>
  </si>
  <si>
    <t xml:space="preserve">3_B2_Apparel</t>
  </si>
  <si>
    <t xml:space="preserve">Section B2 — Total Apparel Market</t>
  </si>
  <si>
    <t xml:space="preserve">By gender, organised vs unorganised by segment FY19–FY29</t>
  </si>
  <si>
    <t xml:space="preserve">4_B3_Womens</t>
  </si>
  <si>
    <t xml:space="preserve">Section B3 — Women's Apparel &amp; Saree</t>
  </si>
  <si>
    <t xml:space="preserve">Subcategories, Indian wear by product, saree regional split, festive/wedding</t>
  </si>
  <si>
    <t xml:space="preserve">5_B4_Mens_Kids</t>
  </si>
  <si>
    <t xml:space="preserve">Section B4 — Men's &amp; Kids' Apparel</t>
  </si>
  <si>
    <t xml:space="preserve">Men's subcategories, kids' subcategories, both FY19–FY29</t>
  </si>
  <si>
    <t xml:space="preserve">6_B5_Price_Segs</t>
  </si>
  <si>
    <t xml:space="preserve">Section B5 — Price Segments &amp; Subcategories</t>
  </si>
  <si>
    <t xml:space="preserve">Value/Mid/Premium split, all apparel subcategories</t>
  </si>
  <si>
    <t xml:space="preserve">7_C1_SouthIndia</t>
  </si>
  <si>
    <t xml:space="preserve">Section C1 — South India Market</t>
  </si>
  <si>
    <t xml:space="preserve">Total + channel + gender + subcategory + state breakdown</t>
  </si>
  <si>
    <t xml:space="preserve">Purple</t>
  </si>
  <si>
    <t xml:space="preserve">8_C2_LFS</t>
  </si>
  <si>
    <t xml:space="preserve">Section C2 — Large Format Store Market</t>
  </si>
  <si>
    <t xml:space="preserve">LFS market by region, regional &amp; national player overviews, store counts</t>
  </si>
  <si>
    <t xml:space="preserve">9_C3_Value</t>
  </si>
  <si>
    <t xml:space="preserve">Section C3 — Value Retail Market</t>
  </si>
  <si>
    <t xml:space="preserve">Value retail market by category + region, player overview, benchmarks</t>
  </si>
  <si>
    <t xml:space="preserve">10_RSB_Business</t>
  </si>
  <si>
    <t xml:space="preserve">Section C4 — RSB Business</t>
  </si>
  <si>
    <t xml:space="preserve">Store formats, revenue by format/product/state, store detail, private labels</t>
  </si>
  <si>
    <t xml:space="preserve">11_RSB_Financials</t>
  </si>
  <si>
    <t xml:space="preserve">Section C5 — RSB Financials</t>
  </si>
  <si>
    <t xml:space="preserve">P&amp;L (FY23–25), key ratios, operational KPIs (bills, AOV, ASP, SSSG)</t>
  </si>
  <si>
    <t xml:space="preserve">12_Peer_Revenue</t>
  </si>
  <si>
    <t xml:space="preserve">Section C6a — Peer Revenue &amp; Margins</t>
  </si>
  <si>
    <t xml:space="preserve">Revenue, gross margin, EBITDA, PAT benchmarking vs 15+ peers</t>
  </si>
  <si>
    <t xml:space="preserve">13_Peer_Returns</t>
  </si>
  <si>
    <t xml:space="preserve">Section C6b — Peer Returns &amp; Efficiency</t>
  </si>
  <si>
    <t xml:space="preserve">ROE, ROCE, D/E, inventory turnover, WC days, SSSG, store metrics</t>
  </si>
  <si>
    <t xml:space="preserve">14_Competitive</t>
  </si>
  <si>
    <t xml:space="preserve">Section C7 — Competitive Position</t>
  </si>
  <si>
    <t xml:space="preserve">Format matrix, store count trends, store-level KPIs (AOV, ASP, bills)</t>
  </si>
  <si>
    <t xml:space="preserve">SECTION A — MACRO INDIA CONTEXT</t>
  </si>
  <si>
    <t xml:space="preserve">A.1  INDIA GDP &amp; GROWTH TRAJECTORY</t>
  </si>
  <si>
    <t xml:space="preserve">FY2021</t>
  </si>
  <si>
    <t xml:space="preserve">FY2022</t>
  </si>
  <si>
    <t xml:space="preserve">FY2023</t>
  </si>
  <si>
    <t xml:space="preserve">FY2024</t>
  </si>
  <si>
    <t xml:space="preserve">FY2028P</t>
  </si>
  <si>
    <t xml:space="preserve">FY2029P</t>
  </si>
  <si>
    <t xml:space="preserve">CAGR FY15–24</t>
  </si>
  <si>
    <t xml:space="preserve">CAGR FY24–29P</t>
  </si>
  <si>
    <t xml:space="preserve">Nominal GDP (USD Trillion)</t>
  </si>
  <si>
    <t xml:space="preserve">10.3%</t>
  </si>
  <si>
    <t xml:space="preserve">8.7%</t>
  </si>
  <si>
    <t xml:space="preserve">Real GDP (USD Trillion)</t>
  </si>
  <si>
    <t xml:space="preserve">6.5%</t>
  </si>
  <si>
    <t xml:space="preserve">Nominal GDP Growth Rate (%)</t>
  </si>
  <si>
    <t xml:space="preserve">-1.2%</t>
  </si>
  <si>
    <t xml:space="preserve">18.9%</t>
  </si>
  <si>
    <t xml:space="preserve">14.0%</t>
  </si>
  <si>
    <t xml:space="preserve">12.0%</t>
  </si>
  <si>
    <t xml:space="preserve">7.5%</t>
  </si>
  <si>
    <t xml:space="preserve">Real GDP Growth Rate (%)</t>
  </si>
  <si>
    <t xml:space="preserve">-5.8%</t>
  </si>
  <si>
    <t xml:space="preserve">9.1%</t>
  </si>
  <si>
    <t xml:space="preserve">7.0%</t>
  </si>
  <si>
    <t xml:space="preserve">8.2%</t>
  </si>
  <si>
    <t xml:space="preserve">Global Nominal GDP Rank</t>
  </si>
  <si>
    <t xml:space="preserve">5th</t>
  </si>
  <si>
    <t xml:space="preserve">3rd (proj)</t>
  </si>
  <si>
    <t xml:space="preserve">PFCE as % of GDP</t>
  </si>
  <si>
    <t xml:space="preserve">58.5%</t>
  </si>
  <si>
    <t xml:space="preserve">58.5% (proj)</t>
  </si>
  <si>
    <t xml:space="preserve">Source: RBI, IMF Projections, Technopak Analysis (Aug 2025)  ·  Note: USD 1 = INR 80</t>
  </si>
  <si>
    <t xml:space="preserve">[THESIS]  India's nominal GDP growing at CAGR 8.7% (FY24–29P) — nearly 2x the world average since FY2005. Absolute consumption pool will nearly double by FY29, directly expanding the addressable apparel market without requiring any market share gain from existing players.</t>
  </si>
  <si>
    <t xml:space="preserve">A.2  PER CAPITA CONSUMPTION &amp; INCOME</t>
  </si>
  <si>
    <t xml:space="preserve">Indicator</t>
  </si>
  <si>
    <t xml:space="preserve">FY2018</t>
  </si>
  <si>
    <t xml:space="preserve">FY2019</t>
  </si>
  <si>
    <t xml:space="preserve">FY2020</t>
  </si>
  <si>
    <t xml:space="preserve">FY2025P</t>
  </si>
  <si>
    <t xml:space="preserve">Per Capita PFCE (INR)</t>
  </si>
  <si>
    <t xml:space="preserve">Per Capita PFCE YoY Growth</t>
  </si>
  <si>
    <t xml:space="preserve">10.6%</t>
  </si>
  <si>
    <t xml:space="preserve">-2.0%</t>
  </si>
  <si>
    <t xml:space="preserve">13.0%</t>
  </si>
  <si>
    <t xml:space="preserve">Per Capita GNI (INR)</t>
  </si>
  <si>
    <t xml:space="preserve">Per Capita GNI YoY Growth</t>
  </si>
  <si>
    <t xml:space="preserve">9.9%</t>
  </si>
  <si>
    <t xml:space="preserve">-2.8%</t>
  </si>
  <si>
    <t xml:space="preserve">7.1%</t>
  </si>
  <si>
    <t xml:space="preserve">17.0%</t>
  </si>
  <si>
    <t xml:space="preserve">Source: Ministry of Statistics &amp; Programme Implementation, Technopak Analysis</t>
  </si>
  <si>
    <t xml:space="preserve">A.2b  SOUTH INDIA — PER CAPITA NSDP (FY2024)</t>
  </si>
  <si>
    <t xml:space="preserve">State</t>
  </si>
  <si>
    <t xml:space="preserve">Per Capita NSDP (INR)</t>
  </si>
  <si>
    <t xml:space="preserve">vs National Avg (INR ~1,72,000P)</t>
  </si>
  <si>
    <t xml:space="preserve">RSB Presence</t>
  </si>
  <si>
    <t xml:space="preserve">Karnataka</t>
  </si>
  <si>
    <t xml:space="preserve">Above avg +8.2%</t>
  </si>
  <si>
    <t xml:space="preserve">Expanding — De Royal Bengaluru</t>
  </si>
  <si>
    <t xml:space="preserve">Telangana</t>
  </si>
  <si>
    <t xml:space="preserve">Above avg +6.9%</t>
  </si>
  <si>
    <t xml:space="preserve">PRIMARY MARKET — 61.9% of revenue</t>
  </si>
  <si>
    <t xml:space="preserve">Tamil Nadu</t>
  </si>
  <si>
    <t xml:space="preserve">Above avg +4.5%</t>
  </si>
  <si>
    <t xml:space="preserve">Target expansion state (LOI signed)</t>
  </si>
  <si>
    <t xml:space="preserve">Kerala</t>
  </si>
  <si>
    <t xml:space="preserve">Below avg -5.8%</t>
  </si>
  <si>
    <t xml:space="preserve">Not yet entered</t>
  </si>
  <si>
    <t xml:space="preserve">Andhra Pradesh</t>
  </si>
  <si>
    <t xml:space="preserve">Below avg -21.0%</t>
  </si>
  <si>
    <t xml:space="preserve">SECOND MARKET — 38.0% of revenue</t>
  </si>
  <si>
    <t xml:space="preserve">Source: Secondary Research (State Governments)  ·  National Avg estimate based on Per Capita NNI FY2024</t>
  </si>
  <si>
    <t xml:space="preserve">A.2c  PER CAPITA GNI GROWTH RATE — KEY ECONOMIES (2018–2023)</t>
  </si>
  <si>
    <t xml:space="preserve">Country</t>
  </si>
  <si>
    <t xml:space="preserve">India</t>
  </si>
  <si>
    <t xml:space="preserve">China</t>
  </si>
  <si>
    <t xml:space="preserve">Vietnam</t>
  </si>
  <si>
    <t xml:space="preserve">USA</t>
  </si>
  <si>
    <t xml:space="preserve">Brazil</t>
  </si>
  <si>
    <t xml:space="preserve">Germany</t>
  </si>
  <si>
    <t xml:space="preserve">CAGR 2018–2023</t>
  </si>
  <si>
    <t xml:space="preserve">8.5%</t>
  </si>
  <si>
    <t xml:space="preserve">5.0%</t>
  </si>
  <si>
    <t xml:space="preserve">4.8%</t>
  </si>
  <si>
    <t xml:space="preserve">1.7%</t>
  </si>
  <si>
    <t xml:space="preserve">1.0%</t>
  </si>
  <si>
    <t xml:space="preserve">0.5%</t>
  </si>
  <si>
    <t xml:space="preserve">Source: Secondary Research  ·  India calculation for Fiscal 2019–Fiscal 2024</t>
  </si>
  <si>
    <t xml:space="preserve">A.3  DEMOGRAPHICS &amp; AGE STRUCTURE (FY2024)</t>
  </si>
  <si>
    <t xml:space="preserve">Age Group</t>
  </si>
  <si>
    <t xml:space="preserve">Share of Population (%)</t>
  </si>
  <si>
    <t xml:space="preserve">Absolute (mn) ~</t>
  </si>
  <si>
    <t xml:space="preserve">Apparel Segment</t>
  </si>
  <si>
    <t xml:space="preserve">Under 15 (Kids)</t>
  </si>
  <si>
    <t xml:space="preserve">25%</t>
  </si>
  <si>
    <t xml:space="preserve">357</t>
  </si>
  <si>
    <t xml:space="preserve">Kids wear market</t>
  </si>
  <si>
    <t xml:space="preserve">15–24 (Gen Z)</t>
  </si>
  <si>
    <t xml:space="preserve">18%</t>
  </si>
  <si>
    <t xml:space="preserve">257</t>
  </si>
  <si>
    <t xml:space="preserve">Fast fashion, athleisure, D2C, digital-first</t>
  </si>
  <si>
    <t xml:space="preserve">25–34 (Millennial)</t>
  </si>
  <si>
    <t xml:space="preserve">17%</t>
  </si>
  <si>
    <t xml:space="preserve">243</t>
  </si>
  <si>
    <t xml:space="preserve">Core apparel buyer — ethnic + western, brand-aware</t>
  </si>
  <si>
    <t xml:space="preserve">35–44</t>
  </si>
  <si>
    <t xml:space="preserve">14%</t>
  </si>
  <si>
    <t xml:space="preserve">200</t>
  </si>
  <si>
    <t xml:space="preserve">Premium ethnic, occasion wear, higher AOV</t>
  </si>
  <si>
    <t xml:space="preserve">45–54</t>
  </si>
  <si>
    <t xml:space="preserve">11%</t>
  </si>
  <si>
    <t xml:space="preserve">157</t>
  </si>
  <si>
    <t xml:space="preserve">Festive &amp; wedding wear demand</t>
  </si>
  <si>
    <t xml:space="preserve">55–70</t>
  </si>
  <si>
    <t xml:space="preserve">Traditional ethnic wear buyers</t>
  </si>
  <si>
    <t xml:space="preserve">70+</t>
  </si>
  <si>
    <t xml:space="preserve">4%</t>
  </si>
  <si>
    <t xml:space="preserve">57</t>
  </si>
  <si>
    <t xml:space="preserve">Smaller segment</t>
  </si>
  <si>
    <t xml:space="preserve">Total (74% aged 15–45)</t>
  </si>
  <si>
    <t xml:space="preserve">100%</t>
  </si>
  <si>
    <t xml:space="preserve">~1,430 mn</t>
  </si>
  <si>
    <t xml:space="preserve">India is world's most populous (2023)</t>
  </si>
  <si>
    <t xml:space="preserve">Source: UN DESA Population Division 2024, Technopak Estimates  ·  Population = 1,430 mn (2023)</t>
  </si>
  <si>
    <t xml:space="preserve">A.3b  MEDIAN AGE — KEY GLOBAL ECONOMIES (2023)</t>
  </si>
  <si>
    <t xml:space="preserve">Australia</t>
  </si>
  <si>
    <t xml:space="preserve">UK</t>
  </si>
  <si>
    <t xml:space="preserve">France</t>
  </si>
  <si>
    <t xml:space="preserve">Japan</t>
  </si>
  <si>
    <t xml:space="preserve">Median Age (Years)</t>
  </si>
  <si>
    <t xml:space="preserve">Source: World Population Review 2023</t>
  </si>
  <si>
    <t xml:space="preserve">A.4  URBANISATION &amp; DIGITAL PENETRATION</t>
  </si>
  <si>
    <t xml:space="preserve">Urban Population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</si>
  <si>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</si>
  <si>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</si>
  <si>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</si>
  <si>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</si>
  <si>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</si>
  <si>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</si>
  <si>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</si>
  <si>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</si>
  <si>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</si>
  <si>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2030P</t>
  </si>
  <si>
    <t xml:space="preserve">Urban Population (mn)</t>
  </si>
  <si>
    <t xml:space="preserve">—</t>
  </si>
  <si>
    <t xml:space="preserve">Urban % of Total Pop</t>
  </si>
  <si>
    <t xml:space="preserve">33.6%</t>
  </si>
  <si>
    <t xml:space="preserve">34.0%</t>
  </si>
  <si>
    <t xml:space="preserve">34.5%</t>
  </si>
  <si>
    <t xml:space="preserve">34.9%</t>
  </si>
  <si>
    <t xml:space="preserve">35.4%</t>
  </si>
  <si>
    <t xml:space="preserve">35.9%</t>
  </si>
  <si>
    <t xml:space="preserve">36.4%</t>
  </si>
  <si>
    <t xml:space="preserve">40.9%</t>
  </si>
  <si>
    <t xml:space="preserve">Urban % of GDP</t>
  </si>
  <si>
    <t xml:space="preserve">63%</t>
  </si>
  <si>
    <t xml:space="preserve">Source: World Bank, Technopak Analysis  ·  Calendar Years</t>
  </si>
  <si>
    <t xml:space="preserve">Digital Penetration</t>
  </si>
  <si>
    <t xml:space="preserve">Digital Metric</t>
  </si>
  <si>
    <t xml:space="preserve">2010</t>
  </si>
  <si>
    <t xml:space="preserve">2025P</t>
  </si>
  <si>
    <t xml:space="preserve">CAGR 2015–20</t>
  </si>
  <si>
    <t xml:space="preserve">CAGR 2020–25</t>
  </si>
  <si>
    <t xml:space="preserve">Internet Users (mn)</t>
  </si>
  <si>
    <t xml:space="preserve">900–1,000</t>
  </si>
  <si>
    <t xml:space="preserve">6–8%</t>
  </si>
  <si>
    <t xml:space="preserve">Mobile Internet Users (mn)</t>
  </si>
  <si>
    <t xml:space="preserve">730–820</t>
  </si>
  <si>
    <t xml:space="preserve">9–11%</t>
  </si>
  <si>
    <t xml:space="preserve">Mobile % of Total Internet Users</t>
  </si>
  <si>
    <t xml:space="preserve">34%</t>
  </si>
  <si>
    <t xml:space="preserve">45%</t>
  </si>
  <si>
    <t xml:space="preserve">73%</t>
  </si>
  <si>
    <t xml:space="preserve">74%</t>
  </si>
  <si>
    <t xml:space="preserve">82%</t>
  </si>
  <si>
    <t xml:space="preserve">Source: Secondary Research, Technopak Analysis</t>
  </si>
  <si>
    <t xml:space="preserve">A.5  KEY GROWTH DRIVERS</t>
  </si>
  <si>
    <t xml:space="preserve">Driver</t>
  </si>
  <si>
    <t xml:space="preserve">Key Statistic</t>
  </si>
  <si>
    <t xml:space="preserve">FY/Year</t>
  </si>
  <si>
    <t xml:space="preserve">Apparel Implication</t>
  </si>
  <si>
    <t xml:space="preserve">Growing Middle Class</t>
  </si>
  <si>
    <t xml:space="preserve">HH earning USD 10–50K: 5.8% → 34.5% → 42%</t>
  </si>
  <si>
    <t xml:space="preserve">FY10 → FY23 → FY30P</t>
  </si>
  <si>
    <t xml:space="preserve">Expands addressable market for mid-premium formats</t>
  </si>
  <si>
    <t xml:space="preserve">Women Workforce (LFPR)</t>
  </si>
  <si>
    <t xml:space="preserve">Female LFPR: 23.3% → 41.7% (+18.4pp)</t>
  </si>
  <si>
    <t xml:space="preserve">FY2018 → FY2024</t>
  </si>
  <si>
    <t xml:space="preserve">Working women drive branded ethnic + fashion purchases</t>
  </si>
  <si>
    <t xml:space="preserve">Nuclearisation</t>
  </si>
  <si>
    <t xml:space="preserve">Avg HH size: 5.3 → 4.2 → 3.9 (projected)</t>
  </si>
  <si>
    <t xml:space="preserve">FY01 → FY23 → FY30P</t>
  </si>
  <si>
    <t xml:space="preserve">More buying units; drives discretionary apparel spend</t>
  </si>
  <si>
    <t xml:space="preserve">Remittances</t>
  </si>
  <si>
    <t xml:space="preserve">USD 119.5 Bn → USD 129.5 Bn (+8% YoY)</t>
  </si>
  <si>
    <t xml:space="preserve">2023 → 2024</t>
  </si>
  <si>
    <t xml:space="preserve">Fuels festive/ethnic wear buying in South India</t>
  </si>
  <si>
    <t xml:space="preserve">Digital Economy</t>
  </si>
  <si>
    <t xml:space="preserve">Internet users: 350 Mn → 881 Mn (CAGR 12%)</t>
  </si>
  <si>
    <t xml:space="preserve">2015 → 2024</t>
  </si>
  <si>
    <t xml:space="preserve">Enables e-commerce + brand discovery in Tier 2/3 cities</t>
  </si>
  <si>
    <t xml:space="preserve">Urbanisation</t>
  </si>
  <si>
    <t xml:space="preserve">519 Mn urban (36%) → 613 Mn (41%) by 2030</t>
  </si>
  <si>
    <t xml:space="preserve">2023 → 2030P</t>
  </si>
  <si>
    <t xml:space="preserve">Urban consumers = higher organised retail penetration</t>
  </si>
  <si>
    <t xml:space="preserve">Young Demographics</t>
  </si>
  <si>
    <t xml:space="preserve">Median age 29.5 yrs; 74% population aged 15–45</t>
  </si>
  <si>
    <t xml:space="preserve">Brand-aware, trend-sensitive, high apparel spend cohort</t>
  </si>
  <si>
    <t xml:space="preserve">Source: EIU, Technopak Estimates, MOSPI, World Bank, PLFS — compiled from RSB DRHP Industry Overview</t>
  </si>
  <si>
    <t xml:space="preserve">SECTION B1 — INDIA RETAIL MARKET OVERVIEW</t>
  </si>
  <si>
    <t xml:space="preserve">B1.1  INDIA RETAIL MARKET — CHANNEL SPLIT (INR BILLION)</t>
  </si>
  <si>
    <t xml:space="preserve">Segment</t>
  </si>
  <si>
    <t xml:space="preserve">FY2025E</t>
  </si>
  <si>
    <t xml:space="preserve">CAGR 19–24</t>
  </si>
  <si>
    <t xml:space="preserve">CAGR 24–25E</t>
  </si>
  <si>
    <t xml:space="preserve">CAGR 24–29P</t>
  </si>
  <si>
    <t xml:space="preserve">Unorganised</t>
  </si>
  <si>
    <t xml:space="preserve">7.4%</t>
  </si>
  <si>
    <t xml:space="preserve">Organised B&amp;M</t>
  </si>
  <si>
    <t xml:space="preserve">18.7%</t>
  </si>
  <si>
    <t xml:space="preserve">14.6%</t>
  </si>
  <si>
    <t xml:space="preserve">E-commerce</t>
  </si>
  <si>
    <t xml:space="preserve">25.3%</t>
  </si>
  <si>
    <t xml:space="preserve">22.4%</t>
  </si>
  <si>
    <t xml:space="preserve">18.2%</t>
  </si>
  <si>
    <t xml:space="preserve">Total Retail</t>
  </si>
  <si>
    <t xml:space="preserve">9.3%</t>
  </si>
  <si>
    <t xml:space="preserve">9.4%</t>
  </si>
  <si>
    <t xml:space="preserve">9.8%</t>
  </si>
  <si>
    <t xml:space="preserve">Organised Share (%)</t>
  </si>
  <si>
    <t xml:space="preserve">10.8%</t>
  </si>
  <si>
    <t xml:space="preserve">19.6%</t>
  </si>
  <si>
    <t xml:space="preserve">E-commerce Share (%)</t>
  </si>
  <si>
    <t xml:space="preserve">4.1%</t>
  </si>
  <si>
    <t xml:space="preserve">8.1%</t>
  </si>
  <si>
    <t xml:space="preserve">9.0%</t>
  </si>
  <si>
    <t xml:space="preserve">11.7%</t>
  </si>
  <si>
    <t xml:space="preserve">B1.2  INDIA RETAIL BASKET — KEY CATEGORIES (INR BILLION)</t>
  </si>
  <si>
    <t xml:space="preserve">Key Category</t>
  </si>
  <si>
    <t xml:space="preserve">Share FY24</t>
  </si>
  <si>
    <t xml:space="preserve">Share FY29P</t>
  </si>
  <si>
    <t xml:space="preserve">Food &amp; Grocery</t>
  </si>
  <si>
    <t xml:space="preserve">63.8%</t>
  </si>
  <si>
    <t xml:space="preserve">60.1%</t>
  </si>
  <si>
    <t xml:space="preserve">8.4%</t>
  </si>
  <si>
    <t xml:space="preserve">Jewellery</t>
  </si>
  <si>
    <t xml:space="preserve">8.0%</t>
  </si>
  <si>
    <t xml:space="preserve">10.0%</t>
  </si>
  <si>
    <t xml:space="preserve">14.9%</t>
  </si>
  <si>
    <t xml:space="preserve">Consumer Electronics</t>
  </si>
  <si>
    <t xml:space="preserve">7.2%</t>
  </si>
  <si>
    <t xml:space="preserve">12.3%</t>
  </si>
  <si>
    <t xml:space="preserve">Apparel &amp; Accessories</t>
  </si>
  <si>
    <t xml:space="preserve">7.3%</t>
  </si>
  <si>
    <t xml:space="preserve">Pharmacy &amp; Wellness</t>
  </si>
  <si>
    <t xml:space="preserve">3.0%</t>
  </si>
  <si>
    <t xml:space="preserve">3.4%</t>
  </si>
  <si>
    <t xml:space="preserve">12.2%</t>
  </si>
  <si>
    <t xml:space="preserve">Home &amp; Living</t>
  </si>
  <si>
    <t xml:space="preserve">4.2%</t>
  </si>
  <si>
    <t xml:space="preserve">4.4%</t>
  </si>
  <si>
    <t xml:space="preserve">Footwear</t>
  </si>
  <si>
    <t xml:space="preserve">1.1%</t>
  </si>
  <si>
    <t xml:space="preserve">11.2%</t>
  </si>
  <si>
    <t xml:space="preserve">Non-Apparel Accessories</t>
  </si>
  <si>
    <t xml:space="preserve">0.6%</t>
  </si>
  <si>
    <t xml:space="preserve">11.8%</t>
  </si>
  <si>
    <t xml:space="preserve">Watches</t>
  </si>
  <si>
    <t xml:space="preserve">0.2%</t>
  </si>
  <si>
    <t xml:space="preserve">Others</t>
  </si>
  <si>
    <t xml:space="preserve">4.7%</t>
  </si>
  <si>
    <t xml:space="preserve">TOTAL RETAIL</t>
  </si>
  <si>
    <t xml:space="preserve">Source: Secondary Research, Technopak Analysis  ·  Values in INR Billion  ·  Apparel &amp; Accessories share rising from 7.3% to 8.0% — gaining wallet share</t>
  </si>
  <si>
    <t xml:space="preserve">B1.3  HOUSEHOLD EXPENDITURE SPLIT (FISCAL 2024)</t>
  </si>
  <si>
    <t xml:space="preserve">Broad Category</t>
  </si>
  <si>
    <t xml:space="preserve">Share of HH Expenditure</t>
  </si>
  <si>
    <t xml:space="preserve">Sub-Category</t>
  </si>
  <si>
    <t xml:space="preserve">Share of Wallet</t>
  </si>
  <si>
    <t xml:space="preserve">Merchandise Retail</t>
  </si>
  <si>
    <t xml:space="preserve">~48%</t>
  </si>
  <si>
    <t xml:space="preserve">30.3%</t>
  </si>
  <si>
    <t xml:space="preserve">3.7%</t>
  </si>
  <si>
    <t xml:space="preserve">3.5%</t>
  </si>
  <si>
    <t xml:space="preserve">Pharma &amp; Wellness</t>
  </si>
  <si>
    <t xml:space="preserve">1.4%</t>
  </si>
  <si>
    <t xml:space="preserve">Consumer Durables &amp; IT</t>
  </si>
  <si>
    <t xml:space="preserve">2.0%</t>
  </si>
  <si>
    <t xml:space="preserve">Others Retail</t>
  </si>
  <si>
    <t xml:space="preserve">2.3%</t>
  </si>
  <si>
    <t xml:space="preserve">Services</t>
  </si>
  <si>
    <t xml:space="preserve">~52%</t>
  </si>
  <si>
    <t xml:space="preserve">Healthcare, Travel, Hospitality, etc.</t>
  </si>
  <si>
    <t xml:space="preserve">52%</t>
  </si>
  <si>
    <t xml:space="preserve">Source: Technopak Analysis (Fiscal 2024)</t>
  </si>
  <si>
    <t xml:space="preserve">SECTION B2 — INDIA TOTAL APPAREL MARKET</t>
  </si>
  <si>
    <t xml:space="preserve">B2.1  TOTAL APPAREL MARKET BY GENDER (INR BILLION)</t>
  </si>
  <si>
    <t xml:space="preserve">Category</t>
  </si>
  <si>
    <t xml:space="preserve">Menswear</t>
  </si>
  <si>
    <t xml:space="preserve">11.4%</t>
  </si>
  <si>
    <t xml:space="preserve">Womenswear</t>
  </si>
  <si>
    <t xml:space="preserve">9.2%</t>
  </si>
  <si>
    <t xml:space="preserve">11.9%</t>
  </si>
  <si>
    <t xml:space="preserve">Kidswear</t>
  </si>
  <si>
    <t xml:space="preserve">11.3%</t>
  </si>
  <si>
    <t xml:space="preserve">TOTAL APPAREL</t>
  </si>
  <si>
    <t xml:space="preserve">11.1%</t>
  </si>
  <si>
    <t xml:space="preserve">Source: Secondary Research, Technopak Analysis  ·  Values in INR Billion</t>
  </si>
  <si>
    <t xml:space="preserve">B2.2  ORGANISED VS UNORGANISED BY GENDER SEGMENT</t>
  </si>
  <si>
    <t xml:space="preserve">Org% FY2019</t>
  </si>
  <si>
    <t xml:space="preserve">Org% FY2024</t>
  </si>
  <si>
    <t xml:space="preserve">Org% FY2025E</t>
  </si>
  <si>
    <t xml:space="preserve">Org% FY2029P</t>
  </si>
  <si>
    <t xml:space="preserve">Org CAGR 24–29P</t>
  </si>
  <si>
    <t xml:space="preserve">Unorg CAGR 24–29P</t>
  </si>
  <si>
    <t xml:space="preserve">Organised Mkt Size FY24 (INR Bn)</t>
  </si>
  <si>
    <t xml:space="preserve">30.0%</t>
  </si>
  <si>
    <t xml:space="preserve">41.0%</t>
  </si>
  <si>
    <t xml:space="preserve">41.5%</t>
  </si>
  <si>
    <t xml:space="preserve">49.0%</t>
  </si>
  <si>
    <t xml:space="preserve">15.9%</t>
  </si>
  <si>
    <t xml:space="preserve">40.0%</t>
  </si>
  <si>
    <t xml:space="preserve">52.0%</t>
  </si>
  <si>
    <t xml:space="preserve">54.1%</t>
  </si>
  <si>
    <t xml:space="preserve">59.0%</t>
  </si>
  <si>
    <t xml:space="preserve">14.3%</t>
  </si>
  <si>
    <t xml:space="preserve">7.9%</t>
  </si>
  <si>
    <t xml:space="preserve">29.0%</t>
  </si>
  <si>
    <t xml:space="preserve">31.5%</t>
  </si>
  <si>
    <t xml:space="preserve">40.2%</t>
  </si>
  <si>
    <t xml:space="preserve">8.3%</t>
  </si>
  <si>
    <t xml:space="preserve">Source: Secondary Research, Technopak Analysis  ·  Organised CAGR running at ~2x unorganised CAGR across all segments</t>
  </si>
  <si>
    <t xml:space="preserve">[THESIS]  Organised retail CAGR (14–20%) running at 2x unorganised CAGR (8–9%) across all three gender segments. Kidswear at only 29% organised in FY24 — largest absolute headroom. Womenswear organised CAGR of 15.9% directly supports RSB's women-heavy revenue mix (54% of FY25 revenue).</t>
  </si>
  <si>
    <t xml:space="preserve">B2.3  GENDER MIX SHARE TREND (%)</t>
  </si>
  <si>
    <t xml:space="preserve">Share FY2019</t>
  </si>
  <si>
    <t xml:space="preserve">Share FY2024</t>
  </si>
  <si>
    <t xml:space="preserve">Share FY2025E</t>
  </si>
  <si>
    <t xml:space="preserve">Share FY2029P</t>
  </si>
  <si>
    <t xml:space="preserve">Trend</t>
  </si>
  <si>
    <t xml:space="preserve">41.1%</t>
  </si>
  <si>
    <t xml:space="preserve">40.5%</t>
  </si>
  <si>
    <t xml:space="preserve">40.3%</t>
  </si>
  <si>
    <t xml:space="preserve">39.9%</t>
  </si>
  <si>
    <t xml:space="preserve">Slowly declining share</t>
  </si>
  <si>
    <t xml:space="preserve">36.7%</t>
  </si>
  <si>
    <t xml:space="preserve">37.0%</t>
  </si>
  <si>
    <t xml:space="preserve">37.1%</t>
  </si>
  <si>
    <t xml:space="preserve">37.3%</t>
  </si>
  <si>
    <t xml:space="preserve">Gaining share gradually</t>
  </si>
  <si>
    <t xml:space="preserve">22.2%</t>
  </si>
  <si>
    <t xml:space="preserve">22.5%</t>
  </si>
  <si>
    <t xml:space="preserve">22.6%</t>
  </si>
  <si>
    <t xml:space="preserve">22.9%</t>
  </si>
  <si>
    <t xml:space="preserve">Slightly gaining share</t>
  </si>
  <si>
    <t xml:space="preserve">SECTION B3 — WOMEN'S APPAREL &amp; SAREE MARKET</t>
  </si>
  <si>
    <t xml:space="preserve">B3.1  WOMEN'S APPAREL — SUB-CATEGORY SPLIT (INR BILLION)</t>
  </si>
  <si>
    <t xml:space="preserve">Ethnic/Indian Wear</t>
  </si>
  <si>
    <t xml:space="preserve">10.2%</t>
  </si>
  <si>
    <t xml:space="preserve">Innerwear</t>
  </si>
  <si>
    <t xml:space="preserve">14.8%</t>
  </si>
  <si>
    <t xml:space="preserve">Westernwear</t>
  </si>
  <si>
    <t xml:space="preserve">12.1%</t>
  </si>
  <si>
    <t xml:space="preserve">16.2%</t>
  </si>
  <si>
    <t xml:space="preserve">Denim</t>
  </si>
  <si>
    <t xml:space="preserve">15.4%</t>
  </si>
  <si>
    <t xml:space="preserve">24.7%</t>
  </si>
  <si>
    <t xml:space="preserve">14.4%</t>
  </si>
  <si>
    <t xml:space="preserve">Winterwear</t>
  </si>
  <si>
    <t xml:space="preserve">4.3%</t>
  </si>
  <si>
    <t xml:space="preserve">Activewear</t>
  </si>
  <si>
    <t xml:space="preserve">30.1%</t>
  </si>
  <si>
    <t xml:space="preserve">20.8%</t>
  </si>
  <si>
    <t xml:space="preserve">17.7%</t>
  </si>
  <si>
    <t xml:space="preserve">Other</t>
  </si>
  <si>
    <t xml:space="preserve">10.4%</t>
  </si>
  <si>
    <t xml:space="preserve">TOTAL WOMEN'S</t>
  </si>
  <si>
    <t xml:space="preserve">Source: Secondary Research, Technopak Analysis  ·  Ethnic/Indian Wear = 65.4% of women's market in FY2024</t>
  </si>
  <si>
    <t xml:space="preserve">B3.2  WOMEN'S INDIAN WEAR — BY PRODUCT TYPE (INR BILLION)</t>
  </si>
  <si>
    <t xml:space="preserve">Product Type</t>
  </si>
  <si>
    <t xml:space="preserve">Saree</t>
  </si>
  <si>
    <t xml:space="preserve">~37.5%</t>
  </si>
  <si>
    <t xml:space="preserve">~33.1%</t>
  </si>
  <si>
    <t xml:space="preserve">Sets (Salwar/Kurta)</t>
  </si>
  <si>
    <t xml:space="preserve">~27.6%</t>
  </si>
  <si>
    <t xml:space="preserve">~27.2%</t>
  </si>
  <si>
    <t xml:space="preserve">10.7%</t>
  </si>
  <si>
    <t xml:space="preserve">Mix &amp; Match</t>
  </si>
  <si>
    <t xml:space="preserve">~19.8%</t>
  </si>
  <si>
    <t xml:space="preserve">~24.0%</t>
  </si>
  <si>
    <t xml:space="preserve">15.5%</t>
  </si>
  <si>
    <t xml:space="preserve">Lehenga</t>
  </si>
  <si>
    <t xml:space="preserve">~13.2%</t>
  </si>
  <si>
    <t xml:space="preserve">~14.5%</t>
  </si>
  <si>
    <t xml:space="preserve">13.2%</t>
  </si>
  <si>
    <t xml:space="preserve">~2.0%</t>
  </si>
  <si>
    <t xml:space="preserve">~1.1%</t>
  </si>
  <si>
    <t xml:space="preserve">2.4%</t>
  </si>
  <si>
    <t xml:space="preserve">TOTAL INDIAN WEAR</t>
  </si>
  <si>
    <t xml:space="preserve">Source: Secondary Research, Technopak Analysis  ·  Saree = ₹564 Bn in FY2024; CAGR 8.3% → ₹841 Bn by FY2029</t>
  </si>
  <si>
    <t xml:space="preserve">B3.3  SAREE MARKET — REGIONAL SPLIT (FY2024)</t>
  </si>
  <si>
    <t xml:space="preserve">Region</t>
  </si>
  <si>
    <t xml:space="preserve">Market Share (%)</t>
  </si>
  <si>
    <t xml:space="preserve">Estimated Mkt (INR Bn)</t>
  </si>
  <si>
    <t xml:space="preserve">Key Saree Types</t>
  </si>
  <si>
    <t xml:space="preserve">RSB Positioning</t>
  </si>
  <si>
    <t xml:space="preserve">South India</t>
  </si>
  <si>
    <t xml:space="preserve">~49.3%</t>
  </si>
  <si>
    <t xml:space="preserve">Kanjivaram, Mysore Silk, Venkatagiri, Mangalagiri</t>
  </si>
  <si>
    <t xml:space="preserve">RSB's home geography — primary focus</t>
  </si>
  <si>
    <t xml:space="preserve">East India</t>
  </si>
  <si>
    <t xml:space="preserve">~18.5%</t>
  </si>
  <si>
    <t xml:space="preserve">Baluchari, Tant, Muslin</t>
  </si>
  <si>
    <t xml:space="preserve">Not in market</t>
  </si>
  <si>
    <t xml:space="preserve">West India</t>
  </si>
  <si>
    <t xml:space="preserve">~16.5%</t>
  </si>
  <si>
    <t xml:space="preserve">Brocade, Gharchola, Patola, Tanchoi</t>
  </si>
  <si>
    <t xml:space="preserve">North India</t>
  </si>
  <si>
    <t xml:space="preserve">~15.8%</t>
  </si>
  <si>
    <t xml:space="preserve">Banarasi, Chanderi, Maheshwari, Kota Doria</t>
  </si>
  <si>
    <t xml:space="preserve">TOTAL SAREE MARKET</t>
  </si>
  <si>
    <t xml:space="preserve">FY2024; CAGR 8.3% → ₹841 Bn FY2029</t>
  </si>
  <si>
    <t xml:space="preserve">[THESIS]  South India accounts for ~49.3% of India's saree market (₹278 Bn of ₹564 Bn FY2024). RSB's deep presence in AP + Telangana (expanding into TN/Karnataka) positions it at the epicentre. No national LFS chain replicates the depth of ethnic/saree curation that regional players like RSB offer.</t>
  </si>
  <si>
    <t xml:space="preserve">B3.4  FESTIVE &amp; WEDDING WEAR MARKET (INR BILLION)</t>
  </si>
  <si>
    <t xml:space="preserve">~75.6%</t>
  </si>
  <si>
    <t xml:space="preserve">10.9%</t>
  </si>
  <si>
    <t xml:space="preserve">~11.8%</t>
  </si>
  <si>
    <t xml:space="preserve">5.4%</t>
  </si>
  <si>
    <t xml:space="preserve">~12.5%</t>
  </si>
  <si>
    <t xml:space="preserve">12.7%</t>
  </si>
  <si>
    <t xml:space="preserve">TOTAL FESTIVE/WEDDING</t>
  </si>
  <si>
    <t xml:space="preserve">Source: Secondary Research, Technopak Analysis  ·  Saree = ~39% within women's festive/wedding wear in FY2024</t>
  </si>
  <si>
    <t xml:space="preserve">SECTION B4 — MEN'S &amp; KIDS' APPAREL MARKET</t>
  </si>
  <si>
    <t xml:space="preserve">B4.1  MEN'S APPAREL — SUB-CATEGORY SPLIT (INR BILLION)</t>
  </si>
  <si>
    <t xml:space="preserve">7.8%</t>
  </si>
  <si>
    <t xml:space="preserve">10.5%</t>
  </si>
  <si>
    <t xml:space="preserve">Ethnic/Indian wear</t>
  </si>
  <si>
    <t xml:space="preserve">17.9%</t>
  </si>
  <si>
    <t xml:space="preserve">16.0%</t>
  </si>
  <si>
    <t xml:space="preserve">18.4%</t>
  </si>
  <si>
    <t xml:space="preserve">8.8%</t>
  </si>
  <si>
    <t xml:space="preserve">11.0%</t>
  </si>
  <si>
    <t xml:space="preserve">TOTAL MEN'S</t>
  </si>
  <si>
    <t xml:space="preserve">Source: Secondary Research, Technopak Analysis  ·  Menswear organised = 52% FY24 → 57% FY29P  ·  T-shirt fastest in western (CAGR ~14.5%)</t>
  </si>
  <si>
    <t xml:space="preserve">B4.2  MEN'S APPAREL CHANNEL SPLIT (%)</t>
  </si>
  <si>
    <t xml:space="preserve">Channel</t>
  </si>
  <si>
    <t xml:space="preserve">60.0%</t>
  </si>
  <si>
    <t xml:space="preserve">48.0%</t>
  </si>
  <si>
    <t xml:space="preserve">45.9%</t>
  </si>
  <si>
    <t xml:space="preserve">35.5%</t>
  </si>
  <si>
    <t xml:space="preserve">38.0%</t>
  </si>
  <si>
    <t xml:space="preserve">16.5%</t>
  </si>
  <si>
    <t xml:space="preserve">17.1%</t>
  </si>
  <si>
    <t xml:space="preserve">21.0%</t>
  </si>
  <si>
    <t xml:space="preserve">~18%</t>
  </si>
  <si>
    <t xml:space="preserve">Total Organised</t>
  </si>
  <si>
    <t xml:space="preserve">B4.3  KIDS' APPAREL — SUB-CATEGORY SPLIT (INR BILLION)</t>
  </si>
  <si>
    <t xml:space="preserve">12.9%</t>
  </si>
  <si>
    <t xml:space="preserve">5.5%</t>
  </si>
  <si>
    <t xml:space="preserve">9.6%</t>
  </si>
  <si>
    <t xml:space="preserve">17.6%</t>
  </si>
  <si>
    <t xml:space="preserve">TOTAL KIDS'</t>
  </si>
  <si>
    <t xml:space="preserve">Source: Secondary Research, Technopak Analysis  ·  Denim fastest growing at 17.6% CAGR FY24–29P  ·  Organised only 29% FY24 — largest headroom</t>
  </si>
  <si>
    <t xml:space="preserve">SECTION B5 — PRICE SEGMENTS &amp; ALL APPAREL SUBCATEGORIES</t>
  </si>
  <si>
    <t xml:space="preserve">B5.1  APPAREL MARKET BY PRICE SEGMENT (INR BILLION)</t>
  </si>
  <si>
    <t xml:space="preserve">56.9%</t>
  </si>
  <si>
    <t xml:space="preserve">57.0%</t>
  </si>
  <si>
    <t xml:space="preserve">53.0%</t>
  </si>
  <si>
    <t xml:space="preserve">10.1%</t>
  </si>
  <si>
    <t xml:space="preserve">Mid</t>
  </si>
  <si>
    <t xml:space="preserve">28.1%</t>
  </si>
  <si>
    <t xml:space="preserve">27.0%</t>
  </si>
  <si>
    <t xml:space="preserve">27.5%</t>
  </si>
  <si>
    <t xml:space="preserve">Premium</t>
  </si>
  <si>
    <t xml:space="preserve">15.0%</t>
  </si>
  <si>
    <t xml:space="preserve">19.5%</t>
  </si>
  <si>
    <t xml:space="preserve">TOTAL</t>
  </si>
  <si>
    <t xml:space="preserve">Source: Secondary Research, Technopak Analysis  ·  FSP: Men's Shirt ₹400(V)/₹1,500(M)/₹5,000(P) | Women's Kurta ₹350/₹1,200/₹4,500 | Saree ₹500/₹3,700/₹10,000</t>
  </si>
  <si>
    <t xml:space="preserve">B5.2  ALL APPAREL SUBCATEGORIES COMBINED (INR BILLION)</t>
  </si>
  <si>
    <t xml:space="preserve">Western wear</t>
  </si>
  <si>
    <t xml:space="preserve">11.6%</t>
  </si>
  <si>
    <t xml:space="preserve">Ethnic/Indian</t>
  </si>
  <si>
    <t xml:space="preserve">13.3%</t>
  </si>
  <si>
    <t xml:space="preserve">11.5%</t>
  </si>
  <si>
    <t xml:space="preserve">13.1%</t>
  </si>
  <si>
    <t xml:space="preserve">14.2%</t>
  </si>
  <si>
    <t xml:space="preserve">9.5%</t>
  </si>
  <si>
    <t xml:space="preserve">20.0%</t>
  </si>
  <si>
    <t xml:space="preserve">18.3%</t>
  </si>
  <si>
    <t xml:space="preserve">5.3%</t>
  </si>
  <si>
    <t xml:space="preserve">Source: Secondary Research, Technopak Analysis  ·  Activewear fastest growing at 18.3% CAGR | Denim 14.2%</t>
  </si>
  <si>
    <t xml:space="preserve">SECTION C1 — SOUTH INDIA APPAREL MARKET</t>
  </si>
  <si>
    <t xml:space="preserve">C1.1  SOUTH INDIA TOTAL APPAREL — CHANNEL SPLIT (INR BILLION)</t>
  </si>
  <si>
    <t xml:space="preserve">Organised Total</t>
  </si>
  <si>
    <t xml:space="preserve">16.9%</t>
  </si>
  <si>
    <t xml:space="preserve">15.3%</t>
  </si>
  <si>
    <t xml:space="preserve">  Organised B&amp;M</t>
  </si>
  <si>
    <t xml:space="preserve">15.8%</t>
  </si>
  <si>
    <t xml:space="preserve">  Organised E-commerce</t>
  </si>
  <si>
    <t xml:space="preserve">19.1%</t>
  </si>
  <si>
    <t xml:space="preserve">TOTAL SOUTH APPAREL</t>
  </si>
  <si>
    <t xml:space="preserve">37.2%</t>
  </si>
  <si>
    <t xml:space="preserve">51.3%</t>
  </si>
  <si>
    <t xml:space="preserve">53.2%</t>
  </si>
  <si>
    <t xml:space="preserve">60.7%</t>
  </si>
  <si>
    <t xml:space="preserve">Source: Secondary Research, Technopak Analysis  ·  South India = 28% of total India apparel market in FY2024</t>
  </si>
  <si>
    <t xml:space="preserve">C1.2  SOUTH INDIA APPAREL — BY GENDER (INR BILLION)</t>
  </si>
  <si>
    <t xml:space="preserve">~39.9%</t>
  </si>
  <si>
    <t xml:space="preserve">~38.5%</t>
  </si>
  <si>
    <t xml:space="preserve">Kids</t>
  </si>
  <si>
    <t xml:space="preserve">~21.6%</t>
  </si>
  <si>
    <t xml:space="preserve">Source: Secondary Research, Technopak Analysis  ·  Womenswear CAGR 13.0% FY24–29P — fastest gender segment in South India</t>
  </si>
  <si>
    <t xml:space="preserve">C1.3  SOUTH INDIA — BY SUB-CATEGORY (INR BILLION)</t>
  </si>
  <si>
    <t xml:space="preserve">Western Wear</t>
  </si>
  <si>
    <t xml:space="preserve">~64.7%</t>
  </si>
  <si>
    <t xml:space="preserve">Indian/Ethnic Wear</t>
  </si>
  <si>
    <t xml:space="preserve">~35.3%</t>
  </si>
  <si>
    <t xml:space="preserve">Source: Secondary Research, Technopak Analysis  ·  Indian wear CAGR 12.7% &gt; Western wear 11.8% — ethnic gaining ground</t>
  </si>
  <si>
    <t xml:space="preserve">C1.4  STATE-WISE MARKET SHARE — SOUTH INDIA (FY2024)</t>
  </si>
  <si>
    <t xml:space="preserve">Share (%)</t>
  </si>
  <si>
    <t xml:space="preserve">Est. Mkt Size (INR Bn)</t>
  </si>
  <si>
    <t xml:space="preserve">Key Characteristics</t>
  </si>
  <si>
    <t xml:space="preserve">29.2%</t>
  </si>
  <si>
    <t xml:space="preserve">Chennai + Coimbatore textile hubs; deep-rooted industry</t>
  </si>
  <si>
    <t xml:space="preserve">Target expansion (LOI signed)</t>
  </si>
  <si>
    <t xml:space="preserve">26.9%</t>
  </si>
  <si>
    <t xml:space="preserve">Bengaluru fashion-forward; ethnic + western mix</t>
  </si>
  <si>
    <t xml:space="preserve">1 De Royal store (Bengaluru)</t>
  </si>
  <si>
    <t xml:space="preserve">AP + Telangana</t>
  </si>
  <si>
    <t xml:space="preserve">31.6%</t>
  </si>
  <si>
    <t xml:space="preserve">Hyderabad retail hub; strong ethnic occasion wear</t>
  </si>
  <si>
    <t xml:space="preserve">PRIMARY MARKET — 27+45 stores FY25</t>
  </si>
  <si>
    <t xml:space="preserve">High remittance income; strong ethnic wear demand</t>
  </si>
  <si>
    <t xml:space="preserve">TOTAL SOUTH</t>
  </si>
  <si>
    <t xml:space="preserve">28% of India's total apparel market</t>
  </si>
  <si>
    <t xml:space="preserve">73 stores across 3 of 5 states</t>
  </si>
  <si>
    <t xml:space="preserve">Source: Secondary Research, Technopak Analysis  ·  RSB = 27 stores AP + 45 stores Telangana (FY2025)</t>
  </si>
  <si>
    <t xml:space="preserve">C1.5  SOUTH INDIA WOMEN'S APPAREL — SUB-CATEGORY (INR BILLION)</t>
  </si>
  <si>
    <t xml:space="preserve">73.8%</t>
  </si>
  <si>
    <t xml:space="preserve">12.8%</t>
  </si>
  <si>
    <t xml:space="preserve">26.2%</t>
  </si>
  <si>
    <t xml:space="preserve">13.6%</t>
  </si>
  <si>
    <t xml:space="preserve">TOTAL WOMEN SOUTH</t>
  </si>
  <si>
    <t xml:space="preserve">Source: Secondary Research, Technopak Analysis  ·  South India ethnic share = 74% vs national 65.4% — structurally higher cultural affinity</t>
  </si>
  <si>
    <t xml:space="preserve">[THESIS]  South India's women's apparel market = 74% ethnic share vs 65.4% nationally. At 51.3% organised (already majority), it has crossed the organised tipping point. RSB's multi-format ethnic offering (Narayani Silks + SISM + RS Brothers) is structurally tailor-made for this market.</t>
  </si>
  <si>
    <t xml:space="preserve">SECTION C2 — LARGE FORMAT STORE (LFS) MARKET</t>
  </si>
  <si>
    <t xml:space="preserve">C2.1  LFS MARKET SIZE BY REGION (INR BILLION)</t>
  </si>
  <si>
    <t xml:space="preserve">South</t>
  </si>
  <si>
    <t xml:space="preserve">~38%</t>
  </si>
  <si>
    <t xml:space="preserve">13.4%</t>
  </si>
  <si>
    <t xml:space="preserve">14.1%</t>
  </si>
  <si>
    <t xml:space="preserve">West</t>
  </si>
  <si>
    <t xml:space="preserve">~25%</t>
  </si>
  <si>
    <t xml:space="preserve">North</t>
  </si>
  <si>
    <t xml:space="preserve">~23%</t>
  </si>
  <si>
    <t xml:space="preserve">9.7%</t>
  </si>
  <si>
    <t xml:space="preserve">East</t>
  </si>
  <si>
    <t xml:space="preserve">~14%</t>
  </si>
  <si>
    <t xml:space="preserve">6.0%</t>
  </si>
  <si>
    <t xml:space="preserve">TOTAL LFS</t>
  </si>
  <si>
    <t xml:space="preserve">12.5%</t>
  </si>
  <si>
    <t xml:space="preserve">Source: Technopak Analysis  ·  LFS = Large Format Stores ~20,000+ sqft  ·  South India = largest LFS region (38%) and fastest growing (14.1% CAGR)</t>
  </si>
  <si>
    <t xml:space="preserve">C2.2  REGIONAL LFS PLAYERS — OVERVIEW (FY2025)</t>
  </si>
  <si>
    <t xml:space="preserve">Player</t>
  </si>
  <si>
    <t xml:space="preserve">Year Founded</t>
  </si>
  <si>
    <t xml:space="preserve">Stores FY25</t>
  </si>
  <si>
    <t xml:space="preserve">Cities</t>
  </si>
  <si>
    <t xml:space="preserve">States</t>
  </si>
  <si>
    <t xml:space="preserve">Avg Store Size (sqft)</t>
  </si>
  <si>
    <t xml:space="preserve">Formats</t>
  </si>
  <si>
    <t xml:space="preserve">Rev FY24 (INR Mn)</t>
  </si>
  <si>
    <t xml:space="preserve">Notes</t>
  </si>
  <si>
    <t xml:space="preserve">RSB Retail India Ltd</t>
  </si>
  <si>
    <t xml:space="preserve">1999</t>
  </si>
  <si>
    <t xml:space="preserve">23,000–32,000</t>
  </si>
  <si>
    <t xml:space="preserve">Value+LFS+Ethnic-W+Ethnic-M</t>
  </si>
  <si>
    <t xml:space="preserve">ONLY player in all 4 formats</t>
  </si>
  <si>
    <t xml:space="preserve">Pothys Pvt. Ltd.</t>
  </si>
  <si>
    <t xml:space="preserve">1923</t>
  </si>
  <si>
    <t xml:space="preserve">S.India</t>
  </si>
  <si>
    <t xml:space="preserve">~1,29,000</t>
  </si>
  <si>
    <t xml:space="preserve">LFS + Ethnic-W</t>
  </si>
  <si>
    <t xml:space="preserve">Very large format; TN-focused</t>
  </si>
  <si>
    <t xml:space="preserve">Marri Retail (JC Brothers)</t>
  </si>
  <si>
    <t xml:space="preserve">1998</t>
  </si>
  <si>
    <t xml:space="preserve">AP+Tel</t>
  </si>
  <si>
    <t xml:space="preserve">~24,000</t>
  </si>
  <si>
    <t xml:space="preserve">Value + LFS</t>
  </si>
  <si>
    <t xml:space="preserve">Declining store count</t>
  </si>
  <si>
    <t xml:space="preserve">Saravana Stores</t>
  </si>
  <si>
    <t xml:space="preserve">1969</t>
  </si>
  <si>
    <t xml:space="preserve">TN</t>
  </si>
  <si>
    <t xml:space="preserve">N/A</t>
  </si>
  <si>
    <t xml:space="preserve">LFS only</t>
  </si>
  <si>
    <t xml:space="preserve">TN-focused, limited expansion</t>
  </si>
  <si>
    <t xml:space="preserve">Sai Silks (Kalamandir)</t>
  </si>
  <si>
    <t xml:space="preserve">2005</t>
  </si>
  <si>
    <t xml:space="preserve">10,531</t>
  </si>
  <si>
    <t xml:space="preserve">Value+LFS+Ethnic-W</t>
  </si>
  <si>
    <t xml:space="preserve">Ethnic-W without dedicated men's</t>
  </si>
  <si>
    <t xml:space="preserve">Source: Annual Reports, Brand Websites (Jan 2025), Technopak Analysis  ·  Note: RSB FY25 = 73 total stores; 47 reference for large-format equivalent</t>
  </si>
  <si>
    <t xml:space="preserve">C2.3  LFS STORE COUNT TREND — REGIONAL PLAYERS (FISCAL YEARS)</t>
  </si>
  <si>
    <t xml:space="preserve">FY2025</t>
  </si>
  <si>
    <t xml:space="preserve">JC Brothers (Marri Retail)</t>
  </si>
  <si>
    <t xml:space="preserve">Source: Annual Reports, Brand Websites (Jan 2025), Technopak Analysis  ·  RSB grew from 18 → 47 stores (2.6x in 7 years) — only regional player with consistent expansion</t>
  </si>
  <si>
    <t xml:space="preserve">[RSB]  RSB is the only South Indian regional LFS player with consistent network expansion: 18 stores (FY18) → 47 (FY25), +2.6x in 7 years. Pothys (17→17), JC Brothers (17→14), Sai Silks (10→11) have all stagnated. RSB also uniquely covers all 4 retail formats — the only regional player to do so.</t>
  </si>
  <si>
    <t xml:space="preserve">C2.4  NATIONAL LFS PLAYERS — OVERVIEW (FY2025)</t>
  </si>
  <si>
    <t xml:space="preserve">States/UTs</t>
  </si>
  <si>
    <t xml:space="preserve">Metro+T1 %</t>
  </si>
  <si>
    <t xml:space="preserve">T2+ %</t>
  </si>
  <si>
    <t xml:space="preserve">Key Category Focus</t>
  </si>
  <si>
    <t xml:space="preserve">Lifestyle (Landmark Group)</t>
  </si>
  <si>
    <t xml:space="preserve">45,000</t>
  </si>
  <si>
    <t xml:space="preserve">66%</t>
  </si>
  <si>
    <t xml:space="preserve">Apparel + Footwear + Home + Accessories</t>
  </si>
  <si>
    <t xml:space="preserve">Pantaloons (ABFRL)</t>
  </si>
  <si>
    <t xml:space="preserve">1997</t>
  </si>
  <si>
    <t xml:space="preserve">~8,000</t>
  </si>
  <si>
    <t xml:space="preserve">48%</t>
  </si>
  <si>
    <t xml:space="preserve">Apparel + Footwear + Accessories</t>
  </si>
  <si>
    <t xml:space="preserve">Shoppers Stop (K Raheja)</t>
  </si>
  <si>
    <t xml:space="preserve">1991</t>
  </si>
  <si>
    <t xml:space="preserve">40,000–50,000</t>
  </si>
  <si>
    <t xml:space="preserve">Apparel + Footwear + Beauty + Home</t>
  </si>
  <si>
    <t xml:space="preserve">Westside (Trent Ltd)</t>
  </si>
  <si>
    <t xml:space="preserve">18,000</t>
  </si>
  <si>
    <t xml:space="preserve">71%</t>
  </si>
  <si>
    <t xml:space="preserve">29%</t>
  </si>
  <si>
    <t xml:space="preserve">Private label apparel focus</t>
  </si>
  <si>
    <t xml:space="preserve">Source: Annual Reports, Brand Websites (Jan 2025), Technopak Analysis  ·  Lifestyle store count from brand website; Pantaloons/Westside from FY25 annual reports</t>
  </si>
  <si>
    <t xml:space="preserve">SECTION C3 — VALUE RETAIL MARKET (LIFESTYLE + HOME)</t>
  </si>
  <si>
    <t xml:space="preserve">C3.1  VALUE RETAIL MARKET — BY CATEGORY (INR BILLION)</t>
  </si>
  <si>
    <t xml:space="preserve">Apparel</t>
  </si>
  <si>
    <t xml:space="preserve">72%</t>
  </si>
  <si>
    <t xml:space="preserve">Home Furnishings</t>
  </si>
  <si>
    <t xml:space="preserve">10%</t>
  </si>
  <si>
    <t xml:space="preserve">9%</t>
  </si>
  <si>
    <t xml:space="preserve">Non-Apparel Acc. + Watches</t>
  </si>
  <si>
    <t xml:space="preserve">8%</t>
  </si>
  <si>
    <t xml:space="preserve">TOTAL VALUE RETAIL</t>
  </si>
  <si>
    <t xml:space="preserve">Source: Technopak Analysis  ·  58% of total Lifestyle + Home market  ·  Apparel = 73% of value retail</t>
  </si>
  <si>
    <t xml:space="preserve">C3.2  VALUE RETAIL MARKET — BY REGION (INR BILLION)</t>
  </si>
  <si>
    <t xml:space="preserve">Key Players</t>
  </si>
  <si>
    <t xml:space="preserve">~28%</t>
  </si>
  <si>
    <t xml:space="preserve">RSB, R.S. Brothers, Chennai Silks</t>
  </si>
  <si>
    <t xml:space="preserve">~26%</t>
  </si>
  <si>
    <t xml:space="preserve">Vishal Mega Mart, V-Mart, Citykart</t>
  </si>
  <si>
    <t xml:space="preserve">DMart, VMart, local players</t>
  </si>
  <si>
    <t xml:space="preserve">~21%</t>
  </si>
  <si>
    <t xml:space="preserve">Style Baazar, Baazar Kolkata (fastest growing)</t>
  </si>
  <si>
    <t xml:space="preserve">National + Regional players</t>
  </si>
  <si>
    <t xml:space="preserve">Source: Technopak Analysis  ·  South India = 28% of value retail, CAGR 10.3% → ₹2,252 Bn by FY29</t>
  </si>
  <si>
    <t xml:space="preserve">C3.3  VALUE RETAIL — PLAYER OVERVIEW (FY2025)</t>
  </si>
  <si>
    <t xml:space="preserve">Founded</t>
  </si>
  <si>
    <t xml:space="preserve">Revenue FY24 (INR Mn)</t>
  </si>
  <si>
    <t xml:space="preserve">ValueZone (RSB)</t>
  </si>
  <si>
    <t xml:space="preserve">1,30,525</t>
  </si>
  <si>
    <t xml:space="preserve">Regional Value</t>
  </si>
  <si>
    <t xml:space="preserve">612 (FY25: 1,851)</t>
  </si>
  <si>
    <t xml:space="preserve">Style Bazaar (Baazar Style)</t>
  </si>
  <si>
    <t xml:space="preserve">2013</t>
  </si>
  <si>
    <t xml:space="preserve">9,043</t>
  </si>
  <si>
    <t xml:space="preserve">Bazaar Kolkata</t>
  </si>
  <si>
    <t xml:space="preserve">2002</t>
  </si>
  <si>
    <t xml:space="preserve">~9,900</t>
  </si>
  <si>
    <t xml:space="preserve">M Bazaar (Metro Retail)</t>
  </si>
  <si>
    <t xml:space="preserve">2009</t>
  </si>
  <si>
    <t xml:space="preserve">Citykart Ventures</t>
  </si>
  <si>
    <t xml:space="preserve">6,000–12,000</t>
  </si>
  <si>
    <t xml:space="preserve">Max Fashion (Lifestyle Intl)</t>
  </si>
  <si>
    <t xml:space="preserve">2006</t>
  </si>
  <si>
    <t xml:space="preserve">~10,000–12,000</t>
  </si>
  <si>
    <t xml:space="preserve">National Value</t>
  </si>
  <si>
    <t xml:space="preserve">Zudio (Trent Ltd)</t>
  </si>
  <si>
    <t xml:space="preserve">7,000</t>
  </si>
  <si>
    <t xml:space="preserve">see Trent</t>
  </si>
  <si>
    <t xml:space="preserve">V-Mart Retail</t>
  </si>
  <si>
    <t xml:space="preserve">8,000</t>
  </si>
  <si>
    <t xml:space="preserve">V2 Retail</t>
  </si>
  <si>
    <t xml:space="preserve">Vishal Mega Mart</t>
  </si>
  <si>
    <t xml:space="preserve">2001</t>
  </si>
  <si>
    <t xml:space="preserve">17,899</t>
  </si>
  <si>
    <t xml:space="preserve">DMart (Avenue Supermart)</t>
  </si>
  <si>
    <t xml:space="preserve">2000</t>
  </si>
  <si>
    <t xml:space="preserve">41,507</t>
  </si>
  <si>
    <t xml:space="preserve">National FMCG+</t>
  </si>
  <si>
    <t xml:space="preserve">Source: Annual Reports, Brand Websites (Jan 2025), Technopak Analysis, MCA reports</t>
  </si>
  <si>
    <t xml:space="preserve">SECTION C4 — RSB RETAIL: BUSINESS OVERVIEW</t>
  </si>
  <si>
    <t xml:space="preserve">C4.1  STORE FORMATS — OVERVIEW (AS OF MARCH 31, 2025)</t>
  </si>
  <si>
    <t xml:space="preserve">Store Format</t>
  </si>
  <si>
    <t xml:space="preserve">Target Segment</t>
  </si>
  <si>
    <t xml:space="preserve">First Store</t>
  </si>
  <si>
    <t xml:space="preserve">First City</t>
  </si>
  <si>
    <t xml:space="preserve">AOV FY25 (INR)</t>
  </si>
  <si>
    <t xml:space="preserve">Revenue FY25 (INR Mn)</t>
  </si>
  <si>
    <t xml:space="preserve">% of Revenue FY25</t>
  </si>
  <si>
    <t xml:space="preserve">Key Products</t>
  </si>
  <si>
    <t xml:space="preserve">R.S. Brothers</t>
  </si>
  <si>
    <t xml:space="preserve">Mid-Premium</t>
  </si>
  <si>
    <t xml:space="preserve">Koti, Hyderabad</t>
  </si>
  <si>
    <t xml:space="preserve">21.2%</t>
  </si>
  <si>
    <t xml:space="preserve">Ethnic + Western, Men+Women+Kids</t>
  </si>
  <si>
    <t xml:space="preserve">South India Shopping Mall (SISM)</t>
  </si>
  <si>
    <t xml:space="preserve">Kothapet, Hyderabad</t>
  </si>
  <si>
    <t xml:space="preserve">68.3%</t>
  </si>
  <si>
    <t xml:space="preserve">One-stop family — ethnic+western+accessories</t>
  </si>
  <si>
    <t xml:space="preserve">Kanchipuram Narayani Silks</t>
  </si>
  <si>
    <t xml:space="preserve">Ameerpet, Hyderabad</t>
  </si>
  <si>
    <t xml:space="preserve">2.5%</t>
  </si>
  <si>
    <t xml:space="preserve">Silk sarees, Kanjivaram, Designer sarees, Lehengas</t>
  </si>
  <si>
    <t xml:space="preserve">Dè Royal (Men's Ethnic)</t>
  </si>
  <si>
    <t xml:space="preserve">Chandanagar, Hyderabad</t>
  </si>
  <si>
    <t xml:space="preserve">Sherwanis, Kurtas, Kurta Pajamas, Indo-western</t>
  </si>
  <si>
    <t xml:space="preserve">ValueZone Hypermart</t>
  </si>
  <si>
    <t xml:space="preserve">Patancheruvu, Hyderabad</t>
  </si>
  <si>
    <t xml:space="preserve">6.9%</t>
  </si>
  <si>
    <t xml:space="preserve">Fast fashion + Grocery + GM + Accessories</t>
  </si>
  <si>
    <t xml:space="preserve">Ethnic Destination (acquired)</t>
  </si>
  <si>
    <t xml:space="preserve">2024 (BTA)</t>
  </si>
  <si>
    <t xml:space="preserve">Hyderabad</t>
  </si>
  <si>
    <t xml:space="preserve">0.1%</t>
  </si>
  <si>
    <t xml:space="preserve">Ethnic wear (store closed Apr 2025)</t>
  </si>
  <si>
    <t xml:space="preserve">Status Excl. Men's Wear (acquired)</t>
  </si>
  <si>
    <t xml:space="preserve">Premium men's wear</t>
  </si>
  <si>
    <t xml:space="preserve">Source: RSB DRHP, Restated Financial Statements  ·  AOV = Revenue from operations ÷ Number of bills raised  ·  RS Brothers + SISM share same AOV as same customer segment</t>
  </si>
  <si>
    <t xml:space="preserve">C4.2  REVENUE BY PRODUCT CATEGORY (INR MILLION)</t>
  </si>
  <si>
    <t xml:space="preserve">Product</t>
  </si>
  <si>
    <t xml:space="preserve">% FY2023</t>
  </si>
  <si>
    <t xml:space="preserve">% FY2024</t>
  </si>
  <si>
    <t xml:space="preserve">% FY2025</t>
  </si>
  <si>
    <t xml:space="preserve">YoY FY24→25</t>
  </si>
  <si>
    <t xml:space="preserve">Women Apparel</t>
  </si>
  <si>
    <t xml:space="preserve">57.5%</t>
  </si>
  <si>
    <t xml:space="preserve">Men Apparel</t>
  </si>
  <si>
    <t xml:space="preserve">21.8%</t>
  </si>
  <si>
    <t xml:space="preserve">21.5%</t>
  </si>
  <si>
    <t xml:space="preserve">Kids Apparel</t>
  </si>
  <si>
    <t xml:space="preserve">17.8%</t>
  </si>
  <si>
    <t xml:space="preserve">General Merch &amp; FMCG</t>
  </si>
  <si>
    <t xml:space="preserve">2.8%</t>
  </si>
  <si>
    <t xml:space="preserve">5.7%</t>
  </si>
  <si>
    <t xml:space="preserve">Source: RSB Restated Financial Statements</t>
  </si>
  <si>
    <t xml:space="preserve">C4.3  REVENUE BY STATE (INR MILLION)</t>
  </si>
  <si>
    <t xml:space="preserve">64.5%</t>
  </si>
  <si>
    <t xml:space="preserve">62.1%</t>
  </si>
  <si>
    <t xml:space="preserve">61.9%</t>
  </si>
  <si>
    <t xml:space="preserve">37.9%</t>
  </si>
  <si>
    <t xml:space="preserve">0.0%</t>
  </si>
  <si>
    <t xml:space="preserve">0.05%</t>
  </si>
  <si>
    <t xml:space="preserve">Source: RSB Restated Financial Statements  ·  39 of 73 stores (53%) in Hyderabad contributing 52.1% of FY25 revenue — concentration risk</t>
  </si>
  <si>
    <t xml:space="preserve">C4.4  STORE COUNT BY FORMAT &amp; STATE (MARCH 31, 2025)</t>
  </si>
  <si>
    <t xml:space="preserve">Format / State</t>
  </si>
  <si>
    <t xml:space="preserve">TOTAL Stores</t>
  </si>
  <si>
    <t xml:space="preserve">6 (est.)</t>
  </si>
  <si>
    <t xml:space="preserve">Oldest format; 1999 origin</t>
  </si>
  <si>
    <t xml:space="preserve">South India Shopping Mall</t>
  </si>
  <si>
    <t xml:space="preserve">21 (est.)</t>
  </si>
  <si>
    <t xml:space="preserve">Flagship format; 68.3% of revenue</t>
  </si>
  <si>
    <t xml:space="preserve">4 (est.)</t>
  </si>
  <si>
    <t xml:space="preserve">Premium saree format; avg AOV ₹7,211</t>
  </si>
  <si>
    <t xml:space="preserve">Dè Royal</t>
  </si>
  <si>
    <t xml:space="preserve">3 (est.)</t>
  </si>
  <si>
    <t xml:space="preserve">Premium men's ethnic; only format in KA</t>
  </si>
  <si>
    <t xml:space="preserve">Value hypermart; avg store 1,30,525 sqft</t>
  </si>
  <si>
    <t xml:space="preserve">Ethnic Destination</t>
  </si>
  <si>
    <t xml:space="preserve">Acquired Apr 2024; closed Apr 1, 2025</t>
  </si>
  <si>
    <t xml:space="preserve">Status Excl. Men's</t>
  </si>
  <si>
    <t xml:space="preserve">Acquired Apr 2024 via BTA</t>
  </si>
  <si>
    <t xml:space="preserve">3 states, 22 cities as of Mar 31, 2025</t>
  </si>
  <si>
    <t xml:space="preserve">Source: RSB DRHP  ·  As of March 31, 2025  ·  Post Mar-25: 4 stores closed (Ethnic Dest, RS Brothers Patny/Suchitra, De Royal Kokapet); 1 opened (RS Brothers Vijayawada)  ·  Current total = 70 stores</t>
  </si>
  <si>
    <t xml:space="preserve">C4.5  PRIVATE LABEL BRANDS (AS OF MARCH 31, 2025)</t>
  </si>
  <si>
    <t xml:space="preserve">Brand</t>
  </si>
  <si>
    <t xml:space="preserve">Min Price (INR)</t>
  </si>
  <si>
    <t xml:space="preserve">Max Price (INR)</t>
  </si>
  <si>
    <t xml:space="preserve">Target Customer</t>
  </si>
  <si>
    <t xml:space="preserve">ADAM PARKER</t>
  </si>
  <si>
    <t xml:space="preserve">Men's Smart-Casuals</t>
  </si>
  <si>
    <t xml:space="preserve">Shirts, jeans, trousers, T-shirts — everyday/semi-formal</t>
  </si>
  <si>
    <t xml:space="preserve">DE ROYAL</t>
  </si>
  <si>
    <t xml:space="preserve">Men's Premium Occasion</t>
  </si>
  <si>
    <t xml:space="preserve">Bandhgala, designer suits, Indo-western — weddings/special events</t>
  </si>
  <si>
    <t xml:space="preserve">REPUBLICAN</t>
  </si>
  <si>
    <t xml:space="preserve">Men's Formal/Casual</t>
  </si>
  <si>
    <t xml:space="preserve">Shirts, trousers, jeans — daily + work</t>
  </si>
  <si>
    <t xml:space="preserve">TEMPERATURE</t>
  </si>
  <si>
    <t xml:space="preserve">Men's Casual/Formal</t>
  </si>
  <si>
    <t xml:space="preserve">Shirts and trousers — everyday essentials</t>
  </si>
  <si>
    <t xml:space="preserve">SISMO</t>
  </si>
  <si>
    <t xml:space="preserve">Kids Wear</t>
  </si>
  <si>
    <t xml:space="preserve">Girls and boys partywear, casual tops, jeans</t>
  </si>
  <si>
    <t xml:space="preserve">BRAVE KID</t>
  </si>
  <si>
    <t xml:space="preserve">Boys Active Fashion</t>
  </si>
  <si>
    <t xml:space="preserve">Shirts, jeans, baba suits — comfort + movement</t>
  </si>
  <si>
    <t xml:space="preserve">ROADIES BOYS</t>
  </si>
  <si>
    <t xml:space="preserve">Boys Denim/Rugged</t>
  </si>
  <si>
    <t xml:space="preserve">Jeans, durable active wear</t>
  </si>
  <si>
    <t xml:space="preserve">HOSH</t>
  </si>
  <si>
    <t xml:space="preserve">Women's Wear</t>
  </si>
  <si>
    <t xml:space="preserve">Kurtis, tops, contemporary — daily wear</t>
  </si>
  <si>
    <t xml:space="preserve">PRETTYBE</t>
  </si>
  <si>
    <t xml:space="preserve">Women's Nightwear</t>
  </si>
  <si>
    <t xml:space="preserve">Nightdresses, pyjamas — comfort</t>
  </si>
  <si>
    <t xml:space="preserve">CLASSIC COLORS</t>
  </si>
  <si>
    <t xml:space="preserve">Women's Leggings</t>
  </si>
  <si>
    <t xml:space="preserve">Plain and printed everyday leggings</t>
  </si>
  <si>
    <t xml:space="preserve">DIANA</t>
  </si>
  <si>
    <t xml:space="preserve">Elegant nightdresses</t>
  </si>
  <si>
    <t xml:space="preserve">BORN CUTE</t>
  </si>
  <si>
    <t xml:space="preserve">Infant/Newborn</t>
  </si>
  <si>
    <t xml:space="preserve">Soft, cosy newborn garments</t>
  </si>
  <si>
    <t xml:space="preserve">CUTE COLORS</t>
  </si>
  <si>
    <t xml:space="preserve">Girls' Basics</t>
  </si>
  <si>
    <t xml:space="preserve">Leggings and easy-to-wear wardrobe staples</t>
  </si>
  <si>
    <t xml:space="preserve">Source: RSB DRHP (as of March 31, 2025)  ·  13 private label brands total</t>
  </si>
  <si>
    <t xml:space="preserve">Private Label Revenue Trend</t>
  </si>
  <si>
    <t xml:space="preserve">% of Revenue FY23</t>
  </si>
  <si>
    <t xml:space="preserve">% of Revenue FY24</t>
  </si>
  <si>
    <t xml:space="preserve">CAGR 23–25</t>
  </si>
  <si>
    <t xml:space="preserve">Private Label Apparel Revenue</t>
  </si>
  <si>
    <t xml:space="preserve">3.75%</t>
  </si>
  <si>
    <t xml:space="preserve">5.31%</t>
  </si>
  <si>
    <t xml:space="preserve">7.25%</t>
  </si>
  <si>
    <t xml:space="preserve">Source: RSB Restated Financial Statements  ·  Private label % growing from 3.75% (FY23) to 7.25% (FY25) — key driver of gross margin expansion</t>
  </si>
  <si>
    <t xml:space="preserve">SECTION C5 — RSB RETAIL: FINANCIAL PERFORMANCE (FY2023–FY2025)</t>
  </si>
  <si>
    <t xml:space="preserve">NOTE: All financials based on RSB Restated Financial Information. FY2025 includes impact of business transfers (Status BTA, Siddhi Vinayak BTA, Merit BTA) — not fully comparable to FY2023/24.</t>
  </si>
  <si>
    <t xml:space="preserve">C5.1  INCOME STATEMENT (INR MILLION)</t>
  </si>
  <si>
    <t xml:space="preserve">P&amp;L Metric</t>
  </si>
  <si>
    <t xml:space="preserve">CAGR FY23–25</t>
  </si>
  <si>
    <t xml:space="preserve">FY24→FY25 Change</t>
  </si>
  <si>
    <t xml:space="preserve">Revenue from Operations</t>
  </si>
  <si>
    <t xml:space="preserve">↑ Positive</t>
  </si>
  <si>
    <t xml:space="preserve">Gross Profit</t>
  </si>
  <si>
    <t xml:space="preserve">↑ Strong expansion</t>
  </si>
  <si>
    <t xml:space="preserve">Gross Margin %</t>
  </si>
  <si>
    <t xml:space="preserve">32.55%</t>
  </si>
  <si>
    <t xml:space="preserve">35.44%</t>
  </si>
  <si>
    <t xml:space="preserve">+502 bps (2yr)</t>
  </si>
  <si>
    <t xml:space="preserve">↑ Best-in-class trend</t>
  </si>
  <si>
    <t xml:space="preserve">EBITDA</t>
  </si>
  <si>
    <t xml:space="preserve">EBITDA Margin %</t>
  </si>
  <si>
    <t xml:space="preserve">10.31%</t>
  </si>
  <si>
    <t xml:space="preserve">10.83%</t>
  </si>
  <si>
    <t xml:space="preserve">+357 bps (2yr)</t>
  </si>
  <si>
    <t xml:space="preserve">↑ Accelerating</t>
  </si>
  <si>
    <t xml:space="preserve">Profit After Tax (PAT)</t>
  </si>
  <si>
    <t xml:space="preserve">↑ Recovering</t>
  </si>
  <si>
    <t xml:space="preserve">PAT Margin %</t>
  </si>
  <si>
    <t xml:space="preserve">3.19%</t>
  </si>
  <si>
    <t xml:space="preserve">2.51%</t>
  </si>
  <si>
    <t xml:space="preserve">3.84%</t>
  </si>
  <si>
    <t xml:space="preserve">+65 bps (2yr)</t>
  </si>
  <si>
    <t xml:space="preserve">↑ Improving</t>
  </si>
  <si>
    <t xml:space="preserve">Source: RSB Restated Financial Statements  ·  Gross Profit = Revenue less COGS (materials consumed + stock purchases + inventory changes)  ·  EBITDA = Revenue less COGS, Employee costs, Other expenses</t>
  </si>
  <si>
    <t xml:space="preserve">C5.2  KEY FINANCIAL RATIOS</t>
  </si>
  <si>
    <t xml:space="preserve">Ratio</t>
  </si>
  <si>
    <t xml:space="preserve">Definition / Formula</t>
  </si>
  <si>
    <t xml:space="preserve">Trend Signal</t>
  </si>
  <si>
    <t xml:space="preserve">Return on Equity (ROE)</t>
  </si>
  <si>
    <t xml:space="preserve">26.55%</t>
  </si>
  <si>
    <t xml:space="preserve">19.24%</t>
  </si>
  <si>
    <t xml:space="preserve">25.83%</t>
  </si>
  <si>
    <t xml:space="preserve">↑ +659 bps</t>
  </si>
  <si>
    <t xml:space="preserve">PAT ÷ Avg Shareholders' Equity</t>
  </si>
  <si>
    <t xml:space="preserve">↑ Recovering after FY24 dip</t>
  </si>
  <si>
    <t xml:space="preserve">Return on Capital Employed (ROCE)</t>
  </si>
  <si>
    <t xml:space="preserve">30.44%</t>
  </si>
  <si>
    <t xml:space="preserve">24.39%</t>
  </si>
  <si>
    <t xml:space="preserve">28.95%</t>
  </si>
  <si>
    <t xml:space="preserve">↑ +456 bps</t>
  </si>
  <si>
    <t xml:space="preserve">EBIT ÷ Capital Employed (excl. current liabilities)</t>
  </si>
  <si>
    <t xml:space="preserve">Debt-to-Equity Ratio (incl. leases)</t>
  </si>
  <si>
    <t xml:space="preserve">1.73x</t>
  </si>
  <si>
    <t xml:space="preserve">2.04x</t>
  </si>
  <si>
    <t xml:space="preserve">2.35x</t>
  </si>
  <si>
    <t xml:space="preserve">↑ +0.31x</t>
  </si>
  <si>
    <t xml:space="preserve">(Curr. Borr. + Non-curr. Borr. + Lease Liab.) ÷ Equity</t>
  </si>
  <si>
    <t xml:space="preserve">⚠ Rising — watch</t>
  </si>
  <si>
    <t xml:space="preserve">Inventory Turnover Ratio</t>
  </si>
  <si>
    <t xml:space="preserve">3.72x</t>
  </si>
  <si>
    <t xml:space="preserve">3.31x</t>
  </si>
  <si>
    <t xml:space="preserve">3.09x</t>
  </si>
  <si>
    <t xml:space="preserve">↓ -0.22x</t>
  </si>
  <si>
    <t xml:space="preserve">COGS ÷ Average Inventories</t>
  </si>
  <si>
    <t xml:space="preserve">↓ Declining — watch</t>
  </si>
  <si>
    <t xml:space="preserve">Net Working Capital Days</t>
  </si>
  <si>
    <t xml:space="preserve">20</t>
  </si>
  <si>
    <t xml:space="preserve">23</t>
  </si>
  <si>
    <t xml:space="preserve">28</t>
  </si>
  <si>
    <t xml:space="preserve">↑ +5 days</t>
  </si>
  <si>
    <t xml:space="preserve">(Inventory + Receivables - Payables) ÷ Revenue × 365</t>
  </si>
  <si>
    <t xml:space="preserve">↑ Elongating — watch</t>
  </si>
  <si>
    <t xml:space="preserve">Same Store Sales Growth (SSSG)</t>
  </si>
  <si>
    <t xml:space="preserve">29.19%</t>
  </si>
  <si>
    <t xml:space="preserve">0.34%</t>
  </si>
  <si>
    <t xml:space="preserve">↓ Negative</t>
  </si>
  <si>
    <t xml:space="preserve">Growth in net revenue of stores &gt;24 months operational</t>
  </si>
  <si>
    <t xml:space="preserve">⚠ RISK — negative SSSG</t>
  </si>
  <si>
    <t xml:space="preserve">Average Order Value (INR)</t>
  </si>
  <si>
    <t xml:space="preserve">2,834.50</t>
  </si>
  <si>
    <t xml:space="preserve">2,705.34</t>
  </si>
  <si>
    <t xml:space="preserve">2,551.01</t>
  </si>
  <si>
    <t xml:space="preserve">↓ -154.33</t>
  </si>
  <si>
    <t xml:space="preserve">Revenue from Operations ÷ Number of Bills</t>
  </si>
  <si>
    <t xml:space="preserve">↓ Declining — price or mix</t>
  </si>
  <si>
    <t xml:space="preserve">Average Selling Price per Piece (INR)</t>
  </si>
  <si>
    <t xml:space="preserve">864.43</t>
  </si>
  <si>
    <t xml:space="preserve">759.68</t>
  </si>
  <si>
    <t xml:space="preserve">722.82</t>
  </si>
  <si>
    <t xml:space="preserve">↓ -36.86</t>
  </si>
  <si>
    <t xml:space="preserve">Revenue from Sale of Apparel ÷ Pieces Sold</t>
  </si>
  <si>
    <t xml:space="preserve">↓ Declining</t>
  </si>
  <si>
    <t xml:space="preserve">Number of Bills (Mn)</t>
  </si>
  <si>
    <t xml:space="preserve">7.50</t>
  </si>
  <si>
    <t xml:space="preserve">9.09</t>
  </si>
  <si>
    <t xml:space="preserve">10.56</t>
  </si>
  <si>
    <t xml:space="preserve">↑ +1.47 Mn</t>
  </si>
  <si>
    <t xml:space="preserve">Total bills raised for revenue from operations</t>
  </si>
  <si>
    <t xml:space="preserve">↑ Volume growing</t>
  </si>
  <si>
    <t xml:space="preserve">Average Revenue per Store (INR Mn)</t>
  </si>
  <si>
    <t xml:space="preserve">518.71</t>
  </si>
  <si>
    <t xml:space="preserve">431.23</t>
  </si>
  <si>
    <t xml:space="preserve">369.03</t>
  </si>
  <si>
    <t xml:space="preserve">↓ -62.20</t>
  </si>
  <si>
    <t xml:space="preserve">Revenue ÷ Number of Stores</t>
  </si>
  <si>
    <t xml:space="preserve">↓ New stores diluting</t>
  </si>
  <si>
    <t xml:space="preserve">Average Revenue per Sqft (INR)</t>
  </si>
  <si>
    <t xml:space="preserve">19,584.71</t>
  </si>
  <si>
    <t xml:space="preserve">17,945.42</t>
  </si>
  <si>
    <t xml:space="preserve">14,523.78</t>
  </si>
  <si>
    <t xml:space="preserve">↓ -3,422</t>
  </si>
  <si>
    <t xml:space="preserve">Revenue ÷ Total Store Area (sqft)</t>
  </si>
  <si>
    <t xml:space="preserve">↓ New store ramp-up</t>
  </si>
  <si>
    <t xml:space="preserve">Total Store Area (mn sqft)</t>
  </si>
  <si>
    <t xml:space="preserve">1.09</t>
  </si>
  <si>
    <t xml:space="preserve">1.37</t>
  </si>
  <si>
    <t xml:space="preserve">1.85</t>
  </si>
  <si>
    <t xml:space="preserve">↑ +0.48</t>
  </si>
  <si>
    <t xml:space="preserve">Sum of all operational store areas</t>
  </si>
  <si>
    <t xml:space="preserve">Average Store Size (sqft)</t>
  </si>
  <si>
    <t xml:space="preserve">26,485.56</t>
  </si>
  <si>
    <t xml:space="preserve">24,029.89</t>
  </si>
  <si>
    <t xml:space="preserve">25,408.90</t>
  </si>
  <si>
    <t xml:space="preserve">↑ +1,379</t>
  </si>
  <si>
    <t xml:space="preserve">Total Store Area ÷ Number of Stores</t>
  </si>
  <si>
    <t xml:space="preserve">~ Stable</t>
  </si>
  <si>
    <t xml:space="preserve">Source: RSB Restated Financial Statements  ·  Debt-to-Equity includes both financial borrowings and total lease liabilities (IFRS 16)</t>
  </si>
  <si>
    <t xml:space="preserve">[THESIS]  Gross margin expanding 32.6% → 37.6% (+502 bps in 2 years) is exceptional for a rapidly-expanding physical retailer. Key driver: Private label penetration rising from 3.75% to 7.25% of revenue. This trajectory, if sustained, significantly changes the FY28–29 earnings outlook and supports premium valuation vs value-only peers.</t>
  </si>
  <si>
    <t xml:space="preserve">[RISK]  SSSG -4.38% in FY25 (vs +29.2% FY23, +0.3% FY24). AOV declining ₹2,834 → ₹2,551 and ASP declining ₹864 → ₹723 over the same period. D/E ratio rising 1.73x → 2.35x including leases. Working capital days elongating 20 → 28. Inventory turnover declining 3.72x → 3.09x. These warrant close monitoring in FY26 data.</t>
  </si>
  <si>
    <t xml:space="preserve">SECTION C6a — PEER BENCHMARKING: REVENUE &amp; MARGINS</t>
  </si>
  <si>
    <t xml:space="preserve">C6a.1  REVENUE FROM OPERATIONS (INR MILLION)</t>
  </si>
  <si>
    <t xml:space="preserve">Company</t>
  </si>
  <si>
    <t xml:space="preserve">FY23→24</t>
  </si>
  <si>
    <t xml:space="preserve">FY24→25</t>
  </si>
  <si>
    <t xml:space="preserve">RSB Retail India Limited</t>
  </si>
  <si>
    <t xml:space="preserve">Regional LFS</t>
  </si>
  <si>
    <t xml:space="preserve">Primary subject — restated</t>
  </si>
  <si>
    <t xml:space="preserve">FY25 N/A</t>
  </si>
  <si>
    <t xml:space="preserve">Marri Retail Pvt. Ltd.</t>
  </si>
  <si>
    <t xml:space="preserve">Sai Silk (Kalamandir) Ltd.</t>
  </si>
  <si>
    <t xml:space="preserve">Slow growth</t>
  </si>
  <si>
    <t xml:space="preserve">Baazar Style Retail Ltd.</t>
  </si>
  <si>
    <t xml:space="preserve">Strong acceleration</t>
  </si>
  <si>
    <t xml:space="preserve">Baazar Retail (Baazar Kolkata)</t>
  </si>
  <si>
    <t xml:space="preserve">Reg. Value</t>
  </si>
  <si>
    <t xml:space="preserve">Metro Retail (M Bazaar)</t>
  </si>
  <si>
    <t xml:space="preserve">Citykart Ventures Pvt. Ltd.</t>
  </si>
  <si>
    <t xml:space="preserve">V-Mart Retail Ltd.</t>
  </si>
  <si>
    <t xml:space="preserve">V2 Retail Ltd.</t>
  </si>
  <si>
    <t xml:space="preserve">Strong growth</t>
  </si>
  <si>
    <t xml:space="preserve">Vishal Mega Mart Ltd.</t>
  </si>
  <si>
    <t xml:space="preserve">Avenue Supermart (DMart) Ltd.</t>
  </si>
  <si>
    <t xml:space="preserve">FMCG Hypermart</t>
  </si>
  <si>
    <t xml:space="preserve">Apples-oranges category</t>
  </si>
  <si>
    <t xml:space="preserve">Trent Limited</t>
  </si>
  <si>
    <t xml:space="preserve">National LFS</t>
  </si>
  <si>
    <t xml:space="preserve">Exceptional Zudio growth</t>
  </si>
  <si>
    <t xml:space="preserve">Lifestyle Intl Pvt. Ltd.</t>
  </si>
  <si>
    <t xml:space="preserve">FY25 N/A; revenue declining</t>
  </si>
  <si>
    <t xml:space="preserve">Shoppers Stop Ltd.</t>
  </si>
  <si>
    <t xml:space="preserve">Reliance Retail Limited</t>
  </si>
  <si>
    <t xml:space="preserve">National (All)</t>
  </si>
  <si>
    <t xml:space="preserve">Scale incomparable</t>
  </si>
  <si>
    <t xml:space="preserve">Aditya Birla Fashion &amp; Retail</t>
  </si>
  <si>
    <t xml:space="preserve">Post de-merger; FY24-25 CAGR ~14%</t>
  </si>
  <si>
    <t xml:space="preserve">Source: Annual Reports, Secondary Research, Technopak Analysis, MCA Reports  ·  All standalone except Citykart, V2, Shoppers Stop, Trent, ABFRL, DMart, Baazar Style FY22-23, Vishal</t>
  </si>
  <si>
    <t xml:space="preserve">C6a.2  GROSS MARGIN &amp; EBITDA MARGIN (%)</t>
  </si>
  <si>
    <t xml:space="preserve">GM FY23</t>
  </si>
  <si>
    <t xml:space="preserve">GM FY24</t>
  </si>
  <si>
    <t xml:space="preserve">GM FY25</t>
  </si>
  <si>
    <t xml:space="preserve">GM Δ 23→25</t>
  </si>
  <si>
    <t xml:space="preserve">EBITDA% FY23</t>
  </si>
  <si>
    <t xml:space="preserve">EBITDA% FY24</t>
  </si>
  <si>
    <t xml:space="preserve">EBITDA% FY25</t>
  </si>
  <si>
    <t xml:space="preserve">EBITDA Δ 23→25</t>
  </si>
  <si>
    <t xml:space="preserve">↑ +502 bps</t>
  </si>
  <si>
    <t xml:space="preserve">↑ +357 bps</t>
  </si>
  <si>
    <t xml:space="preserve">32.24%</t>
  </si>
  <si>
    <t xml:space="preserve">33.38%</t>
  </si>
  <si>
    <t xml:space="preserve">33.67%</t>
  </si>
  <si>
    <t xml:space="preserve">↑ +143 bps</t>
  </si>
  <si>
    <t xml:space="preserve">12.88%</t>
  </si>
  <si>
    <t xml:space="preserve">14.61%</t>
  </si>
  <si>
    <t xml:space="preserve">14.11%</t>
  </si>
  <si>
    <t xml:space="preserve">↑ +123 bps</t>
  </si>
  <si>
    <t xml:space="preserve">36.41%</t>
  </si>
  <si>
    <t xml:space="preserve">37.17%</t>
  </si>
  <si>
    <t xml:space="preserve">9.56%</t>
  </si>
  <si>
    <t xml:space="preserve">13.89%</t>
  </si>
  <si>
    <t xml:space="preserve">37.40%</t>
  </si>
  <si>
    <t xml:space="preserve">38.06%</t>
  </si>
  <si>
    <t xml:space="preserve">10.42%</t>
  </si>
  <si>
    <t xml:space="preserve">31.88%</t>
  </si>
  <si>
    <t xml:space="preserve">33.84%</t>
  </si>
  <si>
    <t xml:space="preserve">10.08%</t>
  </si>
  <si>
    <t xml:space="preserve">35.20%</t>
  </si>
  <si>
    <t xml:space="preserve">34.48%</t>
  </si>
  <si>
    <t xml:space="preserve">34.55%</t>
  </si>
  <si>
    <t xml:space="preserve">↓ -65 bps</t>
  </si>
  <si>
    <t xml:space="preserve">10.91%</t>
  </si>
  <si>
    <t xml:space="preserve">7.65%</t>
  </si>
  <si>
    <t xml:space="preserve">11.59%</t>
  </si>
  <si>
    <t xml:space="preserve">↑ +68 bps</t>
  </si>
  <si>
    <t xml:space="preserve">31.00%</t>
  </si>
  <si>
    <t xml:space="preserve">29.71%</t>
  </si>
  <si>
    <t xml:space="preserve">29.25%</t>
  </si>
  <si>
    <t xml:space="preserve">↓ -175 bps</t>
  </si>
  <si>
    <t xml:space="preserve">10.01%</t>
  </si>
  <si>
    <t xml:space="preserve">12.69%</t>
  </si>
  <si>
    <t xml:space="preserve">13.68%</t>
  </si>
  <si>
    <t xml:space="preserve">↑ +367 bps</t>
  </si>
  <si>
    <t xml:space="preserve">27.15%</t>
  </si>
  <si>
    <t xml:space="preserve">27.67%</t>
  </si>
  <si>
    <t xml:space="preserve">28.49%</t>
  </si>
  <si>
    <t xml:space="preserve">↑ +134 bps</t>
  </si>
  <si>
    <t xml:space="preserve">13.45%</t>
  </si>
  <si>
    <t xml:space="preserve">14.01%</t>
  </si>
  <si>
    <t xml:space="preserve">14.28%</t>
  </si>
  <si>
    <t xml:space="preserve">↑ +83 bps</t>
  </si>
  <si>
    <t xml:space="preserve">Avenue Supermart (DMart)</t>
  </si>
  <si>
    <t xml:space="preserve">15.07%</t>
  </si>
  <si>
    <t xml:space="preserve">14.80%</t>
  </si>
  <si>
    <t xml:space="preserve">14.84%</t>
  </si>
  <si>
    <t xml:space="preserve">↓ -23 bps</t>
  </si>
  <si>
    <t xml:space="preserve">8.49%</t>
  </si>
  <si>
    <t xml:space="preserve">8.08%</t>
  </si>
  <si>
    <t xml:space="preserve">7.56%</t>
  </si>
  <si>
    <t xml:space="preserve">↓ -93 bps</t>
  </si>
  <si>
    <t xml:space="preserve">42.74%</t>
  </si>
  <si>
    <t xml:space="preserve">43.77%</t>
  </si>
  <si>
    <t xml:space="preserve">43.45%</t>
  </si>
  <si>
    <t xml:space="preserve">↑ +71 bps</t>
  </si>
  <si>
    <t xml:space="preserve">13.03%</t>
  </si>
  <si>
    <t xml:space="preserve">15.53%</t>
  </si>
  <si>
    <t xml:space="preserve">16.10%</t>
  </si>
  <si>
    <t xml:space="preserve">↑ +307 bps</t>
  </si>
  <si>
    <t xml:space="preserve">32.77%</t>
  </si>
  <si>
    <t xml:space="preserve">33.23%</t>
  </si>
  <si>
    <t xml:space="preserve">14.45%</t>
  </si>
  <si>
    <t xml:space="preserve">14.51%</t>
  </si>
  <si>
    <t xml:space="preserve">22.45%</t>
  </si>
  <si>
    <t xml:space="preserve">24.74%</t>
  </si>
  <si>
    <t xml:space="preserve">7.94%</t>
  </si>
  <si>
    <t xml:space="preserve">9.46%</t>
  </si>
  <si>
    <t xml:space="preserve">41.65%</t>
  </si>
  <si>
    <t xml:space="preserve">41.60%</t>
  </si>
  <si>
    <t xml:space="preserve">17.74%</t>
  </si>
  <si>
    <t xml:space="preserve">15.84%</t>
  </si>
  <si>
    <t xml:space="preserve">42.11%</t>
  </si>
  <si>
    <t xml:space="preserve">41.06%</t>
  </si>
  <si>
    <t xml:space="preserve">41.07%</t>
  </si>
  <si>
    <t xml:space="preserve">↓ -104 bps</t>
  </si>
  <si>
    <t xml:space="preserve">17.29%</t>
  </si>
  <si>
    <t xml:space="preserve">16.61%</t>
  </si>
  <si>
    <t xml:space="preserve">15.31%</t>
  </si>
  <si>
    <t xml:space="preserve">↓ -198 bps</t>
  </si>
  <si>
    <t xml:space="preserve">39.13%</t>
  </si>
  <si>
    <t xml:space="preserve">40.69%</t>
  </si>
  <si>
    <t xml:space="preserve">41.78%</t>
  </si>
  <si>
    <t xml:space="preserve">↑ +265 bps</t>
  </si>
  <si>
    <t xml:space="preserve">15.73%</t>
  </si>
  <si>
    <t xml:space="preserve">15.43%</t>
  </si>
  <si>
    <t xml:space="preserve">14.48%</t>
  </si>
  <si>
    <t xml:space="preserve">↓ -125 bps</t>
  </si>
  <si>
    <t xml:space="preserve">55.29%</t>
  </si>
  <si>
    <t xml:space="preserve">51.97%</t>
  </si>
  <si>
    <t xml:space="preserve">56.80%</t>
  </si>
  <si>
    <t xml:space="preserve">↑ +151 bps</t>
  </si>
  <si>
    <t xml:space="preserve">12.03%</t>
  </si>
  <si>
    <t xml:space="preserve">5.74%</t>
  </si>
  <si>
    <t xml:space="preserve">9.20%</t>
  </si>
  <si>
    <t xml:space="preserve">↓ -283 bps</t>
  </si>
  <si>
    <t xml:space="preserve">Source: Annual Reports, Technopak Analysis, MCA Reports  ·  GM = Revenue – COGS  ·  EBITDA = Revenue – COGS – Employee Costs – Other Expenses  ·  N/A = FY25 not yet available</t>
  </si>
  <si>
    <t xml:space="preserve">C6a.3  PAT &amp; PAT MARGIN (%)</t>
  </si>
  <si>
    <t xml:space="preserve">PAT FY23</t>
  </si>
  <si>
    <t xml:space="preserve">PAT FY24</t>
  </si>
  <si>
    <t xml:space="preserve">PAT FY25</t>
  </si>
  <si>
    <t xml:space="preserve">PAT Mrgn FY23</t>
  </si>
  <si>
    <t xml:space="preserve">PAT Mrgn FY24</t>
  </si>
  <si>
    <t xml:space="preserve">PAT Mrgn FY25</t>
  </si>
  <si>
    <t xml:space="preserve">CAGR PAT 23–25</t>
  </si>
  <si>
    <t xml:space="preserve">0.64%</t>
  </si>
  <si>
    <t xml:space="preserve">2.23%</t>
  </si>
  <si>
    <t xml:space="preserve">1.09%</t>
  </si>
  <si>
    <t xml:space="preserve">↓ Volatile</t>
  </si>
  <si>
    <t xml:space="preserve">Baazar Retail (Kolkata)</t>
  </si>
  <si>
    <t xml:space="preserve">-7.54%</t>
  </si>
  <si>
    <t xml:space="preserve">-2.85%</t>
  </si>
  <si>
    <t xml:space="preserve">↑ Improving but -ve</t>
  </si>
  <si>
    <t xml:space="preserve">6.57%</t>
  </si>
  <si>
    <t xml:space="preserve">6.19%</t>
  </si>
  <si>
    <t xml:space="preserve">Stable</t>
  </si>
  <si>
    <t xml:space="preserve">-0.84%</t>
  </si>
  <si>
    <t xml:space="preserve">4.62%</t>
  </si>
  <si>
    <t xml:space="preserve">↑ Turnaround</t>
  </si>
  <si>
    <t xml:space="preserve">-0.32%</t>
  </si>
  <si>
    <t xml:space="preserve">-3.45%</t>
  </si>
  <si>
    <t xml:space="preserve">1.40%</t>
  </si>
  <si>
    <t xml:space="preserve">-1.52%</t>
  </si>
  <si>
    <t xml:space="preserve">2.37%</t>
  </si>
  <si>
    <t xml:space="preserve">3.81%</t>
  </si>
  <si>
    <t xml:space="preserve">↑ Strong recovery</t>
  </si>
  <si>
    <t xml:space="preserve">4.22%</t>
  </si>
  <si>
    <t xml:space="preserve">5.16%</t>
  </si>
  <si>
    <t xml:space="preserve">5.87%</t>
  </si>
  <si>
    <t xml:space="preserve">↑ Consistent</t>
  </si>
  <si>
    <t xml:space="preserve">5.54%</t>
  </si>
  <si>
    <t xml:space="preserve">4.98%</t>
  </si>
  <si>
    <t xml:space="preserve">4.55%</t>
  </si>
  <si>
    <t xml:space="preserve">↓ Declining margins</t>
  </si>
  <si>
    <t xml:space="preserve">4.63%</t>
  </si>
  <si>
    <t xml:space="preserve">11.67%</t>
  </si>
  <si>
    <t xml:space="preserve">8.84%</t>
  </si>
  <si>
    <t xml:space="preserve">↑ Strong</t>
  </si>
  <si>
    <t xml:space="preserve">8.36%</t>
  </si>
  <si>
    <t xml:space="preserve">8.00%</t>
  </si>
  <si>
    <t xml:space="preserve">Stable+</t>
  </si>
  <si>
    <t xml:space="preserve">5.64%</t>
  </si>
  <si>
    <t xml:space="preserve">5.20%</t>
  </si>
  <si>
    <t xml:space="preserve">5.93%</t>
  </si>
  <si>
    <t xml:space="preserve">2.57%</t>
  </si>
  <si>
    <t xml:space="preserve">↓ Declining sharply</t>
  </si>
  <si>
    <t xml:space="preserve">2.84%</t>
  </si>
  <si>
    <t xml:space="preserve">1.77%</t>
  </si>
  <si>
    <t xml:space="preserve">0.23%</t>
  </si>
  <si>
    <t xml:space="preserve">7.18%</t>
  </si>
  <si>
    <t xml:space="preserve">7.22%</t>
  </si>
  <si>
    <t xml:space="preserve">5.75%</t>
  </si>
  <si>
    <t xml:space="preserve">↓ Slight decline</t>
  </si>
  <si>
    <t xml:space="preserve">-0.47%</t>
  </si>
  <si>
    <t xml:space="preserve">-13.79%</t>
  </si>
  <si>
    <t xml:space="preserve">-8.27%</t>
  </si>
  <si>
    <t xml:space="preserve">⚠ Persistent losses</t>
  </si>
  <si>
    <t xml:space="preserve">Source: Annual Reports, Technopak Analysis, MCA Reports  ·  PAT Margin = PAT ÷ (Revenue + Other Income)</t>
  </si>
  <si>
    <t xml:space="preserve">SECTION C6b — PEER BENCHMARKING: RETURNS &amp; OPERATIONAL EFFICIENCY</t>
  </si>
  <si>
    <t xml:space="preserve">C6b.1  RETURN METRICS (%)</t>
  </si>
  <si>
    <t xml:space="preserve">ROE FY23</t>
  </si>
  <si>
    <t xml:space="preserve">ROE FY24</t>
  </si>
  <si>
    <t xml:space="preserve">ROE FY25</t>
  </si>
  <si>
    <t xml:space="preserve">ROCE FY23</t>
  </si>
  <si>
    <t xml:space="preserve">ROCE FY24</t>
  </si>
  <si>
    <t xml:space="preserve">ROCE FY25</t>
  </si>
  <si>
    <t xml:space="preserve">D/E FY23</t>
  </si>
  <si>
    <t xml:space="preserve">D/E FY24</t>
  </si>
  <si>
    <t xml:space="preserve">D/E FY25</t>
  </si>
  <si>
    <t xml:space="preserve">3.02%</t>
  </si>
  <si>
    <t xml:space="preserve">10.74%</t>
  </si>
  <si>
    <t xml:space="preserve">4.75%</t>
  </si>
  <si>
    <t xml:space="preserve">13.05%</t>
  </si>
  <si>
    <t xml:space="preserve">17.47%</t>
  </si>
  <si>
    <t xml:space="preserve">15.71%</t>
  </si>
  <si>
    <t xml:space="preserve">2.53x</t>
  </si>
  <si>
    <t xml:space="preserve">3.06x</t>
  </si>
  <si>
    <t xml:space="preserve">2.47x</t>
  </si>
  <si>
    <t xml:space="preserve">-15.38%</t>
  </si>
  <si>
    <t xml:space="preserve">-7.10%</t>
  </si>
  <si>
    <t xml:space="preserve">-6.43%</t>
  </si>
  <si>
    <t xml:space="preserve">1.47%</t>
  </si>
  <si>
    <t xml:space="preserve">0.05x</t>
  </si>
  <si>
    <t xml:space="preserve">0.27x</t>
  </si>
  <si>
    <t xml:space="preserve">28.56%</t>
  </si>
  <si>
    <t xml:space="preserve">23.51%</t>
  </si>
  <si>
    <t xml:space="preserve">28.62%</t>
  </si>
  <si>
    <t xml:space="preserve">20.72%</t>
  </si>
  <si>
    <t xml:space="preserve">0.17x</t>
  </si>
  <si>
    <t xml:space="preserve">0.30x</t>
  </si>
  <si>
    <t xml:space="preserve">-2.77%</t>
  </si>
  <si>
    <t xml:space="preserve">30.60%</t>
  </si>
  <si>
    <t xml:space="preserve">8.20%</t>
  </si>
  <si>
    <t xml:space="preserve">8.93%</t>
  </si>
  <si>
    <t xml:space="preserve">0.73x</t>
  </si>
  <si>
    <t xml:space="preserve">3.56x</t>
  </si>
  <si>
    <t xml:space="preserve">-0.92%</t>
  </si>
  <si>
    <t xml:space="preserve">-12.13%</t>
  </si>
  <si>
    <t xml:space="preserve">5.88%</t>
  </si>
  <si>
    <t xml:space="preserve">9.19%</t>
  </si>
  <si>
    <t xml:space="preserve">-1.06%</t>
  </si>
  <si>
    <t xml:space="preserve">15.03%</t>
  </si>
  <si>
    <t xml:space="preserve">1.57x</t>
  </si>
  <si>
    <t xml:space="preserve">1.86x</t>
  </si>
  <si>
    <t xml:space="preserve">0.97x</t>
  </si>
  <si>
    <t xml:space="preserve">-5.07%</t>
  </si>
  <si>
    <t xml:space="preserve">10.66%</t>
  </si>
  <si>
    <t xml:space="preserve">23.20%</t>
  </si>
  <si>
    <t xml:space="preserve">19.45%</t>
  </si>
  <si>
    <t xml:space="preserve">34.46%</t>
  </si>
  <si>
    <t xml:space="preserve">1.72x</t>
  </si>
  <si>
    <t xml:space="preserve">1.91x</t>
  </si>
  <si>
    <t xml:space="preserve">2.45x</t>
  </si>
  <si>
    <t xml:space="preserve">6.44%</t>
  </si>
  <si>
    <t xml:space="preserve">8.57%</t>
  </si>
  <si>
    <t xml:space="preserve">10.51%</t>
  </si>
  <si>
    <t xml:space="preserve">10.57%</t>
  </si>
  <si>
    <t xml:space="preserve">13.01%</t>
  </si>
  <si>
    <t xml:space="preserve">14.68%</t>
  </si>
  <si>
    <t xml:space="preserve">0.28x</t>
  </si>
  <si>
    <t xml:space="preserve">0.26x</t>
  </si>
  <si>
    <t xml:space="preserve">FMCG</t>
  </si>
  <si>
    <t xml:space="preserve">15.99%</t>
  </si>
  <si>
    <t xml:space="preserve">14.58%</t>
  </si>
  <si>
    <t xml:space="preserve">13.49%</t>
  </si>
  <si>
    <t xml:space="preserve">18.65%</t>
  </si>
  <si>
    <t xml:space="preserve">18.04%</t>
  </si>
  <si>
    <t xml:space="preserve">16.88%</t>
  </si>
  <si>
    <t xml:space="preserve">0.04x</t>
  </si>
  <si>
    <t xml:space="preserve">0.03x</t>
  </si>
  <si>
    <t xml:space="preserve">15.52%</t>
  </si>
  <si>
    <t xml:space="preserve">43.68%</t>
  </si>
  <si>
    <t xml:space="preserve">31.68%</t>
  </si>
  <si>
    <t xml:space="preserve">18.35%</t>
  </si>
  <si>
    <t xml:space="preserve">27.19%</t>
  </si>
  <si>
    <t xml:space="preserve">30.63%</t>
  </si>
  <si>
    <t xml:space="preserve">1.68x</t>
  </si>
  <si>
    <t xml:space="preserve">0.43x</t>
  </si>
  <si>
    <t xml:space="preserve">0.40x</t>
  </si>
  <si>
    <t xml:space="preserve">27.76%</t>
  </si>
  <si>
    <t xml:space="preserve">22.18%</t>
  </si>
  <si>
    <t xml:space="preserve">19.75%</t>
  </si>
  <si>
    <t xml:space="preserve">19.83%</t>
  </si>
  <si>
    <t xml:space="preserve">0.63x</t>
  </si>
  <si>
    <t xml:space="preserve">0.49x</t>
  </si>
  <si>
    <t xml:space="preserve">63.47%</t>
  </si>
  <si>
    <t xml:space="preserve">40.72%</t>
  </si>
  <si>
    <t xml:space="preserve">26.46%</t>
  </si>
  <si>
    <t xml:space="preserve">24.77%</t>
  </si>
  <si>
    <t xml:space="preserve">1.17x</t>
  </si>
  <si>
    <t xml:space="preserve">1.05x</t>
  </si>
  <si>
    <t xml:space="preserve">42.47%</t>
  </si>
  <si>
    <t xml:space="preserve">14.42%</t>
  </si>
  <si>
    <t xml:space="preserve">63.39%</t>
  </si>
  <si>
    <t xml:space="preserve">0.00x</t>
  </si>
  <si>
    <t xml:space="preserve">82.28%</t>
  </si>
  <si>
    <t xml:space="preserve">30.45%</t>
  </si>
  <si>
    <t xml:space="preserve">3.50%</t>
  </si>
  <si>
    <t xml:space="preserve">94.42%</t>
  </si>
  <si>
    <t xml:space="preserve">58.97%</t>
  </si>
  <si>
    <t xml:space="preserve">32.37%</t>
  </si>
  <si>
    <t xml:space="preserve">11.53x</t>
  </si>
  <si>
    <t xml:space="preserve">9.24x</t>
  </si>
  <si>
    <t xml:space="preserve">10.32x</t>
  </si>
  <si>
    <t xml:space="preserve">27.96%</t>
  </si>
  <si>
    <t xml:space="preserve">13.82%</t>
  </si>
  <si>
    <t xml:space="preserve">7.78%</t>
  </si>
  <si>
    <t xml:space="preserve">23.09%</t>
  </si>
  <si>
    <t xml:space="preserve">12.42%</t>
  </si>
  <si>
    <t xml:space="preserve">12.24%</t>
  </si>
  <si>
    <t xml:space="preserve">1.32x</t>
  </si>
  <si>
    <t xml:space="preserve">0.44x</t>
  </si>
  <si>
    <t xml:space="preserve">0.36x</t>
  </si>
  <si>
    <t xml:space="preserve">-1.94%</t>
  </si>
  <si>
    <t xml:space="preserve">-22.52%</t>
  </si>
  <si>
    <t xml:space="preserve">-10.83%</t>
  </si>
  <si>
    <t xml:space="preserve">4.72%</t>
  </si>
  <si>
    <t xml:space="preserve">-7.26%</t>
  </si>
  <si>
    <t xml:space="preserve">-5.94%</t>
  </si>
  <si>
    <t xml:space="preserve">1.96x</t>
  </si>
  <si>
    <t xml:space="preserve">2.01x</t>
  </si>
  <si>
    <t xml:space="preserve">0.74x</t>
  </si>
  <si>
    <t xml:space="preserve">Source: Annual Reports, Technopak Analysis  ·  ROE = PAT ÷ Avg Equity  ·  ROCE = EBIT ÷ Capital Employed  ·  D/E = (Borrowings + Lease Liabilities) ÷ Equity</t>
  </si>
  <si>
    <t xml:space="preserve">C6b.2  INVENTORY TURNOVER, WORKING CAPITAL &amp; SSSG</t>
  </si>
  <si>
    <t xml:space="preserve">ITR FY23</t>
  </si>
  <si>
    <t xml:space="preserve">ITR FY24</t>
  </si>
  <si>
    <t xml:space="preserve">ITR FY25</t>
  </si>
  <si>
    <t xml:space="preserve">WC Days FY23</t>
  </si>
  <si>
    <t xml:space="preserve">WC Days FY24</t>
  </si>
  <si>
    <t xml:space="preserve">WC Days FY25</t>
  </si>
  <si>
    <t xml:space="preserve">SSSG FY23</t>
  </si>
  <si>
    <t xml:space="preserve">SSSG FY24</t>
  </si>
  <si>
    <t xml:space="preserve">SSSG FY25</t>
  </si>
  <si>
    <t xml:space="preserve">25.73%</t>
  </si>
  <si>
    <t xml:space="preserve">9.54%</t>
  </si>
  <si>
    <t xml:space="preserve">13.00%</t>
  </si>
  <si>
    <t xml:space="preserve">23.00%</t>
  </si>
  <si>
    <t xml:space="preserve">11.00%</t>
  </si>
  <si>
    <t xml:space="preserve">29.00%</t>
  </si>
  <si>
    <t xml:space="preserve">25.16%</t>
  </si>
  <si>
    <t xml:space="preserve">13.57%</t>
  </si>
  <si>
    <t xml:space="preserve">12.31%</t>
  </si>
  <si>
    <t xml:space="preserve">24.20%</t>
  </si>
  <si>
    <t xml:space="preserve">9.90%</t>
  </si>
  <si>
    <t xml:space="preserve">8.40%</t>
  </si>
  <si>
    <t xml:space="preserve">32.50%</t>
  </si>
  <si>
    <t xml:space="preserve">59.00%</t>
  </si>
  <si>
    <t xml:space="preserve">10.00%</t>
  </si>
  <si>
    <t xml:space="preserve">3.90%</t>
  </si>
  <si>
    <t xml:space="preserve">0.00%</t>
  </si>
  <si>
    <t xml:space="preserve">4.00%</t>
  </si>
  <si>
    <t xml:space="preserve">43.75%</t>
  </si>
  <si>
    <t xml:space="preserve">Source: Annual Reports, Technopak Analysis  ·  ITR = COGS ÷ Avg Inventory  ·  WC Days = (Inv+Rec-Pay) ÷ Revenue × 365  ·  SSSG = Same-store (&gt;24 months) revenue growth</t>
  </si>
  <si>
    <t xml:space="preserve">[RISK]  RSB SSSG: 29.19% (FY23) → 0.34% (FY24) → (4.38)% (FY25). This is the single most important metric to track in FY26. V2 Retail (+29%) and Baazar Style (+13%) are achieving strong SSSG while rapidly expanding — showing that rapid store rollout and positive SSSG are not mutually exclusive. RSB needs to demonstrate a recovery here to sustain premium valuation.</t>
  </si>
  <si>
    <t xml:space="preserve">SECTION C7 — COMPETITIVE POSITION, STORE KPIs &amp; STRATEGY</t>
  </si>
  <si>
    <t xml:space="preserve">C7.1  MULTI-FORMAT COVERAGE MATRIX</t>
  </si>
  <si>
    <t xml:space="preserve">Type</t>
  </si>
  <si>
    <t xml:space="preserve">Value Format</t>
  </si>
  <si>
    <t xml:space="preserve">Large Format Store</t>
  </si>
  <si>
    <t xml:space="preserve">Ethnic-Women (Dedicated)</t>
  </si>
  <si>
    <t xml:space="preserve">Ethnic-Men (Dedicated)</t>
  </si>
  <si>
    <t xml:space="preserve">No. of Formats</t>
  </si>
  <si>
    <t xml:space="preserve">Home State</t>
  </si>
  <si>
    <t xml:space="preserve">Regional</t>
  </si>
  <si>
    <t xml:space="preserve">✓ ValueZone</t>
  </si>
  <si>
    <t xml:space="preserve">✓ RS Brothers + SISM</t>
  </si>
  <si>
    <t xml:space="preserve">✓ Narayani Silks</t>
  </si>
  <si>
    <t xml:space="preserve">✓ Dè Royal</t>
  </si>
  <si>
    <t xml:space="preserve">Telangana/AP</t>
  </si>
  <si>
    <t xml:space="preserve">✓</t>
  </si>
  <si>
    <t xml:space="preserve">Very large stores; TN-focused</t>
  </si>
  <si>
    <t xml:space="preserve">AP/Tel</t>
  </si>
  <si>
    <t xml:space="preserve">Very limited expansion</t>
  </si>
  <si>
    <t xml:space="preserve">AP/Tel/TN</t>
  </si>
  <si>
    <t xml:space="preserve">No dedicated men's ethnic</t>
  </si>
  <si>
    <t xml:space="preserve">Lifestyle (Landmark)</t>
  </si>
  <si>
    <t xml:space="preserve">National</t>
  </si>
  <si>
    <t xml:space="preserve">Pan-India</t>
  </si>
  <si>
    <t xml:space="preserve">No ethnic focus</t>
  </si>
  <si>
    <t xml:space="preserve">Ethnic range within LFS only</t>
  </si>
  <si>
    <t xml:space="preserve">Private label; no ethnic focus</t>
  </si>
  <si>
    <t xml:space="preserve">Source: Technopak Analysis, Company Websites  ·  ✓ = Presence (may not be dedicated format)  ·  RSB is the only regional player with all 4 format types</t>
  </si>
  <si>
    <t xml:space="preserve">C7.2  OPERATIONAL KPIs BY PLAYER (FY2025)</t>
  </si>
  <si>
    <t xml:space="preserve">Avg Rev/Store (INR Mn)</t>
  </si>
  <si>
    <t xml:space="preserve">Avg Rev/Sqft (INR)</t>
  </si>
  <si>
    <t xml:space="preserve">AOV (INR)</t>
  </si>
  <si>
    <t xml:space="preserve">ASP/Piece (INR)</t>
  </si>
  <si>
    <t xml:space="preserve">Trent Limited (all formats)</t>
  </si>
  <si>
    <t xml:space="preserve">Source: Annual Reports, Industry Reports, Technopak Analysis  ·  N/A = Data not disclosed  ·  Avg Rev/Store = Revenue ÷ Store count at year-end</t>
  </si>
  <si>
    <t xml:space="preserve">C7.3  STORE COUNT TREND — REGIONAL &amp; NATIONAL VALUE PLAYERS</t>
  </si>
  <si>
    <t xml:space="preserve">Baazar Style Retail</t>
  </si>
  <si>
    <t xml:space="preserve">M Bazaar</t>
  </si>
  <si>
    <t xml:space="preserve">Citykart</t>
  </si>
  <si>
    <t xml:space="preserve">Max Fashion</t>
  </si>
  <si>
    <t xml:space="preserve">Zudio (Trent)</t>
  </si>
  <si>
    <t xml:space="preserve">DMart</t>
  </si>
  <si>
    <t xml:space="preserve">National FMCG</t>
  </si>
  <si>
    <t xml:space="preserve">Shoppers Stop</t>
  </si>
  <si>
    <t xml:space="preserve">Westside (Trent)</t>
  </si>
  <si>
    <t xml:space="preserve">Source: Annual Reports, Brand Websites (Jan 2025), Technopak Analysis  ·  N/A = data not available for that year</t>
  </si>
  <si>
    <t xml:space="preserve">C7.4  RSB STRATEGIC PRIORITIES (BOARD-APPROVED AUG 13, 2025)</t>
  </si>
  <si>
    <t xml:space="preserve">Priority</t>
  </si>
  <si>
    <t xml:space="preserve">Detail</t>
  </si>
  <si>
    <t xml:space="preserve">Capital/Resource</t>
  </si>
  <si>
    <t xml:space="preserve">Timeline</t>
  </si>
  <si>
    <t xml:space="preserve">KPIs to Track</t>
  </si>
  <si>
    <t xml:space="preserve">1. New Store Rollouts (Core)</t>
  </si>
  <si>
    <t xml:space="preserve">14 new RS Brothers / SISM stores in AP &amp; Telangana via IPO proceeds</t>
  </si>
  <si>
    <t xml:space="preserve">₹1,181.81 Mn from IPO net proceeds</t>
  </si>
  <si>
    <t xml:space="preserve">4 stores FY26; 7+7 in FY27–28</t>
  </si>
  <si>
    <t xml:space="preserve">SSSG, Rev/Store, WC Days</t>
  </si>
  <si>
    <t xml:space="preserve">2. Geographic Expansion</t>
  </si>
  <si>
    <t xml:space="preserve">Enter Tamil Nadu + Maharashtra; deepen Karnataka (LOI for KA + MH signed post Mar-25)</t>
  </si>
  <si>
    <t xml:space="preserve">Capex + leases for new stores</t>
  </si>
  <si>
    <t xml:space="preserve">FY26–FY28</t>
  </si>
  <si>
    <t xml:space="preserve">New states revenue %, Hyd concentration %</t>
  </si>
  <si>
    <t xml:space="preserve">3. Operational Efficiency</t>
  </si>
  <si>
    <t xml:space="preserve">AI/ML demand forecasting; better supplier terms; performance incentives; wider product range</t>
  </si>
  <si>
    <t xml:space="preserve">Technology investment + working capital</t>
  </si>
  <si>
    <t xml:space="preserve">FY26 onward</t>
  </si>
  <si>
    <t xml:space="preserve">Inventory turnover, WC days, Gross margin</t>
  </si>
  <si>
    <t xml:space="preserve">4. Private Label Growth</t>
  </si>
  <si>
    <t xml:space="preserve">13 brands → targeting &gt;10% of revenue; possible dedicated PL stores in future</t>
  </si>
  <si>
    <t xml:space="preserve">Marketing + sourcing investment</t>
  </si>
  <si>
    <t xml:space="preserve">Ongoing</t>
  </si>
  <si>
    <t xml:space="preserve">PL % of revenue, PL gross margin vs blended</t>
  </si>
  <si>
    <t xml:space="preserve">5. Reduce Hyd Concentration</t>
  </si>
  <si>
    <t xml:space="preserve">52.1% revenue from Hyderabad (39 stores) → diversify into AP/Tel Tier-II + TN/MH</t>
  </si>
  <si>
    <t xml:space="preserve">Linked to new store rollout capex</t>
  </si>
  <si>
    <t xml:space="preserve">FY26–FY29</t>
  </si>
  <si>
    <t xml:space="preserve">Hyd % of revenue, Tier-II/III store count</t>
  </si>
  <si>
    <t xml:space="preserve">6. Format Expansion</t>
  </si>
  <si>
    <t xml:space="preserve">ValueZone scaling (2 → more stores); evaluate dedicated PL format</t>
  </si>
  <si>
    <t xml:space="preserve">Site selection + lease negotiation</t>
  </si>
  <si>
    <t xml:space="preserve">Medium-term</t>
  </si>
  <si>
    <t xml:space="preserve">ValueZone % of revenue, ValueZone EBITDA</t>
  </si>
  <si>
    <t xml:space="preserve">Source: RSB DRHP — Board Resolution Aug 13, 2025  ·  IPO use of proceeds: ₹1,181.81 Mn for new store fit-outs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</si>
</sst>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.00"/>
    <numFmt numFmtId="168" formatCode="0.00\x"/>
    <numFmt numFmtId="169" formatCode="#,##0.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93C5FD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F172A"/>
      <name val="Arial"/>
      <family val="0"/>
      <charset val="1"/>
    </font>
    <font>
      <sz val="9"/>
      <color rgb="FF1E3A8A"/>
      <name val="Arial"/>
      <family val="0"/>
      <charset val="1"/>
    </font>
    <font>
      <sz val="9"/>
      <color rgb="FF0F172A"/>
      <name val="Arial"/>
      <family val="0"/>
      <charset val="1"/>
    </font>
    <font>
      <b val="true"/>
      <sz val="9"/>
      <color rgb="FF7F1D1D"/>
      <name val="Arial"/>
      <family val="0"/>
      <charset val="1"/>
    </font>
    <font>
      <sz val="9"/>
      <color rgb="FF7F1D1D"/>
      <name val="Arial"/>
      <family val="0"/>
      <charset val="1"/>
    </font>
    <font>
      <sz val="9"/>
      <color rgb="FF2563EB"/>
      <name val="Arial"/>
      <family val="0"/>
      <charset val="1"/>
    </font>
    <font>
      <sz val="9"/>
      <color rgb="FF0F766E"/>
      <name val="Arial"/>
      <family val="0"/>
      <charset val="1"/>
    </font>
    <font>
      <sz val="9"/>
      <color rgb="FF7C3AED"/>
      <name val="Arial"/>
      <family val="0"/>
      <charset val="1"/>
    </font>
    <font>
      <i val="true"/>
      <sz val="8"/>
      <color rgb="FF64748B"/>
      <name val="Arial"/>
      <family val="0"/>
      <charset val="1"/>
    </font>
    <font>
      <i val="true"/>
      <sz val="9"/>
      <color rgb="FF14B8A6"/>
      <name val="Arial"/>
      <family val="0"/>
      <charset val="1"/>
    </font>
    <font>
      <b val="true"/>
      <sz val="9"/>
      <color rgb="FF78350F"/>
      <name val="Arial"/>
      <family val="0"/>
      <charset val="1"/>
    </font>
    <font>
      <sz val="9"/>
      <color rgb="FF78350F"/>
      <name val="Arial"/>
      <family val="0"/>
      <charset val="1"/>
    </font>
    <font>
      <sz val="9"/>
      <color rgb="FF14532D"/>
      <name val="Arial"/>
      <family val="0"/>
      <charset val="1"/>
    </font>
    <font>
      <i val="true"/>
      <sz val="9"/>
      <color rgb="FF7C3AED"/>
      <name val="Arial"/>
      <family val="0"/>
      <charset val="1"/>
    </font>
    <font>
      <b val="true"/>
      <sz val="9"/>
      <color rgb="FF4C1D95"/>
      <name val="Arial"/>
      <family val="0"/>
      <charset val="1"/>
    </font>
    <font>
      <i val="true"/>
      <sz val="8.5"/>
      <color rgb="FF7F1D1D"/>
      <name val="Arial"/>
      <family val="0"/>
      <charset val="1"/>
    </font>
    <font>
      <i val="true"/>
      <sz val="9"/>
      <color rgb="FFDC2626"/>
      <name val="Arial"/>
      <family val="0"/>
      <charset val="1"/>
    </font>
    <font>
      <b val="true"/>
      <sz val="9"/>
      <color rgb="FF14532D"/>
      <name val="Arial"/>
      <family val="0"/>
      <charset val="1"/>
    </font>
    <font>
      <sz val="9"/>
      <color rgb="FF64748B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0D1B3E"/>
        <bgColor rgb="FF0F172A"/>
      </patternFill>
    </fill>
    <fill>
      <patternFill patternType="solid">
        <fgColor rgb="FF334155"/>
        <bgColor rgb="FF134E4A"/>
      </patternFill>
    </fill>
    <fill>
      <patternFill patternType="solid">
        <fgColor rgb="FFF8FAFC"/>
        <bgColor rgb="FFF0FDFA"/>
      </patternFill>
    </fill>
    <fill>
      <patternFill patternType="solid">
        <fgColor rgb="FFFFFFFF"/>
        <bgColor rgb="FFF8FAFC"/>
      </patternFill>
    </fill>
    <fill>
      <patternFill patternType="solid">
        <fgColor rgb="FFFEE2E2"/>
        <bgColor rgb="FFEDE9FE"/>
      </patternFill>
    </fill>
    <fill>
      <patternFill patternType="solid">
        <fgColor rgb="FF1E3A8A"/>
        <bgColor rgb="FF334155"/>
      </patternFill>
    </fill>
    <fill>
      <patternFill patternType="solid">
        <fgColor rgb="FF2563EB"/>
        <bgColor rgb="FF0066CC"/>
      </patternFill>
    </fill>
    <fill>
      <patternFill patternType="solid">
        <fgColor rgb="FFEFF6FF"/>
        <bgColor rgb="FFF5F3FF"/>
      </patternFill>
    </fill>
    <fill>
      <patternFill patternType="solid">
        <fgColor rgb="FFCCFBF1"/>
        <bgColor rgb="FFDCFCE7"/>
      </patternFill>
    </fill>
    <fill>
      <patternFill patternType="solid">
        <fgColor rgb="FFFEF3C7"/>
        <bgColor rgb="FFFEE2E2"/>
      </patternFill>
    </fill>
    <fill>
      <patternFill patternType="solid">
        <fgColor rgb="FF63EB22"/>
        <bgColor rgb="FF3AED33"/>
      </patternFill>
    </fill>
    <fill>
      <patternFill patternType="solid">
        <fgColor rgb="FF134E4A"/>
        <bgColor rgb="FF14532D"/>
      </patternFill>
    </fill>
    <fill>
      <patternFill patternType="solid">
        <fgColor rgb="FF0F766E"/>
        <bgColor rgb="FF134E4A"/>
      </patternFill>
    </fill>
    <fill>
      <patternFill patternType="solid">
        <fgColor rgb="FFF0FDFA"/>
        <bgColor rgb="FFF8FAFC"/>
      </patternFill>
    </fill>
    <fill>
      <patternFill patternType="solid">
        <fgColor rgb="FF766E33"/>
        <bgColor rgb="FF808080"/>
      </patternFill>
    </fill>
    <fill>
      <patternFill patternType="solid">
        <fgColor rgb="FFDCFCE7"/>
        <bgColor rgb="FFCCFBF1"/>
      </patternFill>
    </fill>
    <fill>
      <patternFill patternType="solid">
        <fgColor rgb="FF4C1D95"/>
        <bgColor rgb="FF1E3A8A"/>
      </patternFill>
    </fill>
    <fill>
      <patternFill patternType="solid">
        <fgColor rgb="FF7C3AED"/>
        <bgColor rgb="FF4C1D95"/>
      </patternFill>
    </fill>
    <fill>
      <patternFill patternType="solid">
        <fgColor rgb="FFF5F3FF"/>
        <bgColor rgb="FFEFF6FF"/>
      </patternFill>
    </fill>
    <fill>
      <patternFill patternType="solid">
        <fgColor rgb="FF3AED33"/>
        <bgColor rgb="FF63EB22"/>
      </patternFill>
    </fill>
    <fill>
      <patternFill patternType="solid">
        <fgColor rgb="FFEDE9FE"/>
        <bgColor rgb="FFF5F3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0D1B3E"/>
      </left>
      <right style="thin">
        <color rgb="FF0D1B3E"/>
      </right>
      <top style="thin">
        <color rgb="FF0D1B3E"/>
      </top>
      <bottom style="thin">
        <color rgb="FF0D1B3E"/>
      </bottom>
      <diagonal/>
    </border>
    <border diagonalUp="false" diagonalDown="false"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1E3A8A"/>
      </left>
      <right style="thin">
        <color rgb="FF1E3A8A"/>
      </right>
      <top style="thin">
        <color rgb="FF1E3A8A"/>
      </top>
      <bottom style="thin">
        <color rgb="FF1E3A8A"/>
      </bottom>
      <diagonal/>
    </border>
    <border diagonalUp="false" diagonalDown="false"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 diagonalUp="false" diagonalDown="false">
      <left style="medium">
        <color rgb="FF14B8A6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134E4A"/>
      </left>
      <right style="thin">
        <color rgb="FF134E4A"/>
      </right>
      <top style="thin">
        <color rgb="FF134E4A"/>
      </top>
      <bottom style="thin">
        <color rgb="FF134E4A"/>
      </bottom>
      <diagonal/>
    </border>
    <border diagonalUp="false" diagonalDown="false"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 diagonalUp="false" diagonalDown="false">
      <left style="thin">
        <color rgb="FF4C1D95"/>
      </left>
      <right style="thin">
        <color rgb="FF4C1D95"/>
      </right>
      <top style="thin">
        <color rgb="FF4C1D95"/>
      </top>
      <bottom style="thin">
        <color rgb="FF4C1D95"/>
      </bottom>
      <diagonal/>
    </border>
    <border diagonalUp="false" diagonalDown="false"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 diagonalUp="false" diagonalDown="false">
      <left style="medium">
        <color rgb="FF7C3AED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DC2626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1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9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2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1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9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3AED33"/>
      <rgbColor rgb="FF0000FF"/>
      <rgbColor rgb="FFFFFF00"/>
      <rgbColor rgb="FFFF00FF"/>
      <rgbColor rgb="FF00FFFF"/>
      <rgbColor rgb="FF7F1D1D"/>
      <rgbColor rgb="FF008000"/>
      <rgbColor rgb="FF000080"/>
      <rgbColor rgb="FF766E33"/>
      <rgbColor rgb="FF800080"/>
      <rgbColor rgb="FF0F766E"/>
      <rgbColor rgb="FFEDE9FE"/>
      <rgbColor rgb="FF808080"/>
      <rgbColor rgb="FF9999FF"/>
      <rgbColor rgb="FF7C3AED"/>
      <rgbColor rgb="FFFEF3C7"/>
      <rgbColor rgb="FFCCFBF1"/>
      <rgbColor rgb="FF4C1D95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134E4A"/>
      <rgbColor rgb="FF0000FF"/>
      <rgbColor rgb="FF00CCFF"/>
      <rgbColor rgb="FFDCFCE7"/>
      <rgbColor rgb="FFF0FDFA"/>
      <rgbColor rgb="FFF8FAFC"/>
      <rgbColor rgb="FF93C5FD"/>
      <rgbColor rgb="FFF5F3FF"/>
      <rgbColor rgb="FFEFF6FF"/>
      <rgbColor rgb="FFFEE2E2"/>
      <rgbColor rgb="FF2563EB"/>
      <rgbColor rgb="FF14B8A6"/>
      <rgbColor rgb="FF63EB22"/>
      <rgbColor rgb="FFFFCC00"/>
      <rgbColor rgb="FFFF9900"/>
      <rgbColor rgb="FFFF6600"/>
      <rgbColor rgb="FF64748B"/>
      <rgbColor rgb="FF94A3B8"/>
      <rgbColor rgb="FF0D1B3E"/>
      <rgbColor rgb="FF339966"/>
      <rgbColor rgb="FF0F172A"/>
      <rgbColor rgb="FF14532D"/>
      <rgbColor rgb="FF78350F"/>
      <rgbColor rgb="FF993366"/>
      <rgbColor rgb="FF1E3A8A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3E"/>
    <pageSetUpPr fitToPage="fals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8" min="3" style="1" width="22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36" hidden="false" customHeight="true" outlineLevel="0" collapsed="false">
      <c r="A2" s="2"/>
      <c r="B2" s="3" t="s">
        <v>0</v>
      </c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2"/>
      <c r="B3" s="4" t="s">
        <v>1</v>
      </c>
      <c r="C3" s="2"/>
      <c r="D3" s="2"/>
      <c r="E3" s="2"/>
      <c r="F3" s="2"/>
      <c r="G3" s="2"/>
      <c r="H3" s="2"/>
    </row>
    <row r="4" customFormat="false" ht="15.75" hidden="false" customHeight="true" outlineLevel="0" collapsed="false">
      <c r="A4" s="2"/>
      <c r="B4" s="5" t="s">
        <v>2</v>
      </c>
      <c r="C4" s="2"/>
      <c r="D4" s="2"/>
      <c r="E4" s="2"/>
      <c r="F4" s="2"/>
      <c r="G4" s="2"/>
      <c r="H4" s="2"/>
    </row>
    <row r="5" customFormat="false" ht="15.75" hidden="false" customHeight="true" outlineLevel="0" collapsed="false">
      <c r="A5" s="2"/>
      <c r="B5" s="5" t="s">
        <v>3</v>
      </c>
      <c r="C5" s="2"/>
      <c r="D5" s="2"/>
      <c r="E5" s="2"/>
      <c r="F5" s="2"/>
      <c r="G5" s="2"/>
      <c r="H5" s="2"/>
    </row>
    <row r="6" customFormat="false" ht="15.7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7.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7.5" hidden="false" customHeight="true" outlineLevel="0" collapsed="false"/>
    <row r="9" customFormat="false" ht="21.75" hidden="false" customHeight="true" outlineLevel="0" collapsed="false">
      <c r="B9" s="6" t="s">
        <v>4</v>
      </c>
      <c r="C9" s="6"/>
      <c r="D9" s="6"/>
      <c r="E9" s="6"/>
      <c r="F9" s="6"/>
      <c r="G9" s="6"/>
      <c r="H9" s="6"/>
    </row>
    <row r="10" customFormat="false" ht="15.75" hidden="false" customHeight="true" outlineLevel="0" collapsed="false">
      <c r="B10" s="7" t="s">
        <v>5</v>
      </c>
      <c r="C10" s="7" t="s">
        <v>6</v>
      </c>
      <c r="D10" s="7" t="s">
        <v>7</v>
      </c>
    </row>
    <row r="11" customFormat="false" ht="15.75" hidden="false" customHeight="true" outlineLevel="0" collapsed="false">
      <c r="B11" s="8" t="s">
        <v>8</v>
      </c>
      <c r="C11" s="9" t="s">
        <v>9</v>
      </c>
      <c r="D11" s="10" t="s">
        <v>10</v>
      </c>
    </row>
    <row r="12" customFormat="false" ht="15.75" hidden="false" customHeight="true" outlineLevel="0" collapsed="false">
      <c r="B12" s="11" t="s">
        <v>11</v>
      </c>
      <c r="C12" s="12" t="s">
        <v>12</v>
      </c>
      <c r="D12" s="13" t="s">
        <v>13</v>
      </c>
    </row>
    <row r="13" customFormat="false" ht="15.75" hidden="false" customHeight="true" outlineLevel="0" collapsed="false">
      <c r="B13" s="8" t="s">
        <v>14</v>
      </c>
      <c r="C13" s="9" t="s">
        <v>15</v>
      </c>
      <c r="D13" s="10" t="s">
        <v>16</v>
      </c>
    </row>
    <row r="14" customFormat="false" ht="15.75" hidden="false" customHeight="true" outlineLevel="0" collapsed="false">
      <c r="B14" s="11" t="s">
        <v>17</v>
      </c>
      <c r="C14" s="12" t="s">
        <v>18</v>
      </c>
      <c r="D14" s="13" t="s">
        <v>19</v>
      </c>
    </row>
    <row r="15" customFormat="false" ht="15.75" hidden="false" customHeight="true" outlineLevel="0" collapsed="false">
      <c r="B15" s="8" t="s">
        <v>20</v>
      </c>
      <c r="C15" s="9" t="s">
        <v>21</v>
      </c>
      <c r="D15" s="10" t="s">
        <v>22</v>
      </c>
    </row>
    <row r="16" customFormat="false" ht="15.75" hidden="false" customHeight="true" outlineLevel="0" collapsed="false">
      <c r="B16" s="11" t="s">
        <v>23</v>
      </c>
      <c r="C16" s="12" t="s">
        <v>24</v>
      </c>
      <c r="D16" s="13" t="s">
        <v>25</v>
      </c>
    </row>
    <row r="17" customFormat="false" ht="15.75" hidden="false" customHeight="true" outlineLevel="0" collapsed="false">
      <c r="B17" s="8" t="s">
        <v>26</v>
      </c>
      <c r="C17" s="9" t="s">
        <v>27</v>
      </c>
      <c r="D17" s="10" t="s">
        <v>28</v>
      </c>
    </row>
    <row r="18" customFormat="false" ht="15.75" hidden="false" customHeight="true" outlineLevel="0" collapsed="false">
      <c r="B18" s="11" t="s">
        <v>29</v>
      </c>
      <c r="C18" s="12" t="s">
        <v>30</v>
      </c>
      <c r="D18" s="13" t="s">
        <v>31</v>
      </c>
    </row>
    <row r="19" customFormat="false" ht="15.75" hidden="false" customHeight="true" outlineLevel="0" collapsed="false">
      <c r="B19" s="8" t="s">
        <v>32</v>
      </c>
      <c r="C19" s="9" t="s">
        <v>33</v>
      </c>
      <c r="D19" s="10" t="s">
        <v>34</v>
      </c>
    </row>
    <row r="20" customFormat="false" ht="15.75" hidden="false" customHeight="true" outlineLevel="0" collapsed="false">
      <c r="B20" s="11" t="s">
        <v>35</v>
      </c>
      <c r="C20" s="12" t="s">
        <v>36</v>
      </c>
      <c r="D20" s="13" t="s">
        <v>37</v>
      </c>
    </row>
    <row r="21" customFormat="false" ht="15.75" hidden="false" customHeight="true" outlineLevel="0" collapsed="false">
      <c r="B21" s="8" t="s">
        <v>38</v>
      </c>
      <c r="C21" s="9" t="s">
        <v>39</v>
      </c>
      <c r="D21" s="10" t="s">
        <v>40</v>
      </c>
    </row>
    <row r="22" customFormat="false" ht="15.75" hidden="false" customHeight="true" outlineLevel="0" collapsed="false">
      <c r="B22" s="14" t="s">
        <v>41</v>
      </c>
      <c r="C22" s="15" t="s">
        <v>42</v>
      </c>
      <c r="D22" s="15" t="s">
        <v>43</v>
      </c>
    </row>
    <row r="25" customFormat="false" ht="21.75" hidden="false" customHeight="true" outlineLevel="0" collapsed="false">
      <c r="B25" s="16" t="s">
        <v>44</v>
      </c>
      <c r="C25" s="16"/>
      <c r="D25" s="16"/>
      <c r="E25" s="16"/>
      <c r="F25" s="16"/>
      <c r="G25" s="16"/>
      <c r="H25" s="16"/>
    </row>
    <row r="26" customFormat="false" ht="15.75" hidden="false" customHeight="true" outlineLevel="0" collapsed="false">
      <c r="B26" s="7" t="s">
        <v>45</v>
      </c>
      <c r="C26" s="7" t="s">
        <v>46</v>
      </c>
      <c r="D26" s="7" t="s">
        <v>47</v>
      </c>
      <c r="E26" s="7" t="s">
        <v>48</v>
      </c>
    </row>
    <row r="27" customFormat="false" ht="15.75" hidden="false" customHeight="true" outlineLevel="0" collapsed="false">
      <c r="B27" s="8" t="s">
        <v>49</v>
      </c>
      <c r="C27" s="10" t="s">
        <v>50</v>
      </c>
      <c r="D27" s="10" t="s">
        <v>51</v>
      </c>
      <c r="E27" s="17" t="s">
        <v>52</v>
      </c>
    </row>
    <row r="28" customFormat="false" ht="15.75" hidden="false" customHeight="true" outlineLevel="0" collapsed="false">
      <c r="B28" s="11" t="s">
        <v>53</v>
      </c>
      <c r="C28" s="13" t="s">
        <v>54</v>
      </c>
      <c r="D28" s="13" t="s">
        <v>55</v>
      </c>
      <c r="E28" s="18" t="s">
        <v>56</v>
      </c>
    </row>
    <row r="29" customFormat="false" ht="15.75" hidden="false" customHeight="true" outlineLevel="0" collapsed="false">
      <c r="B29" s="8" t="s">
        <v>57</v>
      </c>
      <c r="C29" s="10" t="s">
        <v>58</v>
      </c>
      <c r="D29" s="10" t="s">
        <v>59</v>
      </c>
      <c r="E29" s="19" t="s">
        <v>56</v>
      </c>
    </row>
    <row r="30" customFormat="false" ht="15.75" hidden="false" customHeight="true" outlineLevel="0" collapsed="false">
      <c r="B30" s="11" t="s">
        <v>60</v>
      </c>
      <c r="C30" s="13" t="s">
        <v>61</v>
      </c>
      <c r="D30" s="13" t="s">
        <v>62</v>
      </c>
      <c r="E30" s="18" t="s">
        <v>56</v>
      </c>
    </row>
    <row r="31" customFormat="false" ht="15.75" hidden="false" customHeight="true" outlineLevel="0" collapsed="false">
      <c r="B31" s="8" t="s">
        <v>63</v>
      </c>
      <c r="C31" s="10" t="s">
        <v>64</v>
      </c>
      <c r="D31" s="10" t="s">
        <v>65</v>
      </c>
      <c r="E31" s="19" t="s">
        <v>56</v>
      </c>
    </row>
    <row r="32" customFormat="false" ht="15.75" hidden="false" customHeight="true" outlineLevel="0" collapsed="false">
      <c r="B32" s="11" t="s">
        <v>66</v>
      </c>
      <c r="C32" s="13" t="s">
        <v>67</v>
      </c>
      <c r="D32" s="13" t="s">
        <v>68</v>
      </c>
      <c r="E32" s="18" t="s">
        <v>56</v>
      </c>
    </row>
    <row r="33" customFormat="false" ht="15.75" hidden="false" customHeight="true" outlineLevel="0" collapsed="false">
      <c r="B33" s="8" t="s">
        <v>69</v>
      </c>
      <c r="C33" s="10" t="s">
        <v>70</v>
      </c>
      <c r="D33" s="10" t="s">
        <v>71</v>
      </c>
      <c r="E33" s="20" t="s">
        <v>72</v>
      </c>
    </row>
    <row r="34" customFormat="false" ht="15.75" hidden="false" customHeight="true" outlineLevel="0" collapsed="false">
      <c r="B34" s="11" t="s">
        <v>73</v>
      </c>
      <c r="C34" s="13" t="s">
        <v>74</v>
      </c>
      <c r="D34" s="13" t="s">
        <v>75</v>
      </c>
      <c r="E34" s="21" t="s">
        <v>72</v>
      </c>
    </row>
    <row r="35" customFormat="false" ht="15.75" hidden="false" customHeight="true" outlineLevel="0" collapsed="false">
      <c r="B35" s="8" t="s">
        <v>76</v>
      </c>
      <c r="C35" s="10" t="s">
        <v>77</v>
      </c>
      <c r="D35" s="10" t="s">
        <v>78</v>
      </c>
      <c r="E35" s="20" t="s">
        <v>72</v>
      </c>
    </row>
    <row r="36" customFormat="false" ht="15.75" hidden="false" customHeight="true" outlineLevel="0" collapsed="false">
      <c r="B36" s="11" t="s">
        <v>79</v>
      </c>
      <c r="C36" s="13" t="s">
        <v>80</v>
      </c>
      <c r="D36" s="13" t="s">
        <v>81</v>
      </c>
      <c r="E36" s="21" t="s">
        <v>72</v>
      </c>
    </row>
    <row r="37" customFormat="false" ht="15.75" hidden="false" customHeight="true" outlineLevel="0" collapsed="false">
      <c r="B37" s="8" t="s">
        <v>82</v>
      </c>
      <c r="C37" s="10" t="s">
        <v>83</v>
      </c>
      <c r="D37" s="10" t="s">
        <v>84</v>
      </c>
      <c r="E37" s="20" t="s">
        <v>72</v>
      </c>
    </row>
    <row r="38" customFormat="false" ht="15.75" hidden="false" customHeight="true" outlineLevel="0" collapsed="false">
      <c r="B38" s="11" t="s">
        <v>85</v>
      </c>
      <c r="C38" s="13" t="s">
        <v>86</v>
      </c>
      <c r="D38" s="13" t="s">
        <v>87</v>
      </c>
      <c r="E38" s="21" t="s">
        <v>72</v>
      </c>
    </row>
    <row r="39" customFormat="false" ht="15.75" hidden="false" customHeight="true" outlineLevel="0" collapsed="false">
      <c r="B39" s="8" t="s">
        <v>88</v>
      </c>
      <c r="C39" s="10" t="s">
        <v>89</v>
      </c>
      <c r="D39" s="10" t="s">
        <v>90</v>
      </c>
      <c r="E39" s="20" t="s">
        <v>72</v>
      </c>
    </row>
    <row r="40" customFormat="false" ht="15.75" hidden="false" customHeight="true" outlineLevel="0" collapsed="false">
      <c r="B40" s="11" t="s">
        <v>91</v>
      </c>
      <c r="C40" s="13" t="s">
        <v>92</v>
      </c>
      <c r="D40" s="13" t="s">
        <v>93</v>
      </c>
      <c r="E40" s="21" t="s">
        <v>72</v>
      </c>
    </row>
  </sheetData>
  <mergeCells count="2">
    <mergeCell ref="B9:H9"/>
    <mergeCell ref="B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K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8"/>
  </cols>
  <sheetData>
    <row r="1" customFormat="false" ht="21.75" hidden="false" customHeight="true" outlineLevel="0" collapsed="false">
      <c r="A1" s="22" t="s">
        <v>94</v>
      </c>
      <c r="B1" s="22"/>
      <c r="C1" s="22"/>
      <c r="D1" s="22"/>
      <c r="E1" s="22"/>
      <c r="F1" s="22"/>
      <c r="G1" s="22"/>
      <c r="H1" s="22"/>
      <c r="I1" s="22"/>
    </row>
    <row r="2" customFormat="false" ht="6" hidden="false" customHeight="true" outlineLevel="0" collapsed="false"/>
    <row r="3" customFormat="false" ht="21.75" hidden="false" customHeight="true" outlineLevel="0" collapsed="false">
      <c r="A3" s="22" t="s">
        <v>95</v>
      </c>
      <c r="B3" s="22"/>
      <c r="C3" s="22"/>
      <c r="D3" s="22"/>
      <c r="E3" s="22"/>
      <c r="F3" s="22"/>
      <c r="G3" s="22"/>
      <c r="H3" s="22"/>
      <c r="I3" s="22"/>
    </row>
    <row r="4" customFormat="false" ht="15.75" hidden="false" customHeight="true" outlineLevel="0" collapsed="false">
      <c r="A4" s="23" t="s">
        <v>5</v>
      </c>
      <c r="B4" s="23" t="s">
        <v>96</v>
      </c>
      <c r="C4" s="23" t="s">
        <v>97</v>
      </c>
      <c r="D4" s="23" t="s">
        <v>98</v>
      </c>
      <c r="E4" s="23" t="s">
        <v>99</v>
      </c>
      <c r="F4" s="23" t="s">
        <v>100</v>
      </c>
      <c r="G4" s="23" t="s">
        <v>101</v>
      </c>
      <c r="H4" s="23" t="s">
        <v>102</v>
      </c>
      <c r="I4" s="23" t="s">
        <v>103</v>
      </c>
    </row>
    <row r="5" customFormat="false" ht="15" hidden="false" customHeight="true" outlineLevel="0" collapsed="false">
      <c r="A5" s="24" t="s">
        <v>104</v>
      </c>
      <c r="B5" s="25" t="n">
        <v>2.4</v>
      </c>
      <c r="C5" s="25" t="n">
        <v>2.9</v>
      </c>
      <c r="D5" s="25" t="n">
        <v>3.4</v>
      </c>
      <c r="E5" s="25" t="n">
        <v>3.8</v>
      </c>
      <c r="F5" s="25" t="n">
        <v>5.3</v>
      </c>
      <c r="G5" s="25" t="n">
        <v>5.7</v>
      </c>
      <c r="H5" s="25" t="s">
        <v>105</v>
      </c>
      <c r="I5" s="25" t="s">
        <v>106</v>
      </c>
    </row>
    <row r="6" customFormat="false" ht="15" hidden="false" customHeight="true" outlineLevel="0" collapsed="false">
      <c r="A6" s="11" t="s">
        <v>107</v>
      </c>
      <c r="B6" s="26" t="n">
        <v>1.8</v>
      </c>
      <c r="C6" s="26"/>
      <c r="D6" s="26"/>
      <c r="E6" s="26" t="n">
        <v>2.2</v>
      </c>
      <c r="F6" s="26" t="n">
        <v>2.8</v>
      </c>
      <c r="G6" s="26" t="n">
        <v>3</v>
      </c>
      <c r="H6" s="26"/>
      <c r="I6" s="26" t="s">
        <v>108</v>
      </c>
    </row>
    <row r="7" customFormat="false" ht="15" hidden="false" customHeight="true" outlineLevel="0" collapsed="false">
      <c r="A7" s="24" t="s">
        <v>109</v>
      </c>
      <c r="B7" s="25" t="s">
        <v>110</v>
      </c>
      <c r="C7" s="25" t="s">
        <v>111</v>
      </c>
      <c r="D7" s="25" t="s">
        <v>112</v>
      </c>
      <c r="E7" s="25" t="s">
        <v>113</v>
      </c>
      <c r="F7" s="25" t="s">
        <v>114</v>
      </c>
      <c r="G7" s="25" t="s">
        <v>114</v>
      </c>
      <c r="H7" s="25" t="s">
        <v>105</v>
      </c>
      <c r="I7" s="25" t="s">
        <v>106</v>
      </c>
    </row>
    <row r="8" customFormat="false" ht="15" hidden="false" customHeight="true" outlineLevel="0" collapsed="false">
      <c r="A8" s="11" t="s">
        <v>115</v>
      </c>
      <c r="B8" s="26" t="s">
        <v>116</v>
      </c>
      <c r="C8" s="26" t="s">
        <v>117</v>
      </c>
      <c r="D8" s="26" t="s">
        <v>118</v>
      </c>
      <c r="E8" s="26" t="s">
        <v>119</v>
      </c>
      <c r="F8" s="26"/>
      <c r="G8" s="26" t="s">
        <v>108</v>
      </c>
      <c r="H8" s="26"/>
      <c r="I8" s="26" t="s">
        <v>108</v>
      </c>
    </row>
    <row r="9" customFormat="false" ht="15" hidden="false" customHeight="true" outlineLevel="0" collapsed="false">
      <c r="A9" s="24" t="s">
        <v>120</v>
      </c>
      <c r="B9" s="25"/>
      <c r="C9" s="25"/>
      <c r="D9" s="25"/>
      <c r="E9" s="25" t="s">
        <v>121</v>
      </c>
      <c r="F9" s="25"/>
      <c r="G9" s="25" t="s">
        <v>122</v>
      </c>
      <c r="H9" s="25"/>
      <c r="I9" s="25"/>
    </row>
    <row r="10" customFormat="false" ht="15" hidden="false" customHeight="true" outlineLevel="0" collapsed="false">
      <c r="A10" s="11" t="s">
        <v>123</v>
      </c>
      <c r="B10" s="26"/>
      <c r="C10" s="26"/>
      <c r="D10" s="26"/>
      <c r="E10" s="26" t="s">
        <v>124</v>
      </c>
      <c r="F10" s="26"/>
      <c r="G10" s="26" t="s">
        <v>125</v>
      </c>
      <c r="H10" s="26"/>
      <c r="I10" s="26"/>
    </row>
    <row r="12" customFormat="false" ht="12.75" hidden="false" customHeight="true" outlineLevel="0" collapsed="false">
      <c r="A12" s="27" t="s">
        <v>126</v>
      </c>
    </row>
    <row r="13" customFormat="false" ht="6" hidden="false" customHeight="true" outlineLevel="0" collapsed="false"/>
    <row r="14" customFormat="false" ht="30" hidden="false" customHeight="true" outlineLevel="0" collapsed="false">
      <c r="A14" s="28" t="s">
        <v>127</v>
      </c>
      <c r="B14" s="28"/>
      <c r="C14" s="28"/>
      <c r="D14" s="28"/>
      <c r="E14" s="28"/>
      <c r="F14" s="28"/>
      <c r="G14" s="28"/>
      <c r="H14" s="28"/>
      <c r="I14" s="28"/>
    </row>
    <row r="15" customFormat="false" ht="6" hidden="false" customHeight="true" outlineLevel="0" collapsed="false"/>
    <row r="16" customFormat="false" ht="21.75" hidden="false" customHeight="true" outlineLevel="0" collapsed="false">
      <c r="A16" s="22" t="s">
        <v>128</v>
      </c>
      <c r="B16" s="22"/>
      <c r="C16" s="22"/>
      <c r="D16" s="22"/>
      <c r="E16" s="22"/>
      <c r="F16" s="22"/>
      <c r="G16" s="22"/>
      <c r="H16" s="22"/>
      <c r="I16" s="22"/>
    </row>
    <row r="17" customFormat="false" ht="15.75" hidden="false" customHeight="true" outlineLevel="0" collapsed="false">
      <c r="A17" s="23" t="s">
        <v>129</v>
      </c>
      <c r="B17" s="23" t="s">
        <v>130</v>
      </c>
      <c r="C17" s="23" t="s">
        <v>131</v>
      </c>
      <c r="D17" s="23" t="s">
        <v>132</v>
      </c>
      <c r="E17" s="23" t="s">
        <v>96</v>
      </c>
      <c r="F17" s="23" t="s">
        <v>98</v>
      </c>
      <c r="G17" s="23" t="s">
        <v>99</v>
      </c>
      <c r="H17" s="23" t="s">
        <v>133</v>
      </c>
      <c r="I17" s="23" t="s">
        <v>101</v>
      </c>
    </row>
    <row r="18" customFormat="false" ht="15" hidden="false" customHeight="true" outlineLevel="0" collapsed="false">
      <c r="A18" s="24" t="s">
        <v>134</v>
      </c>
      <c r="B18" s="29" t="n">
        <v>76794</v>
      </c>
      <c r="C18" s="25"/>
      <c r="D18" s="29" t="n">
        <v>91254</v>
      </c>
      <c r="E18" s="29" t="n">
        <v>88775</v>
      </c>
      <c r="F18" s="29" t="n">
        <v>118755</v>
      </c>
      <c r="G18" s="25"/>
      <c r="H18" s="29" t="n">
        <v>135762</v>
      </c>
      <c r="I18" s="29" t="n">
        <v>177956</v>
      </c>
    </row>
    <row r="19" customFormat="false" ht="15" hidden="false" customHeight="true" outlineLevel="0" collapsed="false">
      <c r="A19" s="11" t="s">
        <v>135</v>
      </c>
      <c r="B19" s="26"/>
      <c r="C19" s="26"/>
      <c r="D19" s="26" t="s">
        <v>136</v>
      </c>
      <c r="E19" s="26" t="s">
        <v>137</v>
      </c>
      <c r="F19" s="26" t="s">
        <v>138</v>
      </c>
      <c r="G19" s="26"/>
      <c r="H19" s="26" t="s">
        <v>118</v>
      </c>
      <c r="I19" s="26" t="s">
        <v>118</v>
      </c>
    </row>
    <row r="20" customFormat="false" ht="15" hidden="false" customHeight="true" outlineLevel="0" collapsed="false">
      <c r="A20" s="24" t="s">
        <v>139</v>
      </c>
      <c r="B20" s="29" t="n">
        <v>128718</v>
      </c>
      <c r="C20" s="29" t="n">
        <v>141439</v>
      </c>
      <c r="D20" s="29" t="n">
        <v>148261</v>
      </c>
      <c r="E20" s="29" t="n">
        <v>144120</v>
      </c>
      <c r="F20" s="29" t="n">
        <v>192201</v>
      </c>
      <c r="G20" s="29" t="n">
        <v>208633</v>
      </c>
      <c r="H20" s="29" t="n">
        <v>242819</v>
      </c>
      <c r="I20" s="25"/>
    </row>
    <row r="21" customFormat="false" ht="15" hidden="false" customHeight="true" outlineLevel="0" collapsed="false">
      <c r="A21" s="11" t="s">
        <v>140</v>
      </c>
      <c r="B21" s="26"/>
      <c r="C21" s="26" t="s">
        <v>141</v>
      </c>
      <c r="D21" s="26"/>
      <c r="E21" s="26" t="s">
        <v>142</v>
      </c>
      <c r="F21" s="26"/>
      <c r="G21" s="26" t="s">
        <v>143</v>
      </c>
      <c r="H21" s="26" t="s">
        <v>144</v>
      </c>
      <c r="I21" s="26"/>
    </row>
    <row r="23" customFormat="false" ht="12.75" hidden="false" customHeight="true" outlineLevel="0" collapsed="false">
      <c r="A23" s="27" t="s">
        <v>145</v>
      </c>
    </row>
    <row r="24" customFormat="false" ht="6" hidden="false" customHeight="true" outlineLevel="0" collapsed="false"/>
    <row r="25" customFormat="false" ht="21.75" hidden="false" customHeight="true" outlineLevel="0" collapsed="false">
      <c r="A25" s="22" t="s">
        <v>146</v>
      </c>
      <c r="B25" s="22"/>
      <c r="C25" s="22"/>
      <c r="D25" s="22"/>
      <c r="E25" s="22"/>
      <c r="F25" s="22"/>
      <c r="G25" s="22"/>
      <c r="H25" s="22"/>
      <c r="I25" s="22"/>
    </row>
    <row r="26" customFormat="false" ht="15.75" hidden="false" customHeight="true" outlineLevel="0" collapsed="false">
      <c r="A26" s="23" t="s">
        <v>147</v>
      </c>
      <c r="B26" s="23" t="s">
        <v>148</v>
      </c>
      <c r="C26" s="23" t="s">
        <v>149</v>
      </c>
      <c r="D26" s="23" t="s">
        <v>150</v>
      </c>
    </row>
    <row r="27" customFormat="false" ht="15.75" hidden="false" customHeight="true" outlineLevel="0" collapsed="false">
      <c r="A27" s="24" t="s">
        <v>151</v>
      </c>
      <c r="B27" s="29" t="n">
        <v>186038</v>
      </c>
      <c r="C27" s="30" t="s">
        <v>152</v>
      </c>
      <c r="D27" s="30" t="s">
        <v>153</v>
      </c>
    </row>
    <row r="28" customFormat="false" ht="15.75" hidden="false" customHeight="true" outlineLevel="0" collapsed="false">
      <c r="A28" s="11" t="s">
        <v>154</v>
      </c>
      <c r="B28" s="31" t="n">
        <v>183854</v>
      </c>
      <c r="C28" s="13" t="s">
        <v>155</v>
      </c>
      <c r="D28" s="32" t="s">
        <v>156</v>
      </c>
    </row>
    <row r="29" customFormat="false" ht="15.75" hidden="false" customHeight="true" outlineLevel="0" collapsed="false">
      <c r="A29" s="24" t="s">
        <v>157</v>
      </c>
      <c r="B29" s="29" t="n">
        <v>179732</v>
      </c>
      <c r="C29" s="30" t="s">
        <v>158</v>
      </c>
      <c r="D29" s="30" t="s">
        <v>159</v>
      </c>
    </row>
    <row r="30" customFormat="false" ht="15.75" hidden="false" customHeight="true" outlineLevel="0" collapsed="false">
      <c r="A30" s="11" t="s">
        <v>160</v>
      </c>
      <c r="B30" s="31" t="n">
        <v>161957</v>
      </c>
      <c r="C30" s="13" t="s">
        <v>161</v>
      </c>
      <c r="D30" s="13" t="s">
        <v>162</v>
      </c>
    </row>
    <row r="31" customFormat="false" ht="15.75" hidden="false" customHeight="true" outlineLevel="0" collapsed="false">
      <c r="A31" s="24" t="s">
        <v>163</v>
      </c>
      <c r="B31" s="29" t="n">
        <v>135806</v>
      </c>
      <c r="C31" s="30" t="s">
        <v>164</v>
      </c>
      <c r="D31" s="32" t="s">
        <v>165</v>
      </c>
    </row>
    <row r="33" customFormat="false" ht="12.75" hidden="false" customHeight="true" outlineLevel="0" collapsed="false">
      <c r="A33" s="27" t="s">
        <v>166</v>
      </c>
    </row>
    <row r="34" customFormat="false" ht="6" hidden="false" customHeight="true" outlineLevel="0" collapsed="false"/>
    <row r="35" customFormat="false" ht="21.75" hidden="false" customHeight="true" outlineLevel="0" collapsed="false">
      <c r="A35" s="22" t="s">
        <v>167</v>
      </c>
      <c r="B35" s="22"/>
      <c r="C35" s="22"/>
      <c r="D35" s="22"/>
      <c r="E35" s="22"/>
      <c r="F35" s="22"/>
      <c r="G35" s="22"/>
      <c r="H35" s="22"/>
      <c r="I35" s="22"/>
    </row>
    <row r="36" customFormat="false" ht="15.75" hidden="false" customHeight="true" outlineLevel="0" collapsed="false">
      <c r="A36" s="23" t="s">
        <v>168</v>
      </c>
      <c r="B36" s="23" t="s">
        <v>169</v>
      </c>
      <c r="C36" s="23" t="s">
        <v>170</v>
      </c>
      <c r="D36" s="23" t="s">
        <v>171</v>
      </c>
      <c r="E36" s="23" t="s">
        <v>172</v>
      </c>
      <c r="F36" s="23" t="s">
        <v>173</v>
      </c>
      <c r="G36" s="23" t="s">
        <v>174</v>
      </c>
    </row>
    <row r="37" customFormat="false" ht="15" hidden="false" customHeight="true" outlineLevel="0" collapsed="false">
      <c r="A37" s="24" t="s">
        <v>175</v>
      </c>
      <c r="B37" s="33" t="s">
        <v>176</v>
      </c>
      <c r="C37" s="25" t="s">
        <v>177</v>
      </c>
      <c r="D37" s="25" t="s">
        <v>178</v>
      </c>
      <c r="E37" s="25" t="s">
        <v>179</v>
      </c>
      <c r="F37" s="25" t="s">
        <v>180</v>
      </c>
      <c r="G37" s="25" t="s">
        <v>181</v>
      </c>
    </row>
    <row r="38" customFormat="false" ht="12.75" hidden="false" customHeight="true" outlineLevel="0" collapsed="false">
      <c r="A38" s="27" t="s">
        <v>182</v>
      </c>
    </row>
    <row r="41" customFormat="false" ht="21.75" hidden="false" customHeight="true" outlineLevel="0" collapsed="false">
      <c r="A41" s="22" t="s">
        <v>183</v>
      </c>
      <c r="B41" s="22"/>
      <c r="C41" s="22"/>
      <c r="D41" s="22"/>
      <c r="E41" s="22"/>
      <c r="F41" s="22"/>
      <c r="G41" s="22"/>
      <c r="H41" s="22"/>
      <c r="I41" s="22"/>
    </row>
    <row r="42" customFormat="false" ht="15.75" hidden="false" customHeight="true" outlineLevel="0" collapsed="false">
      <c r="A42" s="23" t="s">
        <v>184</v>
      </c>
      <c r="B42" s="23" t="s">
        <v>185</v>
      </c>
      <c r="C42" s="23" t="s">
        <v>186</v>
      </c>
      <c r="D42" s="23" t="s">
        <v>187</v>
      </c>
    </row>
    <row r="43" customFormat="false" ht="15" hidden="false" customHeight="true" outlineLevel="0" collapsed="false">
      <c r="A43" s="24" t="s">
        <v>188</v>
      </c>
      <c r="B43" s="25" t="s">
        <v>189</v>
      </c>
      <c r="C43" s="30" t="s">
        <v>190</v>
      </c>
      <c r="D43" s="30" t="s">
        <v>191</v>
      </c>
    </row>
    <row r="44" customFormat="false" ht="15" hidden="false" customHeight="true" outlineLevel="0" collapsed="false">
      <c r="A44" s="11" t="s">
        <v>192</v>
      </c>
      <c r="B44" s="26" t="s">
        <v>193</v>
      </c>
      <c r="C44" s="13" t="s">
        <v>194</v>
      </c>
      <c r="D44" s="13" t="s">
        <v>195</v>
      </c>
    </row>
    <row r="45" customFormat="false" ht="15" hidden="false" customHeight="true" outlineLevel="0" collapsed="false">
      <c r="A45" s="24" t="s">
        <v>196</v>
      </c>
      <c r="B45" s="25" t="s">
        <v>197</v>
      </c>
      <c r="C45" s="30" t="s">
        <v>198</v>
      </c>
      <c r="D45" s="30" t="s">
        <v>199</v>
      </c>
    </row>
    <row r="46" customFormat="false" ht="15" hidden="false" customHeight="true" outlineLevel="0" collapsed="false">
      <c r="A46" s="11" t="s">
        <v>200</v>
      </c>
      <c r="B46" s="26" t="s">
        <v>201</v>
      </c>
      <c r="C46" s="13" t="s">
        <v>202</v>
      </c>
      <c r="D46" s="13" t="s">
        <v>203</v>
      </c>
    </row>
    <row r="47" customFormat="false" ht="15" hidden="false" customHeight="true" outlineLevel="0" collapsed="false">
      <c r="A47" s="24" t="s">
        <v>204</v>
      </c>
      <c r="B47" s="25" t="s">
        <v>205</v>
      </c>
      <c r="C47" s="30" t="s">
        <v>206</v>
      </c>
      <c r="D47" s="30" t="s">
        <v>207</v>
      </c>
    </row>
    <row r="48" customFormat="false" ht="15" hidden="false" customHeight="true" outlineLevel="0" collapsed="false">
      <c r="A48" s="11" t="s">
        <v>208</v>
      </c>
      <c r="B48" s="26" t="s">
        <v>205</v>
      </c>
      <c r="C48" s="13" t="s">
        <v>206</v>
      </c>
      <c r="D48" s="13" t="s">
        <v>209</v>
      </c>
    </row>
    <row r="49" customFormat="false" ht="15" hidden="false" customHeight="true" outlineLevel="0" collapsed="false">
      <c r="A49" s="24" t="s">
        <v>210</v>
      </c>
      <c r="B49" s="25" t="s">
        <v>211</v>
      </c>
      <c r="C49" s="30" t="s">
        <v>212</v>
      </c>
      <c r="D49" s="30" t="s">
        <v>213</v>
      </c>
    </row>
    <row r="50" customFormat="false" ht="15" hidden="false" customHeight="true" outlineLevel="0" collapsed="false">
      <c r="A50" s="34" t="s">
        <v>214</v>
      </c>
      <c r="B50" s="35" t="s">
        <v>215</v>
      </c>
      <c r="C50" s="34" t="s">
        <v>216</v>
      </c>
      <c r="D50" s="34" t="s">
        <v>217</v>
      </c>
    </row>
    <row r="52" customFormat="false" ht="12.75" hidden="false" customHeight="true" outlineLevel="0" collapsed="false">
      <c r="A52" s="27" t="s">
        <v>218</v>
      </c>
    </row>
    <row r="53" customFormat="false" ht="6" hidden="false" customHeight="true" outlineLevel="0" collapsed="false"/>
    <row r="54" customFormat="false" ht="21.75" hidden="false" customHeight="true" outlineLevel="0" collapsed="false">
      <c r="A54" s="22" t="s">
        <v>219</v>
      </c>
      <c r="B54" s="22"/>
      <c r="C54" s="22"/>
      <c r="D54" s="22"/>
      <c r="E54" s="22"/>
      <c r="F54" s="22"/>
      <c r="G54" s="22"/>
      <c r="H54" s="22"/>
      <c r="I54" s="22"/>
    </row>
    <row r="55" customFormat="false" ht="15.75" hidden="false" customHeight="true" outlineLevel="0" collapsed="false">
      <c r="A55" s="23" t="s">
        <v>168</v>
      </c>
      <c r="B55" s="23" t="s">
        <v>169</v>
      </c>
      <c r="C55" s="23" t="s">
        <v>173</v>
      </c>
      <c r="D55" s="23" t="s">
        <v>220</v>
      </c>
      <c r="E55" s="23" t="s">
        <v>172</v>
      </c>
      <c r="F55" s="23" t="s">
        <v>170</v>
      </c>
      <c r="G55" s="23" t="s">
        <v>221</v>
      </c>
      <c r="H55" s="23" t="s">
        <v>222</v>
      </c>
      <c r="I55" s="23" t="s">
        <v>174</v>
      </c>
      <c r="J55" s="23" t="s">
        <v>223</v>
      </c>
    </row>
    <row r="56" customFormat="false" ht="15" hidden="false" customHeight="true" outlineLevel="0" collapsed="false">
      <c r="A56" s="24" t="s">
        <v>224</v>
      </c>
      <c r="B56" s="33" t="n">
        <v>29.5</v>
      </c>
      <c r="C56" s="25" t="n">
        <v>34.7</v>
      </c>
      <c r="D56" s="25" t="n">
        <v>37.9</v>
      </c>
      <c r="E56" s="25" t="n">
        <v>38.5</v>
      </c>
      <c r="F56" s="25" t="n">
        <v>39.8</v>
      </c>
      <c r="G56" s="25" t="n">
        <v>40.6</v>
      </c>
      <c r="H56" s="25" t="n">
        <v>42.4</v>
      </c>
      <c r="I56" s="25" t="n">
        <v>46.7</v>
      </c>
      <c r="J56" s="25" t="n">
        <v>49.5</v>
      </c>
    </row>
    <row r="57" customFormat="false" ht="12.75" hidden="false" customHeight="true" outlineLevel="0" collapsed="false">
      <c r="A57" s="27" t="s">
        <v>225</v>
      </c>
    </row>
    <row r="60" customFormat="false" ht="21.75" hidden="false" customHeight="true" outlineLevel="0" collapsed="false">
      <c r="A60" s="22" t="s">
        <v>226</v>
      </c>
      <c r="B60" s="22"/>
      <c r="C60" s="22"/>
      <c r="D60" s="22"/>
      <c r="E60" s="22"/>
      <c r="F60" s="22"/>
      <c r="G60" s="22"/>
      <c r="H60" s="22"/>
      <c r="I60" s="22"/>
    </row>
    <row r="61" customFormat="false" ht="21.75" hidden="false" customHeight="true" outlineLevel="0" collapsed="false">
      <c r="A61" s="16" t="s">
        <v>227</v>
      </c>
      <c r="B61" s="16"/>
      <c r="C61" s="16"/>
      <c r="D61" s="16"/>
      <c r="E61" s="16"/>
      <c r="F61" s="16"/>
      <c r="G61" s="16"/>
      <c r="H61" s="16"/>
      <c r="I61" s="16"/>
    </row>
    <row r="62" customFormat="false" ht="15.75" hidden="false" customHeight="true" outlineLevel="0" collapsed="false">
      <c r="A62" s="23" t="s">
        <v>5</v>
      </c>
      <c r="B62" s="23" t="s">
        <v>228</v>
      </c>
      <c r="C62" s="23" t="s">
        <v>229</v>
      </c>
      <c r="D62" s="23" t="s">
        <v>230</v>
      </c>
      <c r="E62" s="23" t="s">
        <v>231</v>
      </c>
      <c r="F62" s="23" t="s">
        <v>232</v>
      </c>
      <c r="G62" s="23" t="s">
        <v>233</v>
      </c>
      <c r="H62" s="23" t="s">
        <v>234</v>
      </c>
      <c r="I62" s="23" t="s">
        <v>235</v>
      </c>
      <c r="J62" s="23" t="s">
        <v>236</v>
      </c>
      <c r="K62" s="23" t="s">
        <v>237</v>
      </c>
    </row>
    <row r="63" customFormat="false" ht="15" hidden="false" customHeight="true" outlineLevel="0" collapsed="false">
      <c r="A63" s="24" t="s">
        <v>238</v>
      </c>
      <c r="B63" s="25" t="n">
        <v>455</v>
      </c>
      <c r="C63" s="25" t="n">
        <v>465</v>
      </c>
      <c r="D63" s="25" t="n">
        <v>476</v>
      </c>
      <c r="E63" s="25" t="n">
        <v>487</v>
      </c>
      <c r="F63" s="25" t="n">
        <v>498</v>
      </c>
      <c r="G63" s="25" t="n">
        <v>508</v>
      </c>
      <c r="H63" s="25" t="s">
        <v>239</v>
      </c>
      <c r="I63" s="25" t="s">
        <v>239</v>
      </c>
      <c r="J63" s="25" t="n">
        <v>519</v>
      </c>
      <c r="K63" s="25" t="n">
        <v>613</v>
      </c>
    </row>
    <row r="64" customFormat="false" ht="15" hidden="false" customHeight="true" outlineLevel="0" collapsed="false">
      <c r="A64" s="11" t="s">
        <v>240</v>
      </c>
      <c r="B64" s="26" t="s">
        <v>241</v>
      </c>
      <c r="C64" s="26" t="s">
        <v>242</v>
      </c>
      <c r="D64" s="26" t="s">
        <v>243</v>
      </c>
      <c r="E64" s="26" t="s">
        <v>244</v>
      </c>
      <c r="F64" s="26" t="s">
        <v>245</v>
      </c>
      <c r="G64" s="26" t="s">
        <v>246</v>
      </c>
      <c r="H64" s="26" t="s">
        <v>239</v>
      </c>
      <c r="I64" s="26" t="s">
        <v>239</v>
      </c>
      <c r="J64" s="26" t="s">
        <v>247</v>
      </c>
      <c r="K64" s="26" t="s">
        <v>248</v>
      </c>
    </row>
    <row r="65" customFormat="false" ht="15" hidden="false" customHeight="true" outlineLevel="0" collapsed="false">
      <c r="A65" s="24" t="s">
        <v>249</v>
      </c>
      <c r="B65" s="25" t="s">
        <v>239</v>
      </c>
      <c r="C65" s="25" t="s">
        <v>239</v>
      </c>
      <c r="D65" s="25" t="s">
        <v>239</v>
      </c>
      <c r="E65" s="25" t="s">
        <v>239</v>
      </c>
      <c r="F65" s="25" t="s">
        <v>239</v>
      </c>
      <c r="G65" s="25" t="s">
        <v>239</v>
      </c>
      <c r="H65" s="25" t="s">
        <v>239</v>
      </c>
      <c r="I65" s="25" t="s">
        <v>239</v>
      </c>
      <c r="J65" s="25" t="s">
        <v>250</v>
      </c>
      <c r="K65" s="25" t="s">
        <v>239</v>
      </c>
    </row>
    <row r="67" customFormat="false" ht="12.75" hidden="false" customHeight="true" outlineLevel="0" collapsed="false">
      <c r="A67" s="27" t="s">
        <v>251</v>
      </c>
    </row>
    <row r="68" customFormat="false" ht="6" hidden="false" customHeight="true" outlineLevel="0" collapsed="false"/>
    <row r="69" customFormat="false" ht="21.75" hidden="false" customHeight="true" outlineLevel="0" collapsed="false">
      <c r="A69" s="16" t="s">
        <v>252</v>
      </c>
      <c r="B69" s="16"/>
      <c r="C69" s="16"/>
      <c r="D69" s="16"/>
      <c r="E69" s="16"/>
      <c r="F69" s="16"/>
      <c r="G69" s="16"/>
      <c r="H69" s="16"/>
      <c r="I69" s="16"/>
    </row>
    <row r="70" customFormat="false" ht="15.75" hidden="false" customHeight="true" outlineLevel="0" collapsed="false">
      <c r="A70" s="23" t="s">
        <v>253</v>
      </c>
      <c r="B70" s="23" t="s">
        <v>254</v>
      </c>
      <c r="C70" s="23" t="s">
        <v>228</v>
      </c>
      <c r="D70" s="23" t="s">
        <v>233</v>
      </c>
      <c r="E70" s="23" t="s">
        <v>236</v>
      </c>
      <c r="F70" s="23" t="s">
        <v>255</v>
      </c>
      <c r="G70" s="23" t="s">
        <v>256</v>
      </c>
      <c r="H70" s="23" t="s">
        <v>257</v>
      </c>
    </row>
    <row r="71" customFormat="false" ht="15" hidden="false" customHeight="true" outlineLevel="0" collapsed="false">
      <c r="A71" s="24" t="s">
        <v>258</v>
      </c>
      <c r="B71" s="25" t="n">
        <v>72</v>
      </c>
      <c r="C71" s="25" t="n">
        <v>350</v>
      </c>
      <c r="D71" s="25" t="n">
        <v>662</v>
      </c>
      <c r="E71" s="25" t="n">
        <v>881</v>
      </c>
      <c r="F71" s="25" t="s">
        <v>259</v>
      </c>
      <c r="G71" s="25" t="s">
        <v>201</v>
      </c>
      <c r="H71" s="25" t="s">
        <v>260</v>
      </c>
    </row>
    <row r="72" customFormat="false" ht="15" hidden="false" customHeight="true" outlineLevel="0" collapsed="false">
      <c r="A72" s="11" t="s">
        <v>261</v>
      </c>
      <c r="B72" s="26" t="n">
        <v>24</v>
      </c>
      <c r="C72" s="26" t="n">
        <v>159</v>
      </c>
      <c r="D72" s="26" t="n">
        <v>480</v>
      </c>
      <c r="E72" s="26" t="n">
        <v>651</v>
      </c>
      <c r="F72" s="26" t="s">
        <v>262</v>
      </c>
      <c r="G72" s="26" t="s">
        <v>189</v>
      </c>
      <c r="H72" s="26" t="s">
        <v>263</v>
      </c>
    </row>
    <row r="73" customFormat="false" ht="15" hidden="false" customHeight="true" outlineLevel="0" collapsed="false">
      <c r="A73" s="24" t="s">
        <v>264</v>
      </c>
      <c r="B73" s="25" t="s">
        <v>265</v>
      </c>
      <c r="C73" s="25" t="s">
        <v>266</v>
      </c>
      <c r="D73" s="25" t="s">
        <v>267</v>
      </c>
      <c r="E73" s="25" t="s">
        <v>268</v>
      </c>
      <c r="F73" s="25" t="s">
        <v>269</v>
      </c>
      <c r="G73" s="25" t="s">
        <v>239</v>
      </c>
      <c r="H73" s="25" t="s">
        <v>239</v>
      </c>
    </row>
    <row r="75" customFormat="false" ht="12.75" hidden="false" customHeight="true" outlineLevel="0" collapsed="false">
      <c r="A75" s="27" t="s">
        <v>270</v>
      </c>
    </row>
    <row r="77" customFormat="false" ht="21.75" hidden="false" customHeight="true" outlineLevel="0" collapsed="false">
      <c r="A77" s="22" t="s">
        <v>271</v>
      </c>
      <c r="B77" s="22"/>
      <c r="C77" s="22"/>
      <c r="D77" s="22"/>
      <c r="E77" s="22"/>
      <c r="F77" s="22"/>
      <c r="G77" s="22"/>
      <c r="H77" s="22"/>
      <c r="I77" s="22"/>
    </row>
    <row r="78" customFormat="false" ht="15.75" hidden="false" customHeight="true" outlineLevel="0" collapsed="false">
      <c r="A78" s="23" t="s">
        <v>272</v>
      </c>
      <c r="B78" s="23" t="s">
        <v>273</v>
      </c>
      <c r="C78" s="23" t="s">
        <v>274</v>
      </c>
      <c r="D78" s="23" t="s">
        <v>275</v>
      </c>
    </row>
    <row r="79" customFormat="false" ht="30" hidden="false" customHeight="true" outlineLevel="0" collapsed="false">
      <c r="A79" s="36" t="s">
        <v>276</v>
      </c>
      <c r="B79" s="37" t="s">
        <v>277</v>
      </c>
      <c r="C79" s="37" t="s">
        <v>278</v>
      </c>
      <c r="D79" s="37" t="s">
        <v>279</v>
      </c>
    </row>
    <row r="80" customFormat="false" ht="30" hidden="false" customHeight="true" outlineLevel="0" collapsed="false">
      <c r="A80" s="38" t="s">
        <v>280</v>
      </c>
      <c r="B80" s="39" t="s">
        <v>281</v>
      </c>
      <c r="C80" s="39" t="s">
        <v>282</v>
      </c>
      <c r="D80" s="39" t="s">
        <v>283</v>
      </c>
    </row>
    <row r="81" customFormat="false" ht="30" hidden="false" customHeight="true" outlineLevel="0" collapsed="false">
      <c r="A81" s="36" t="s">
        <v>284</v>
      </c>
      <c r="B81" s="37" t="s">
        <v>285</v>
      </c>
      <c r="C81" s="37" t="s">
        <v>286</v>
      </c>
      <c r="D81" s="37" t="s">
        <v>287</v>
      </c>
    </row>
    <row r="82" customFormat="false" ht="30" hidden="false" customHeight="true" outlineLevel="0" collapsed="false">
      <c r="A82" s="38" t="s">
        <v>288</v>
      </c>
      <c r="B82" s="39" t="s">
        <v>289</v>
      </c>
      <c r="C82" s="39" t="s">
        <v>290</v>
      </c>
      <c r="D82" s="39" t="s">
        <v>291</v>
      </c>
    </row>
    <row r="83" customFormat="false" ht="30" hidden="false" customHeight="true" outlineLevel="0" collapsed="false">
      <c r="A83" s="36" t="s">
        <v>292</v>
      </c>
      <c r="B83" s="37" t="s">
        <v>293</v>
      </c>
      <c r="C83" s="37" t="s">
        <v>294</v>
      </c>
      <c r="D83" s="37" t="s">
        <v>295</v>
      </c>
    </row>
    <row r="84" customFormat="false" ht="30" hidden="false" customHeight="true" outlineLevel="0" collapsed="false">
      <c r="A84" s="38" t="s">
        <v>296</v>
      </c>
      <c r="B84" s="39" t="s">
        <v>297</v>
      </c>
      <c r="C84" s="39" t="s">
        <v>298</v>
      </c>
      <c r="D84" s="39" t="s">
        <v>299</v>
      </c>
    </row>
    <row r="85" customFormat="false" ht="30" hidden="false" customHeight="true" outlineLevel="0" collapsed="false">
      <c r="A85" s="36" t="s">
        <v>300</v>
      </c>
      <c r="B85" s="37" t="s">
        <v>301</v>
      </c>
      <c r="C85" s="37" t="s">
        <v>236</v>
      </c>
      <c r="D85" s="37" t="s">
        <v>302</v>
      </c>
    </row>
    <row r="87" customFormat="false" ht="12.75" hidden="false" customHeight="true" outlineLevel="0" collapsed="false">
      <c r="A87" s="27" t="s">
        <v>303</v>
      </c>
    </row>
  </sheetData>
  <mergeCells count="12">
    <mergeCell ref="A1:I1"/>
    <mergeCell ref="A3:I3"/>
    <mergeCell ref="A14:I14"/>
    <mergeCell ref="A16:I16"/>
    <mergeCell ref="A25:I25"/>
    <mergeCell ref="A35:I35"/>
    <mergeCell ref="A41:I41"/>
    <mergeCell ref="A54:I54"/>
    <mergeCell ref="A60:I60"/>
    <mergeCell ref="A61:I61"/>
    <mergeCell ref="A69:I69"/>
    <mergeCell ref="A77:I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6"/>
  </cols>
  <sheetData>
    <row r="1" customFormat="false" ht="21.75" hidden="false" customHeight="true" outlineLevel="0" collapsed="false">
      <c r="A1" s="40" t="s">
        <v>304</v>
      </c>
      <c r="B1" s="40"/>
      <c r="C1" s="40"/>
      <c r="D1" s="40"/>
      <c r="E1" s="40"/>
      <c r="F1" s="40"/>
      <c r="G1" s="40"/>
      <c r="H1" s="40"/>
    </row>
    <row r="2" customFormat="false" ht="6" hidden="false" customHeight="true" outlineLevel="0" collapsed="false"/>
    <row r="3" customFormat="false" ht="21.75" hidden="false" customHeight="true" outlineLevel="0" collapsed="false">
      <c r="A3" s="40" t="s">
        <v>305</v>
      </c>
      <c r="B3" s="40"/>
      <c r="C3" s="40"/>
      <c r="D3" s="40"/>
      <c r="E3" s="40"/>
      <c r="F3" s="40"/>
      <c r="G3" s="40"/>
      <c r="H3" s="40"/>
    </row>
    <row r="4" customFormat="false" ht="15.75" hidden="false" customHeight="true" outlineLevel="0" collapsed="false">
      <c r="A4" s="41" t="s">
        <v>306</v>
      </c>
      <c r="B4" s="41" t="s">
        <v>131</v>
      </c>
      <c r="C4" s="41" t="s">
        <v>99</v>
      </c>
      <c r="D4" s="41" t="s">
        <v>307</v>
      </c>
      <c r="E4" s="41" t="s">
        <v>101</v>
      </c>
      <c r="F4" s="41" t="s">
        <v>308</v>
      </c>
      <c r="G4" s="41" t="s">
        <v>309</v>
      </c>
      <c r="H4" s="41" t="s">
        <v>310</v>
      </c>
    </row>
    <row r="5" customFormat="false" ht="15" hidden="false" customHeight="true" outlineLevel="0" collapsed="false">
      <c r="A5" s="42" t="s">
        <v>311</v>
      </c>
      <c r="B5" s="43" t="n">
        <v>48421</v>
      </c>
      <c r="C5" s="43" t="n">
        <v>69251</v>
      </c>
      <c r="D5" s="43" t="n">
        <v>74453</v>
      </c>
      <c r="E5" s="43" t="n">
        <v>102666</v>
      </c>
      <c r="F5" s="44" t="s">
        <v>312</v>
      </c>
      <c r="G5" s="44" t="s">
        <v>114</v>
      </c>
      <c r="H5" s="44" t="s">
        <v>119</v>
      </c>
    </row>
    <row r="6" customFormat="false" ht="15" hidden="false" customHeight="true" outlineLevel="0" collapsed="false">
      <c r="A6" s="11" t="s">
        <v>313</v>
      </c>
      <c r="B6" s="31" t="n">
        <v>3641</v>
      </c>
      <c r="C6" s="31" t="n">
        <v>8578</v>
      </c>
      <c r="D6" s="31" t="n">
        <v>9779</v>
      </c>
      <c r="E6" s="31" t="n">
        <v>16926</v>
      </c>
      <c r="F6" s="26" t="s">
        <v>314</v>
      </c>
      <c r="G6" s="26" t="s">
        <v>112</v>
      </c>
      <c r="H6" s="26" t="s">
        <v>315</v>
      </c>
    </row>
    <row r="7" customFormat="false" ht="15" hidden="false" customHeight="true" outlineLevel="0" collapsed="false">
      <c r="A7" s="42" t="s">
        <v>316</v>
      </c>
      <c r="B7" s="43" t="n">
        <v>2209</v>
      </c>
      <c r="C7" s="43" t="n">
        <v>6833</v>
      </c>
      <c r="D7" s="43" t="n">
        <v>8365</v>
      </c>
      <c r="E7" s="43" t="n">
        <v>15792</v>
      </c>
      <c r="F7" s="44" t="s">
        <v>317</v>
      </c>
      <c r="G7" s="44" t="s">
        <v>318</v>
      </c>
      <c r="H7" s="44" t="s">
        <v>319</v>
      </c>
    </row>
    <row r="8" customFormat="false" ht="15" hidden="false" customHeight="true" outlineLevel="0" collapsed="false">
      <c r="A8" s="45" t="s">
        <v>320</v>
      </c>
      <c r="B8" s="46" t="n">
        <v>54272</v>
      </c>
      <c r="C8" s="46" t="n">
        <v>84662</v>
      </c>
      <c r="D8" s="46" t="n">
        <v>92597</v>
      </c>
      <c r="E8" s="46" t="n">
        <v>135383</v>
      </c>
      <c r="F8" s="47" t="s">
        <v>321</v>
      </c>
      <c r="G8" s="47" t="s">
        <v>322</v>
      </c>
      <c r="H8" s="47" t="s">
        <v>323</v>
      </c>
    </row>
    <row r="9" customFormat="false" ht="15" hidden="false" customHeight="true" outlineLevel="0" collapsed="false">
      <c r="A9" s="42" t="s">
        <v>324</v>
      </c>
      <c r="B9" s="44" t="s">
        <v>325</v>
      </c>
      <c r="C9" s="44" t="s">
        <v>319</v>
      </c>
      <c r="D9" s="44" t="s">
        <v>326</v>
      </c>
      <c r="E9" s="44" t="s">
        <v>33</v>
      </c>
      <c r="F9" s="44" t="s">
        <v>239</v>
      </c>
      <c r="G9" s="44" t="s">
        <v>239</v>
      </c>
      <c r="H9" s="44" t="s">
        <v>239</v>
      </c>
    </row>
    <row r="10" customFormat="false" ht="15" hidden="false" customHeight="true" outlineLevel="0" collapsed="false">
      <c r="A10" s="11" t="s">
        <v>327</v>
      </c>
      <c r="B10" s="26" t="s">
        <v>328</v>
      </c>
      <c r="C10" s="26" t="s">
        <v>329</v>
      </c>
      <c r="D10" s="26" t="s">
        <v>330</v>
      </c>
      <c r="E10" s="26" t="s">
        <v>331</v>
      </c>
      <c r="F10" s="26" t="s">
        <v>239</v>
      </c>
      <c r="G10" s="26" t="s">
        <v>239</v>
      </c>
      <c r="H10" s="26" t="s">
        <v>239</v>
      </c>
    </row>
    <row r="12" customFormat="false" ht="12.75" hidden="false" customHeight="true" outlineLevel="0" collapsed="false">
      <c r="A12" s="27" t="s">
        <v>270</v>
      </c>
    </row>
    <row r="13" customFormat="false" ht="6" hidden="false" customHeight="true" outlineLevel="0" collapsed="false"/>
    <row r="14" customFormat="false" ht="21.75" hidden="false" customHeight="true" outlineLevel="0" collapsed="false">
      <c r="A14" s="40" t="s">
        <v>332</v>
      </c>
      <c r="B14" s="40"/>
      <c r="C14" s="40"/>
      <c r="D14" s="40"/>
      <c r="E14" s="40"/>
      <c r="F14" s="40"/>
      <c r="G14" s="40"/>
      <c r="H14" s="40"/>
    </row>
    <row r="15" customFormat="false" ht="15.75" hidden="false" customHeight="true" outlineLevel="0" collapsed="false">
      <c r="A15" s="41" t="s">
        <v>333</v>
      </c>
      <c r="B15" s="41" t="s">
        <v>131</v>
      </c>
      <c r="C15" s="41" t="s">
        <v>99</v>
      </c>
      <c r="D15" s="41" t="s">
        <v>307</v>
      </c>
      <c r="E15" s="41" t="s">
        <v>101</v>
      </c>
      <c r="F15" s="41" t="s">
        <v>334</v>
      </c>
      <c r="G15" s="41" t="s">
        <v>335</v>
      </c>
      <c r="H15" s="41" t="s">
        <v>310</v>
      </c>
    </row>
    <row r="16" customFormat="false" ht="15" hidden="false" customHeight="true" outlineLevel="0" collapsed="false">
      <c r="A16" s="42" t="s">
        <v>336</v>
      </c>
      <c r="B16" s="43" t="n">
        <v>35378</v>
      </c>
      <c r="C16" s="43" t="n">
        <v>53946</v>
      </c>
      <c r="D16" s="43" t="n">
        <v>58046</v>
      </c>
      <c r="E16" s="43" t="n">
        <v>80883</v>
      </c>
      <c r="F16" s="44" t="s">
        <v>337</v>
      </c>
      <c r="G16" s="44" t="s">
        <v>338</v>
      </c>
      <c r="H16" s="44" t="s">
        <v>339</v>
      </c>
    </row>
    <row r="17" customFormat="false" ht="15" hidden="false" customHeight="true" outlineLevel="0" collapsed="false">
      <c r="A17" s="11" t="s">
        <v>340</v>
      </c>
      <c r="B17" s="31" t="n">
        <v>3935</v>
      </c>
      <c r="C17" s="31" t="n">
        <v>6764</v>
      </c>
      <c r="D17" s="31" t="n">
        <v>8015</v>
      </c>
      <c r="E17" s="31" t="n">
        <v>13538</v>
      </c>
      <c r="F17" s="26" t="s">
        <v>341</v>
      </c>
      <c r="G17" s="26" t="s">
        <v>342</v>
      </c>
      <c r="H17" s="26" t="s">
        <v>343</v>
      </c>
    </row>
    <row r="18" customFormat="false" ht="15" hidden="false" customHeight="true" outlineLevel="0" collapsed="false">
      <c r="A18" s="42" t="s">
        <v>344</v>
      </c>
      <c r="B18" s="43" t="n">
        <v>3450</v>
      </c>
      <c r="C18" s="43" t="n">
        <v>6059</v>
      </c>
      <c r="D18" s="43" t="n">
        <v>6756</v>
      </c>
      <c r="E18" s="43" t="n">
        <v>10821</v>
      </c>
      <c r="F18" s="44" t="s">
        <v>345</v>
      </c>
      <c r="G18" s="44" t="s">
        <v>341</v>
      </c>
      <c r="H18" s="44" t="s">
        <v>346</v>
      </c>
    </row>
    <row r="19" customFormat="false" ht="15" hidden="false" customHeight="true" outlineLevel="0" collapsed="false">
      <c r="A19" s="32" t="s">
        <v>347</v>
      </c>
      <c r="B19" s="48" t="n">
        <v>4024</v>
      </c>
      <c r="C19" s="48" t="n">
        <v>6212</v>
      </c>
      <c r="D19" s="48" t="n">
        <v>6903</v>
      </c>
      <c r="E19" s="48" t="n">
        <v>10815</v>
      </c>
      <c r="F19" s="33" t="s">
        <v>348</v>
      </c>
      <c r="G19" s="33" t="s">
        <v>341</v>
      </c>
      <c r="H19" s="33" t="s">
        <v>331</v>
      </c>
    </row>
    <row r="20" customFormat="false" ht="15" hidden="false" customHeight="true" outlineLevel="0" collapsed="false">
      <c r="A20" s="42" t="s">
        <v>349</v>
      </c>
      <c r="B20" s="43" t="n">
        <v>1572</v>
      </c>
      <c r="C20" s="43" t="n">
        <v>2545</v>
      </c>
      <c r="D20" s="43" t="n">
        <v>2850</v>
      </c>
      <c r="E20" s="43" t="n">
        <v>4525</v>
      </c>
      <c r="F20" s="44" t="s">
        <v>350</v>
      </c>
      <c r="G20" s="44" t="s">
        <v>351</v>
      </c>
      <c r="H20" s="44" t="s">
        <v>352</v>
      </c>
    </row>
    <row r="21" customFormat="false" ht="15" hidden="false" customHeight="true" outlineLevel="0" collapsed="false">
      <c r="A21" s="11" t="s">
        <v>353</v>
      </c>
      <c r="B21" s="31" t="n">
        <v>2325</v>
      </c>
      <c r="C21" s="31" t="n">
        <v>3558</v>
      </c>
      <c r="D21" s="31" t="n">
        <v>3914</v>
      </c>
      <c r="E21" s="31" t="n">
        <v>5941</v>
      </c>
      <c r="F21" s="26" t="s">
        <v>354</v>
      </c>
      <c r="G21" s="26" t="s">
        <v>355</v>
      </c>
      <c r="H21" s="26" t="s">
        <v>325</v>
      </c>
    </row>
    <row r="22" customFormat="false" ht="15" hidden="false" customHeight="true" outlineLevel="0" collapsed="false">
      <c r="A22" s="42" t="s">
        <v>356</v>
      </c>
      <c r="B22" s="43" t="n">
        <v>601</v>
      </c>
      <c r="C22" s="43" t="n">
        <v>845</v>
      </c>
      <c r="D22" s="43" t="n">
        <v>938</v>
      </c>
      <c r="E22" s="43" t="n">
        <v>1436</v>
      </c>
      <c r="F22" s="44" t="s">
        <v>180</v>
      </c>
      <c r="G22" s="44" t="s">
        <v>357</v>
      </c>
      <c r="H22" s="44" t="s">
        <v>358</v>
      </c>
    </row>
    <row r="23" customFormat="false" ht="15" hidden="false" customHeight="true" outlineLevel="0" collapsed="false">
      <c r="A23" s="11" t="s">
        <v>359</v>
      </c>
      <c r="B23" s="31" t="n">
        <v>315</v>
      </c>
      <c r="C23" s="31" t="n">
        <v>479</v>
      </c>
      <c r="D23" s="31" t="n">
        <v>532</v>
      </c>
      <c r="E23" s="31" t="n">
        <v>836</v>
      </c>
      <c r="F23" s="26" t="s">
        <v>360</v>
      </c>
      <c r="G23" s="26" t="s">
        <v>360</v>
      </c>
      <c r="H23" s="26" t="s">
        <v>361</v>
      </c>
    </row>
    <row r="24" customFormat="false" ht="15" hidden="false" customHeight="true" outlineLevel="0" collapsed="false">
      <c r="A24" s="42" t="s">
        <v>362</v>
      </c>
      <c r="B24" s="43" t="n">
        <v>123</v>
      </c>
      <c r="C24" s="43" t="n">
        <v>177</v>
      </c>
      <c r="D24" s="43" t="n">
        <v>198</v>
      </c>
      <c r="E24" s="43" t="n">
        <v>314</v>
      </c>
      <c r="F24" s="44" t="s">
        <v>363</v>
      </c>
      <c r="G24" s="44" t="s">
        <v>363</v>
      </c>
      <c r="H24" s="44" t="s">
        <v>352</v>
      </c>
    </row>
    <row r="25" customFormat="false" ht="15" hidden="false" customHeight="true" outlineLevel="0" collapsed="false">
      <c r="A25" s="11" t="s">
        <v>364</v>
      </c>
      <c r="B25" s="31" t="n">
        <v>2329</v>
      </c>
      <c r="C25" s="31" t="n">
        <v>4037</v>
      </c>
      <c r="D25" s="31" t="n">
        <v>4445</v>
      </c>
      <c r="E25" s="31" t="n">
        <v>6274</v>
      </c>
      <c r="F25" s="26" t="s">
        <v>178</v>
      </c>
      <c r="G25" s="26" t="s">
        <v>365</v>
      </c>
      <c r="H25" s="26" t="s">
        <v>330</v>
      </c>
    </row>
    <row r="26" customFormat="false" ht="15" hidden="false" customHeight="true" outlineLevel="0" collapsed="false">
      <c r="A26" s="45" t="s">
        <v>366</v>
      </c>
      <c r="B26" s="46" t="n">
        <v>54272</v>
      </c>
      <c r="C26" s="46" t="n">
        <v>84662</v>
      </c>
      <c r="D26" s="46" t="n">
        <v>92597</v>
      </c>
      <c r="E26" s="46" t="n">
        <v>135383</v>
      </c>
      <c r="F26" s="47" t="s">
        <v>215</v>
      </c>
      <c r="G26" s="47" t="s">
        <v>215</v>
      </c>
      <c r="H26" s="47" t="s">
        <v>323</v>
      </c>
    </row>
    <row r="28" customFormat="false" ht="12.75" hidden="false" customHeight="true" outlineLevel="0" collapsed="false">
      <c r="A28" s="27" t="s">
        <v>367</v>
      </c>
    </row>
    <row r="29" customFormat="false" ht="6" hidden="false" customHeight="true" outlineLevel="0" collapsed="false"/>
    <row r="30" customFormat="false" ht="21.75" hidden="false" customHeight="true" outlineLevel="0" collapsed="false">
      <c r="A30" s="40" t="s">
        <v>368</v>
      </c>
      <c r="B30" s="40"/>
      <c r="C30" s="40"/>
      <c r="D30" s="40"/>
      <c r="E30" s="40"/>
      <c r="F30" s="40"/>
      <c r="G30" s="40"/>
      <c r="H30" s="40"/>
    </row>
    <row r="31" customFormat="false" ht="15.75" hidden="false" customHeight="true" outlineLevel="0" collapsed="false">
      <c r="A31" s="41" t="s">
        <v>369</v>
      </c>
      <c r="B31" s="41" t="s">
        <v>370</v>
      </c>
      <c r="C31" s="41" t="s">
        <v>371</v>
      </c>
      <c r="D31" s="41" t="s">
        <v>372</v>
      </c>
    </row>
    <row r="32" customFormat="false" ht="15" hidden="false" customHeight="true" outlineLevel="0" collapsed="false">
      <c r="A32" s="42" t="s">
        <v>373</v>
      </c>
      <c r="B32" s="42" t="s">
        <v>374</v>
      </c>
      <c r="C32" s="49" t="s">
        <v>336</v>
      </c>
      <c r="D32" s="44" t="s">
        <v>375</v>
      </c>
    </row>
    <row r="33" customFormat="false" ht="15" hidden="false" customHeight="true" outlineLevel="0" collapsed="false">
      <c r="A33" s="13"/>
      <c r="B33" s="13"/>
      <c r="C33" s="13" t="s">
        <v>340</v>
      </c>
      <c r="D33" s="26" t="s">
        <v>376</v>
      </c>
    </row>
    <row r="34" customFormat="false" ht="15" hidden="false" customHeight="true" outlineLevel="0" collapsed="false">
      <c r="A34" s="50"/>
      <c r="B34" s="50"/>
      <c r="C34" s="50" t="s">
        <v>347</v>
      </c>
      <c r="D34" s="51" t="s">
        <v>377</v>
      </c>
    </row>
    <row r="35" customFormat="false" ht="15" hidden="false" customHeight="true" outlineLevel="0" collapsed="false">
      <c r="A35" s="13"/>
      <c r="B35" s="13"/>
      <c r="C35" s="13" t="s">
        <v>356</v>
      </c>
      <c r="D35" s="26" t="s">
        <v>181</v>
      </c>
    </row>
    <row r="36" customFormat="false" ht="15" hidden="false" customHeight="true" outlineLevel="0" collapsed="false">
      <c r="A36" s="49"/>
      <c r="B36" s="49"/>
      <c r="C36" s="49" t="s">
        <v>378</v>
      </c>
      <c r="D36" s="44" t="s">
        <v>379</v>
      </c>
    </row>
    <row r="37" customFormat="false" ht="15" hidden="false" customHeight="true" outlineLevel="0" collapsed="false">
      <c r="A37" s="13"/>
      <c r="B37" s="13"/>
      <c r="C37" s="13" t="s">
        <v>380</v>
      </c>
      <c r="D37" s="26" t="s">
        <v>351</v>
      </c>
    </row>
    <row r="38" customFormat="false" ht="15" hidden="false" customHeight="true" outlineLevel="0" collapsed="false">
      <c r="A38" s="49"/>
      <c r="B38" s="49"/>
      <c r="C38" s="49" t="s">
        <v>353</v>
      </c>
      <c r="D38" s="44" t="s">
        <v>381</v>
      </c>
    </row>
    <row r="39" customFormat="false" ht="15" hidden="false" customHeight="true" outlineLevel="0" collapsed="false">
      <c r="A39" s="13"/>
      <c r="B39" s="13"/>
      <c r="C39" s="13" t="s">
        <v>382</v>
      </c>
      <c r="D39" s="26" t="s">
        <v>383</v>
      </c>
    </row>
    <row r="40" customFormat="false" ht="15" hidden="false" customHeight="true" outlineLevel="0" collapsed="false">
      <c r="A40" s="42" t="s">
        <v>384</v>
      </c>
      <c r="B40" s="42" t="s">
        <v>385</v>
      </c>
      <c r="C40" s="49" t="s">
        <v>386</v>
      </c>
      <c r="D40" s="44" t="s">
        <v>387</v>
      </c>
    </row>
    <row r="42" customFormat="false" ht="12.75" hidden="false" customHeight="true" outlineLevel="0" collapsed="false">
      <c r="A42" s="27" t="s">
        <v>388</v>
      </c>
    </row>
  </sheetData>
  <mergeCells count="4">
    <mergeCell ref="A1:H1"/>
    <mergeCell ref="A3:H3"/>
    <mergeCell ref="A14:H14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5"/>
  </cols>
  <sheetData>
    <row r="1" customFormat="false" ht="21.75" hidden="false" customHeight="true" outlineLevel="0" collapsed="false">
      <c r="A1" s="40" t="s">
        <v>389</v>
      </c>
      <c r="B1" s="40"/>
      <c r="C1" s="40"/>
      <c r="D1" s="40"/>
      <c r="E1" s="40"/>
      <c r="F1" s="40"/>
      <c r="G1" s="40"/>
      <c r="H1" s="40"/>
    </row>
    <row r="2" customFormat="false" ht="6" hidden="false" customHeight="true" outlineLevel="0" collapsed="false"/>
    <row r="3" customFormat="false" ht="21.75" hidden="false" customHeight="true" outlineLevel="0" collapsed="false">
      <c r="A3" s="40" t="s">
        <v>390</v>
      </c>
      <c r="B3" s="40"/>
      <c r="C3" s="40"/>
      <c r="D3" s="40"/>
      <c r="E3" s="40"/>
      <c r="F3" s="40"/>
      <c r="G3" s="40"/>
      <c r="H3" s="40"/>
    </row>
    <row r="4" customFormat="false" ht="15.75" hidden="false" customHeight="true" outlineLevel="0" collapsed="false">
      <c r="A4" s="41" t="s">
        <v>391</v>
      </c>
      <c r="B4" s="41" t="s">
        <v>131</v>
      </c>
      <c r="C4" s="41" t="s">
        <v>99</v>
      </c>
      <c r="D4" s="41" t="s">
        <v>307</v>
      </c>
      <c r="E4" s="41" t="s">
        <v>101</v>
      </c>
      <c r="F4" s="41" t="s">
        <v>308</v>
      </c>
      <c r="G4" s="41" t="s">
        <v>309</v>
      </c>
      <c r="H4" s="41" t="s">
        <v>310</v>
      </c>
    </row>
    <row r="5" customFormat="false" ht="15" hidden="false" customHeight="true" outlineLevel="0" collapsed="false">
      <c r="A5" s="42" t="s">
        <v>392</v>
      </c>
      <c r="B5" s="43" t="n">
        <v>1654</v>
      </c>
      <c r="C5" s="43" t="n">
        <v>2513</v>
      </c>
      <c r="D5" s="43" t="n">
        <v>2783</v>
      </c>
      <c r="E5" s="43" t="n">
        <v>4312</v>
      </c>
      <c r="F5" s="44" t="s">
        <v>106</v>
      </c>
      <c r="G5" s="44" t="s">
        <v>325</v>
      </c>
      <c r="H5" s="44" t="s">
        <v>393</v>
      </c>
    </row>
    <row r="6" customFormat="false" ht="15" hidden="false" customHeight="true" outlineLevel="0" collapsed="false">
      <c r="A6" s="11" t="s">
        <v>394</v>
      </c>
      <c r="B6" s="31" t="n">
        <v>1477</v>
      </c>
      <c r="C6" s="31" t="n">
        <v>2298</v>
      </c>
      <c r="D6" s="31" t="n">
        <v>2560</v>
      </c>
      <c r="E6" s="31" t="n">
        <v>4029</v>
      </c>
      <c r="F6" s="26" t="s">
        <v>395</v>
      </c>
      <c r="G6" s="26" t="s">
        <v>393</v>
      </c>
      <c r="H6" s="26" t="s">
        <v>396</v>
      </c>
    </row>
    <row r="7" customFormat="false" ht="15" hidden="false" customHeight="true" outlineLevel="0" collapsed="false">
      <c r="A7" s="42" t="s">
        <v>397</v>
      </c>
      <c r="B7" s="43" t="n">
        <v>892</v>
      </c>
      <c r="C7" s="43" t="n">
        <v>1401</v>
      </c>
      <c r="D7" s="43" t="n">
        <v>1560</v>
      </c>
      <c r="E7" s="43" t="n">
        <v>2474</v>
      </c>
      <c r="F7" s="44" t="s">
        <v>322</v>
      </c>
      <c r="G7" s="44" t="s">
        <v>398</v>
      </c>
      <c r="H7" s="44" t="s">
        <v>113</v>
      </c>
    </row>
    <row r="8" customFormat="false" ht="15" hidden="false" customHeight="true" outlineLevel="0" collapsed="false">
      <c r="A8" s="45" t="s">
        <v>399</v>
      </c>
      <c r="B8" s="46" t="n">
        <v>4024</v>
      </c>
      <c r="C8" s="46" t="n">
        <v>6212</v>
      </c>
      <c r="D8" s="46" t="n">
        <v>6903</v>
      </c>
      <c r="E8" s="46" t="n">
        <v>10815</v>
      </c>
      <c r="F8" s="47" t="s">
        <v>117</v>
      </c>
      <c r="G8" s="47" t="s">
        <v>400</v>
      </c>
      <c r="H8" s="47" t="s">
        <v>331</v>
      </c>
    </row>
    <row r="10" customFormat="false" ht="12.75" hidden="false" customHeight="true" outlineLevel="0" collapsed="false">
      <c r="A10" s="27" t="s">
        <v>401</v>
      </c>
    </row>
    <row r="11" customFormat="false" ht="6" hidden="false" customHeight="true" outlineLevel="0" collapsed="false"/>
    <row r="12" customFormat="false" ht="21.75" hidden="false" customHeight="true" outlineLevel="0" collapsed="false">
      <c r="A12" s="40" t="s">
        <v>402</v>
      </c>
      <c r="B12" s="40"/>
      <c r="C12" s="40"/>
      <c r="D12" s="40"/>
      <c r="E12" s="40"/>
      <c r="F12" s="40"/>
      <c r="G12" s="40"/>
      <c r="H12" s="40"/>
    </row>
    <row r="13" customFormat="false" ht="15.75" hidden="false" customHeight="true" outlineLevel="0" collapsed="false">
      <c r="A13" s="41" t="s">
        <v>306</v>
      </c>
      <c r="B13" s="41" t="s">
        <v>403</v>
      </c>
      <c r="C13" s="41" t="s">
        <v>404</v>
      </c>
      <c r="D13" s="41" t="s">
        <v>405</v>
      </c>
      <c r="E13" s="41" t="s">
        <v>406</v>
      </c>
      <c r="F13" s="41" t="s">
        <v>407</v>
      </c>
      <c r="G13" s="41" t="s">
        <v>408</v>
      </c>
      <c r="H13" s="41" t="s">
        <v>409</v>
      </c>
    </row>
    <row r="14" customFormat="false" ht="15" hidden="false" customHeight="true" outlineLevel="0" collapsed="false">
      <c r="A14" s="42" t="s">
        <v>394</v>
      </c>
      <c r="B14" s="44" t="s">
        <v>410</v>
      </c>
      <c r="C14" s="44" t="s">
        <v>411</v>
      </c>
      <c r="D14" s="44" t="s">
        <v>412</v>
      </c>
      <c r="E14" s="52" t="s">
        <v>413</v>
      </c>
      <c r="F14" s="44" t="s">
        <v>414</v>
      </c>
      <c r="G14" s="44" t="s">
        <v>106</v>
      </c>
      <c r="H14" s="43" t="n">
        <v>942</v>
      </c>
    </row>
    <row r="15" customFormat="false" ht="15" hidden="false" customHeight="true" outlineLevel="0" collapsed="false">
      <c r="A15" s="11" t="s">
        <v>392</v>
      </c>
      <c r="B15" s="26" t="s">
        <v>415</v>
      </c>
      <c r="C15" s="26" t="s">
        <v>416</v>
      </c>
      <c r="D15" s="26" t="s">
        <v>417</v>
      </c>
      <c r="E15" s="52" t="s">
        <v>418</v>
      </c>
      <c r="F15" s="26" t="s">
        <v>419</v>
      </c>
      <c r="G15" s="26" t="s">
        <v>420</v>
      </c>
      <c r="H15" s="31" t="n">
        <v>1307</v>
      </c>
    </row>
    <row r="16" customFormat="false" ht="15" hidden="false" customHeight="true" outlineLevel="0" collapsed="false">
      <c r="A16" s="42" t="s">
        <v>397</v>
      </c>
      <c r="B16" s="44" t="s">
        <v>113</v>
      </c>
      <c r="C16" s="44" t="s">
        <v>421</v>
      </c>
      <c r="D16" s="44" t="s">
        <v>422</v>
      </c>
      <c r="E16" s="52" t="s">
        <v>423</v>
      </c>
      <c r="F16" s="44" t="s">
        <v>326</v>
      </c>
      <c r="G16" s="44" t="s">
        <v>424</v>
      </c>
      <c r="H16" s="43" t="n">
        <v>406</v>
      </c>
    </row>
    <row r="18" customFormat="false" ht="12.75" hidden="false" customHeight="true" outlineLevel="0" collapsed="false">
      <c r="A18" s="27" t="s">
        <v>425</v>
      </c>
    </row>
    <row r="19" customFormat="false" ht="6" hidden="false" customHeight="true" outlineLevel="0" collapsed="false"/>
    <row r="20" customFormat="false" ht="30" hidden="false" customHeight="true" outlineLevel="0" collapsed="false">
      <c r="A20" s="28" t="s">
        <v>426</v>
      </c>
      <c r="B20" s="28"/>
      <c r="C20" s="28"/>
      <c r="D20" s="28"/>
      <c r="E20" s="28"/>
      <c r="F20" s="28"/>
      <c r="G20" s="28"/>
      <c r="H20" s="28"/>
    </row>
    <row r="21" customFormat="false" ht="6" hidden="false" customHeight="true" outlineLevel="0" collapsed="false"/>
    <row r="22" customFormat="false" ht="21.75" hidden="false" customHeight="true" outlineLevel="0" collapsed="false">
      <c r="A22" s="40" t="s">
        <v>427</v>
      </c>
      <c r="B22" s="40"/>
      <c r="C22" s="40"/>
      <c r="D22" s="40"/>
      <c r="E22" s="40"/>
      <c r="F22" s="40"/>
      <c r="G22" s="40"/>
      <c r="H22" s="40"/>
    </row>
    <row r="23" customFormat="false" ht="15.75" hidden="false" customHeight="true" outlineLevel="0" collapsed="false">
      <c r="A23" s="41" t="s">
        <v>391</v>
      </c>
      <c r="B23" s="41" t="s">
        <v>428</v>
      </c>
      <c r="C23" s="41" t="s">
        <v>429</v>
      </c>
      <c r="D23" s="41" t="s">
        <v>430</v>
      </c>
      <c r="E23" s="41" t="s">
        <v>431</v>
      </c>
      <c r="F23" s="41" t="s">
        <v>432</v>
      </c>
    </row>
    <row r="24" customFormat="false" ht="15" hidden="false" customHeight="true" outlineLevel="0" collapsed="false">
      <c r="A24" s="42" t="s">
        <v>392</v>
      </c>
      <c r="B24" s="44" t="s">
        <v>433</v>
      </c>
      <c r="C24" s="44" t="s">
        <v>434</v>
      </c>
      <c r="D24" s="44" t="s">
        <v>435</v>
      </c>
      <c r="E24" s="44" t="s">
        <v>436</v>
      </c>
      <c r="F24" s="49" t="s">
        <v>437</v>
      </c>
    </row>
    <row r="25" customFormat="false" ht="15" hidden="false" customHeight="true" outlineLevel="0" collapsed="false">
      <c r="A25" s="11" t="s">
        <v>394</v>
      </c>
      <c r="B25" s="26" t="s">
        <v>438</v>
      </c>
      <c r="C25" s="26" t="s">
        <v>439</v>
      </c>
      <c r="D25" s="26" t="s">
        <v>440</v>
      </c>
      <c r="E25" s="26" t="s">
        <v>441</v>
      </c>
      <c r="F25" s="13" t="s">
        <v>442</v>
      </c>
    </row>
    <row r="26" customFormat="false" ht="15" hidden="false" customHeight="true" outlineLevel="0" collapsed="false">
      <c r="A26" s="42" t="s">
        <v>397</v>
      </c>
      <c r="B26" s="44" t="s">
        <v>443</v>
      </c>
      <c r="C26" s="44" t="s">
        <v>444</v>
      </c>
      <c r="D26" s="44" t="s">
        <v>445</v>
      </c>
      <c r="E26" s="44" t="s">
        <v>446</v>
      </c>
      <c r="F26" s="49" t="s">
        <v>447</v>
      </c>
    </row>
    <row r="28" customFormat="false" ht="12.75" hidden="false" customHeight="true" outlineLevel="0" collapsed="false">
      <c r="A28" s="27" t="s">
        <v>270</v>
      </c>
    </row>
  </sheetData>
  <mergeCells count="5">
    <mergeCell ref="A1:H1"/>
    <mergeCell ref="A3:H3"/>
    <mergeCell ref="A12:H12"/>
    <mergeCell ref="A20:H20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5"/>
  </cols>
  <sheetData>
    <row r="1" customFormat="false" ht="21.75" hidden="false" customHeight="true" outlineLevel="0" collapsed="false">
      <c r="A1" s="40" t="s">
        <v>448</v>
      </c>
      <c r="B1" s="40"/>
      <c r="C1" s="40"/>
      <c r="D1" s="40"/>
      <c r="E1" s="40"/>
      <c r="F1" s="40"/>
      <c r="G1" s="40"/>
      <c r="H1" s="40"/>
    </row>
    <row r="2" customFormat="false" ht="6" hidden="false" customHeight="true" outlineLevel="0" collapsed="false"/>
    <row r="3" customFormat="false" ht="21.75" hidden="false" customHeight="true" outlineLevel="0" collapsed="false">
      <c r="A3" s="40" t="s">
        <v>449</v>
      </c>
      <c r="B3" s="40"/>
      <c r="C3" s="40"/>
      <c r="D3" s="40"/>
      <c r="E3" s="40"/>
      <c r="F3" s="40"/>
      <c r="G3" s="40"/>
      <c r="H3" s="40"/>
    </row>
    <row r="4" customFormat="false" ht="15.75" hidden="false" customHeight="true" outlineLevel="0" collapsed="false">
      <c r="A4" s="41" t="s">
        <v>371</v>
      </c>
      <c r="B4" s="41" t="s">
        <v>131</v>
      </c>
      <c r="C4" s="41" t="s">
        <v>99</v>
      </c>
      <c r="D4" s="41" t="s">
        <v>307</v>
      </c>
      <c r="E4" s="41" t="s">
        <v>101</v>
      </c>
      <c r="F4" s="41" t="s">
        <v>308</v>
      </c>
      <c r="G4" s="41" t="s">
        <v>309</v>
      </c>
      <c r="H4" s="41" t="s">
        <v>310</v>
      </c>
    </row>
    <row r="5" customFormat="false" ht="15" hidden="false" customHeight="true" outlineLevel="0" collapsed="false">
      <c r="A5" s="32" t="s">
        <v>450</v>
      </c>
      <c r="B5" s="53" t="n">
        <v>1051</v>
      </c>
      <c r="C5" s="53" t="n">
        <v>1503</v>
      </c>
      <c r="D5" s="53" t="n">
        <v>1657</v>
      </c>
      <c r="E5" s="53" t="n">
        <v>2540</v>
      </c>
      <c r="F5" s="54" t="s">
        <v>312</v>
      </c>
      <c r="G5" s="54" t="s">
        <v>451</v>
      </c>
      <c r="H5" s="54" t="s">
        <v>400</v>
      </c>
    </row>
    <row r="6" customFormat="false" ht="15" hidden="false" customHeight="true" outlineLevel="0" collapsed="false">
      <c r="A6" s="11" t="s">
        <v>452</v>
      </c>
      <c r="B6" s="31" t="n">
        <v>215</v>
      </c>
      <c r="C6" s="31" t="n">
        <v>428</v>
      </c>
      <c r="D6" s="31" t="n">
        <v>474</v>
      </c>
      <c r="E6" s="31" t="n">
        <v>755</v>
      </c>
      <c r="F6" s="26" t="s">
        <v>453</v>
      </c>
      <c r="G6" s="26" t="s">
        <v>325</v>
      </c>
      <c r="H6" s="26" t="s">
        <v>113</v>
      </c>
    </row>
    <row r="7" customFormat="false" ht="15" hidden="false" customHeight="true" outlineLevel="0" collapsed="false">
      <c r="A7" s="42" t="s">
        <v>454</v>
      </c>
      <c r="B7" s="43" t="n">
        <v>113</v>
      </c>
      <c r="C7" s="43" t="n">
        <v>200</v>
      </c>
      <c r="D7" s="43" t="n">
        <v>233</v>
      </c>
      <c r="E7" s="43" t="n">
        <v>424</v>
      </c>
      <c r="F7" s="44" t="s">
        <v>455</v>
      </c>
      <c r="G7" s="44" t="s">
        <v>456</v>
      </c>
      <c r="H7" s="44" t="s">
        <v>456</v>
      </c>
    </row>
    <row r="8" customFormat="false" ht="15" hidden="false" customHeight="true" outlineLevel="0" collapsed="false">
      <c r="A8" s="11" t="s">
        <v>457</v>
      </c>
      <c r="B8" s="31" t="n">
        <v>30</v>
      </c>
      <c r="C8" s="31" t="n">
        <v>62</v>
      </c>
      <c r="D8" s="31" t="n">
        <v>77</v>
      </c>
      <c r="E8" s="31" t="n">
        <v>122</v>
      </c>
      <c r="F8" s="26" t="s">
        <v>458</v>
      </c>
      <c r="G8" s="26" t="s">
        <v>459</v>
      </c>
      <c r="H8" s="26" t="s">
        <v>460</v>
      </c>
    </row>
    <row r="9" customFormat="false" ht="15" hidden="false" customHeight="true" outlineLevel="0" collapsed="false">
      <c r="A9" s="42" t="s">
        <v>461</v>
      </c>
      <c r="B9" s="43" t="n">
        <v>46</v>
      </c>
      <c r="C9" s="43" t="n">
        <v>57</v>
      </c>
      <c r="D9" s="43" t="n">
        <v>62</v>
      </c>
      <c r="E9" s="43" t="n">
        <v>92</v>
      </c>
      <c r="F9" s="44" t="s">
        <v>462</v>
      </c>
      <c r="G9" s="44" t="s">
        <v>105</v>
      </c>
      <c r="H9" s="44" t="s">
        <v>451</v>
      </c>
    </row>
    <row r="10" customFormat="false" ht="15" hidden="false" customHeight="true" outlineLevel="0" collapsed="false">
      <c r="A10" s="11" t="s">
        <v>463</v>
      </c>
      <c r="B10" s="31" t="n">
        <v>8</v>
      </c>
      <c r="C10" s="31" t="n">
        <v>30</v>
      </c>
      <c r="D10" s="31" t="n">
        <v>37</v>
      </c>
      <c r="E10" s="31" t="n">
        <v>69</v>
      </c>
      <c r="F10" s="55" t="s">
        <v>464</v>
      </c>
      <c r="G10" s="55" t="s">
        <v>465</v>
      </c>
      <c r="H10" s="55" t="s">
        <v>466</v>
      </c>
    </row>
    <row r="11" customFormat="false" ht="15" hidden="false" customHeight="true" outlineLevel="0" collapsed="false">
      <c r="A11" s="42" t="s">
        <v>467</v>
      </c>
      <c r="B11" s="43" t="n">
        <v>15</v>
      </c>
      <c r="C11" s="43" t="n">
        <v>17</v>
      </c>
      <c r="D11" s="43" t="n">
        <v>19</v>
      </c>
      <c r="E11" s="43" t="n">
        <v>28</v>
      </c>
      <c r="F11" s="44" t="s">
        <v>351</v>
      </c>
      <c r="G11" s="44" t="s">
        <v>358</v>
      </c>
      <c r="H11" s="44" t="s">
        <v>468</v>
      </c>
    </row>
    <row r="12" customFormat="false" ht="15" hidden="false" customHeight="true" outlineLevel="0" collapsed="false">
      <c r="A12" s="45" t="s">
        <v>469</v>
      </c>
      <c r="B12" s="46" t="n">
        <v>1477</v>
      </c>
      <c r="C12" s="46" t="n">
        <v>2298</v>
      </c>
      <c r="D12" s="46" t="n">
        <v>2560</v>
      </c>
      <c r="E12" s="46" t="n">
        <v>4029</v>
      </c>
      <c r="F12" s="47" t="s">
        <v>395</v>
      </c>
      <c r="G12" s="47" t="s">
        <v>393</v>
      </c>
      <c r="H12" s="47" t="s">
        <v>396</v>
      </c>
    </row>
    <row r="14" customFormat="false" ht="12.75" hidden="false" customHeight="true" outlineLevel="0" collapsed="false">
      <c r="A14" s="27" t="s">
        <v>470</v>
      </c>
    </row>
    <row r="15" customFormat="false" ht="6" hidden="false" customHeight="true" outlineLevel="0" collapsed="false"/>
    <row r="16" customFormat="false" ht="21.75" hidden="false" customHeight="true" outlineLevel="0" collapsed="false">
      <c r="A16" s="40" t="s">
        <v>471</v>
      </c>
      <c r="B16" s="40"/>
      <c r="C16" s="40"/>
      <c r="D16" s="40"/>
      <c r="E16" s="40"/>
      <c r="F16" s="40"/>
      <c r="G16" s="40"/>
      <c r="H16" s="40"/>
    </row>
    <row r="17" customFormat="false" ht="15.75" hidden="false" customHeight="true" outlineLevel="0" collapsed="false">
      <c r="A17" s="41" t="s">
        <v>472</v>
      </c>
      <c r="B17" s="41" t="s">
        <v>131</v>
      </c>
      <c r="C17" s="41" t="s">
        <v>99</v>
      </c>
      <c r="D17" s="41" t="s">
        <v>307</v>
      </c>
      <c r="E17" s="41" t="s">
        <v>101</v>
      </c>
      <c r="F17" s="41" t="s">
        <v>429</v>
      </c>
      <c r="G17" s="41" t="s">
        <v>431</v>
      </c>
      <c r="H17" s="41" t="s">
        <v>310</v>
      </c>
    </row>
    <row r="18" customFormat="false" ht="15" hidden="false" customHeight="true" outlineLevel="0" collapsed="false">
      <c r="A18" s="32" t="s">
        <v>473</v>
      </c>
      <c r="B18" s="48" t="n">
        <v>440</v>
      </c>
      <c r="C18" s="48" t="n">
        <v>564</v>
      </c>
      <c r="D18" s="48" t="n">
        <v>608</v>
      </c>
      <c r="E18" s="48" t="n">
        <v>841</v>
      </c>
      <c r="F18" s="33" t="s">
        <v>474</v>
      </c>
      <c r="G18" s="33" t="s">
        <v>475</v>
      </c>
      <c r="H18" s="33" t="s">
        <v>424</v>
      </c>
    </row>
    <row r="19" customFormat="false" ht="15" hidden="false" customHeight="true" outlineLevel="0" collapsed="false">
      <c r="A19" s="11" t="s">
        <v>476</v>
      </c>
      <c r="B19" s="31" t="n">
        <v>279</v>
      </c>
      <c r="C19" s="31" t="n">
        <v>415</v>
      </c>
      <c r="D19" s="31" t="n">
        <v>462</v>
      </c>
      <c r="E19" s="31" t="n">
        <v>691</v>
      </c>
      <c r="F19" s="26" t="s">
        <v>477</v>
      </c>
      <c r="G19" s="26" t="s">
        <v>478</v>
      </c>
      <c r="H19" s="26" t="s">
        <v>479</v>
      </c>
    </row>
    <row r="20" customFormat="false" ht="15" hidden="false" customHeight="true" outlineLevel="0" collapsed="false">
      <c r="A20" s="42" t="s">
        <v>480</v>
      </c>
      <c r="B20" s="43" t="n">
        <v>162</v>
      </c>
      <c r="C20" s="43" t="n">
        <v>297</v>
      </c>
      <c r="D20" s="43" t="n">
        <v>338</v>
      </c>
      <c r="E20" s="43" t="n">
        <v>611</v>
      </c>
      <c r="F20" s="44" t="s">
        <v>481</v>
      </c>
      <c r="G20" s="44" t="s">
        <v>482</v>
      </c>
      <c r="H20" s="44" t="s">
        <v>483</v>
      </c>
    </row>
    <row r="21" customFormat="false" ht="15" hidden="false" customHeight="true" outlineLevel="0" collapsed="false">
      <c r="A21" s="11" t="s">
        <v>484</v>
      </c>
      <c r="B21" s="31" t="n">
        <v>147</v>
      </c>
      <c r="C21" s="31" t="n">
        <v>198</v>
      </c>
      <c r="D21" s="31" t="n">
        <v>225</v>
      </c>
      <c r="E21" s="31" t="n">
        <v>369</v>
      </c>
      <c r="F21" s="26" t="s">
        <v>485</v>
      </c>
      <c r="G21" s="26" t="s">
        <v>486</v>
      </c>
      <c r="H21" s="26" t="s">
        <v>487</v>
      </c>
    </row>
    <row r="22" customFormat="false" ht="15" hidden="false" customHeight="true" outlineLevel="0" collapsed="false">
      <c r="A22" s="42" t="s">
        <v>364</v>
      </c>
      <c r="B22" s="43" t="n">
        <v>23</v>
      </c>
      <c r="C22" s="43" t="n">
        <v>30</v>
      </c>
      <c r="D22" s="43" t="n">
        <v>25</v>
      </c>
      <c r="E22" s="43" t="n">
        <v>27</v>
      </c>
      <c r="F22" s="44" t="s">
        <v>488</v>
      </c>
      <c r="G22" s="44" t="s">
        <v>489</v>
      </c>
      <c r="H22" s="44" t="s">
        <v>490</v>
      </c>
    </row>
    <row r="23" customFormat="false" ht="15" hidden="false" customHeight="true" outlineLevel="0" collapsed="false">
      <c r="A23" s="45" t="s">
        <v>491</v>
      </c>
      <c r="B23" s="46" t="n">
        <v>1051</v>
      </c>
      <c r="C23" s="46" t="n">
        <v>1503</v>
      </c>
      <c r="D23" s="46" t="n">
        <v>1657</v>
      </c>
      <c r="E23" s="46" t="n">
        <v>2540</v>
      </c>
      <c r="F23" s="47" t="s">
        <v>215</v>
      </c>
      <c r="G23" s="47" t="s">
        <v>215</v>
      </c>
      <c r="H23" s="47" t="s">
        <v>400</v>
      </c>
    </row>
    <row r="25" customFormat="false" ht="12.75" hidden="false" customHeight="true" outlineLevel="0" collapsed="false">
      <c r="A25" s="27" t="s">
        <v>492</v>
      </c>
    </row>
    <row r="26" customFormat="false" ht="6" hidden="false" customHeight="true" outlineLevel="0" collapsed="false"/>
    <row r="27" customFormat="false" ht="21.75" hidden="false" customHeight="true" outlineLevel="0" collapsed="false">
      <c r="A27" s="40" t="s">
        <v>493</v>
      </c>
      <c r="B27" s="40"/>
      <c r="C27" s="40"/>
      <c r="D27" s="40"/>
      <c r="E27" s="40"/>
      <c r="F27" s="40"/>
      <c r="G27" s="40"/>
      <c r="H27" s="40"/>
    </row>
    <row r="28" customFormat="false" ht="15.75" hidden="false" customHeight="true" outlineLevel="0" collapsed="false">
      <c r="A28" s="41" t="s">
        <v>494</v>
      </c>
      <c r="B28" s="41" t="s">
        <v>495</v>
      </c>
      <c r="C28" s="41" t="s">
        <v>496</v>
      </c>
      <c r="D28" s="41" t="s">
        <v>497</v>
      </c>
      <c r="E28" s="41" t="s">
        <v>498</v>
      </c>
    </row>
    <row r="29" customFormat="false" ht="19.5" hidden="false" customHeight="true" outlineLevel="0" collapsed="false">
      <c r="A29" s="32" t="s">
        <v>499</v>
      </c>
      <c r="B29" s="33" t="s">
        <v>500</v>
      </c>
      <c r="C29" s="48" t="n">
        <v>278</v>
      </c>
      <c r="D29" s="32" t="s">
        <v>501</v>
      </c>
      <c r="E29" s="32" t="s">
        <v>502</v>
      </c>
    </row>
    <row r="30" customFormat="false" ht="19.5" hidden="false" customHeight="true" outlineLevel="0" collapsed="false">
      <c r="A30" s="11" t="s">
        <v>503</v>
      </c>
      <c r="B30" s="26" t="s">
        <v>504</v>
      </c>
      <c r="C30" s="31" t="n">
        <v>104</v>
      </c>
      <c r="D30" s="13" t="s">
        <v>505</v>
      </c>
      <c r="E30" s="13" t="s">
        <v>506</v>
      </c>
    </row>
    <row r="31" customFormat="false" ht="19.5" hidden="false" customHeight="true" outlineLevel="0" collapsed="false">
      <c r="A31" s="42" t="s">
        <v>507</v>
      </c>
      <c r="B31" s="44" t="s">
        <v>508</v>
      </c>
      <c r="C31" s="43" t="n">
        <v>93</v>
      </c>
      <c r="D31" s="49" t="s">
        <v>509</v>
      </c>
      <c r="E31" s="49" t="s">
        <v>506</v>
      </c>
    </row>
    <row r="32" customFormat="false" ht="19.5" hidden="false" customHeight="true" outlineLevel="0" collapsed="false">
      <c r="A32" s="11" t="s">
        <v>510</v>
      </c>
      <c r="B32" s="26" t="s">
        <v>511</v>
      </c>
      <c r="C32" s="31" t="n">
        <v>89</v>
      </c>
      <c r="D32" s="13" t="s">
        <v>512</v>
      </c>
      <c r="E32" s="13" t="s">
        <v>506</v>
      </c>
    </row>
    <row r="33" customFormat="false" ht="19.5" hidden="false" customHeight="true" outlineLevel="0" collapsed="false">
      <c r="A33" s="45" t="s">
        <v>513</v>
      </c>
      <c r="B33" s="47" t="s">
        <v>215</v>
      </c>
      <c r="C33" s="46" t="n">
        <v>564</v>
      </c>
      <c r="D33" s="45" t="s">
        <v>514</v>
      </c>
      <c r="E33" s="45" t="s">
        <v>239</v>
      </c>
    </row>
    <row r="35" customFormat="false" ht="12.75" hidden="false" customHeight="true" outlineLevel="0" collapsed="false">
      <c r="A35" s="27" t="s">
        <v>270</v>
      </c>
    </row>
    <row r="36" customFormat="false" ht="6" hidden="false" customHeight="true" outlineLevel="0" collapsed="false"/>
    <row r="37" customFormat="false" ht="30" hidden="false" customHeight="true" outlineLevel="0" collapsed="false">
      <c r="A37" s="28" t="s">
        <v>515</v>
      </c>
      <c r="B37" s="28"/>
      <c r="C37" s="28"/>
      <c r="D37" s="28"/>
      <c r="E37" s="28"/>
      <c r="F37" s="28"/>
      <c r="G37" s="28"/>
      <c r="H37" s="28"/>
    </row>
    <row r="38" customFormat="false" ht="6" hidden="false" customHeight="true" outlineLevel="0" collapsed="false"/>
    <row r="39" customFormat="false" ht="21.75" hidden="false" customHeight="true" outlineLevel="0" collapsed="false">
      <c r="A39" s="40" t="s">
        <v>516</v>
      </c>
      <c r="B39" s="40"/>
      <c r="C39" s="40"/>
      <c r="D39" s="40"/>
      <c r="E39" s="40"/>
      <c r="F39" s="40"/>
      <c r="G39" s="40"/>
      <c r="H39" s="40"/>
    </row>
    <row r="40" customFormat="false" ht="15.75" hidden="false" customHeight="true" outlineLevel="0" collapsed="false">
      <c r="A40" s="41" t="s">
        <v>391</v>
      </c>
      <c r="B40" s="41" t="s">
        <v>131</v>
      </c>
      <c r="C40" s="41" t="s">
        <v>99</v>
      </c>
      <c r="D40" s="41" t="s">
        <v>307</v>
      </c>
      <c r="E40" s="41" t="s">
        <v>101</v>
      </c>
      <c r="F40" s="41" t="s">
        <v>334</v>
      </c>
      <c r="G40" s="41" t="s">
        <v>308</v>
      </c>
      <c r="H40" s="41" t="s">
        <v>310</v>
      </c>
    </row>
    <row r="41" customFormat="false" ht="15" hidden="false" customHeight="true" outlineLevel="0" collapsed="false">
      <c r="A41" s="42" t="s">
        <v>394</v>
      </c>
      <c r="B41" s="43" t="n">
        <v>516</v>
      </c>
      <c r="C41" s="43" t="n">
        <v>709</v>
      </c>
      <c r="D41" s="43" t="n">
        <v>778</v>
      </c>
      <c r="E41" s="43" t="n">
        <v>1189</v>
      </c>
      <c r="F41" s="44" t="s">
        <v>517</v>
      </c>
      <c r="G41" s="44" t="s">
        <v>108</v>
      </c>
      <c r="H41" s="44" t="s">
        <v>518</v>
      </c>
    </row>
    <row r="42" customFormat="false" ht="15" hidden="false" customHeight="true" outlineLevel="0" collapsed="false">
      <c r="A42" s="11" t="s">
        <v>392</v>
      </c>
      <c r="B42" s="31" t="n">
        <v>86</v>
      </c>
      <c r="C42" s="31" t="n">
        <v>111</v>
      </c>
      <c r="D42" s="31" t="n">
        <v>124</v>
      </c>
      <c r="E42" s="31" t="n">
        <v>191</v>
      </c>
      <c r="F42" s="26" t="s">
        <v>519</v>
      </c>
      <c r="G42" s="26" t="s">
        <v>520</v>
      </c>
      <c r="H42" s="26" t="s">
        <v>393</v>
      </c>
    </row>
    <row r="43" customFormat="false" ht="15" hidden="false" customHeight="true" outlineLevel="0" collapsed="false">
      <c r="A43" s="42" t="s">
        <v>397</v>
      </c>
      <c r="B43" s="43" t="n">
        <v>83</v>
      </c>
      <c r="C43" s="43" t="n">
        <v>117</v>
      </c>
      <c r="D43" s="43" t="n">
        <v>131</v>
      </c>
      <c r="E43" s="43" t="n">
        <v>213</v>
      </c>
      <c r="F43" s="44" t="s">
        <v>521</v>
      </c>
      <c r="G43" s="44" t="s">
        <v>345</v>
      </c>
      <c r="H43" s="44" t="s">
        <v>522</v>
      </c>
    </row>
    <row r="44" customFormat="false" ht="15" hidden="false" customHeight="true" outlineLevel="0" collapsed="false">
      <c r="A44" s="45" t="s">
        <v>523</v>
      </c>
      <c r="B44" s="46" t="n">
        <v>684</v>
      </c>
      <c r="C44" s="46" t="n">
        <v>937</v>
      </c>
      <c r="D44" s="46" t="n">
        <v>1033</v>
      </c>
      <c r="E44" s="46" t="n">
        <v>1594</v>
      </c>
      <c r="F44" s="47" t="s">
        <v>215</v>
      </c>
      <c r="G44" s="47" t="s">
        <v>108</v>
      </c>
      <c r="H44" s="47" t="s">
        <v>358</v>
      </c>
    </row>
    <row r="46" customFormat="false" ht="12.75" hidden="false" customHeight="true" outlineLevel="0" collapsed="false">
      <c r="A46" s="27" t="s">
        <v>524</v>
      </c>
    </row>
  </sheetData>
  <mergeCells count="6">
    <mergeCell ref="A1:H1"/>
    <mergeCell ref="A3:H3"/>
    <mergeCell ref="A16:H16"/>
    <mergeCell ref="A27:H27"/>
    <mergeCell ref="A37:H37"/>
    <mergeCell ref="A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8" min="2" style="1" width="15"/>
  </cols>
  <sheetData>
    <row r="1" customFormat="false" ht="21.75" hidden="false" customHeight="true" outlineLevel="0" collapsed="false">
      <c r="A1" s="40" t="s">
        <v>525</v>
      </c>
      <c r="B1" s="40"/>
      <c r="C1" s="40"/>
      <c r="D1" s="40"/>
      <c r="E1" s="40"/>
      <c r="F1" s="40"/>
      <c r="G1" s="40"/>
      <c r="H1" s="40"/>
    </row>
    <row r="2" customFormat="false" ht="6" hidden="false" customHeight="true" outlineLevel="0" collapsed="false"/>
    <row r="3" customFormat="false" ht="21.75" hidden="false" customHeight="true" outlineLevel="0" collapsed="false">
      <c r="A3" s="40" t="s">
        <v>526</v>
      </c>
      <c r="B3" s="40"/>
      <c r="C3" s="40"/>
      <c r="D3" s="40"/>
      <c r="E3" s="40"/>
      <c r="F3" s="40"/>
      <c r="G3" s="40"/>
      <c r="H3" s="40"/>
    </row>
    <row r="4" customFormat="false" ht="15.75" hidden="false" customHeight="true" outlineLevel="0" collapsed="false">
      <c r="A4" s="41" t="s">
        <v>371</v>
      </c>
      <c r="B4" s="41" t="s">
        <v>131</v>
      </c>
      <c r="C4" s="41" t="s">
        <v>99</v>
      </c>
      <c r="D4" s="41" t="s">
        <v>307</v>
      </c>
      <c r="E4" s="41" t="s">
        <v>101</v>
      </c>
      <c r="F4" s="41" t="s">
        <v>308</v>
      </c>
      <c r="G4" s="41" t="s">
        <v>309</v>
      </c>
      <c r="H4" s="41" t="s">
        <v>310</v>
      </c>
    </row>
    <row r="5" customFormat="false" ht="15" hidden="false" customHeight="true" outlineLevel="0" collapsed="false">
      <c r="A5" s="42" t="s">
        <v>454</v>
      </c>
      <c r="B5" s="43" t="n">
        <v>1031</v>
      </c>
      <c r="C5" s="43" t="n">
        <v>1499</v>
      </c>
      <c r="D5" s="43" t="n">
        <v>1654</v>
      </c>
      <c r="E5" s="43" t="n">
        <v>2474</v>
      </c>
      <c r="F5" s="44" t="s">
        <v>527</v>
      </c>
      <c r="G5" s="44" t="s">
        <v>468</v>
      </c>
      <c r="H5" s="44" t="s">
        <v>528</v>
      </c>
    </row>
    <row r="6" customFormat="false" ht="15" hidden="false" customHeight="true" outlineLevel="0" collapsed="false">
      <c r="A6" s="11" t="s">
        <v>457</v>
      </c>
      <c r="B6" s="31" t="n">
        <v>213</v>
      </c>
      <c r="C6" s="31" t="n">
        <v>371</v>
      </c>
      <c r="D6" s="31" t="n">
        <v>413</v>
      </c>
      <c r="E6" s="31" t="n">
        <v>715</v>
      </c>
      <c r="F6" s="26" t="s">
        <v>331</v>
      </c>
      <c r="G6" s="26" t="s">
        <v>358</v>
      </c>
      <c r="H6" s="26" t="s">
        <v>112</v>
      </c>
    </row>
    <row r="7" customFormat="false" ht="15" hidden="false" customHeight="true" outlineLevel="0" collapsed="false">
      <c r="A7" s="42" t="s">
        <v>452</v>
      </c>
      <c r="B7" s="43" t="n">
        <v>115</v>
      </c>
      <c r="C7" s="43" t="n">
        <v>209</v>
      </c>
      <c r="D7" s="43" t="n">
        <v>232</v>
      </c>
      <c r="E7" s="43" t="n">
        <v>351</v>
      </c>
      <c r="F7" s="44" t="s">
        <v>522</v>
      </c>
      <c r="G7" s="44" t="s">
        <v>325</v>
      </c>
      <c r="H7" s="44" t="s">
        <v>518</v>
      </c>
    </row>
    <row r="8" customFormat="false" ht="15" hidden="false" customHeight="true" outlineLevel="0" collapsed="false">
      <c r="A8" s="11" t="s">
        <v>529</v>
      </c>
      <c r="B8" s="31" t="n">
        <v>114</v>
      </c>
      <c r="C8" s="31" t="n">
        <v>157</v>
      </c>
      <c r="D8" s="31" t="n">
        <v>176</v>
      </c>
      <c r="E8" s="31" t="n">
        <v>266</v>
      </c>
      <c r="F8" s="26" t="s">
        <v>108</v>
      </c>
      <c r="G8" s="26" t="s">
        <v>352</v>
      </c>
      <c r="H8" s="26" t="s">
        <v>400</v>
      </c>
    </row>
    <row r="9" customFormat="false" ht="15" hidden="false" customHeight="true" outlineLevel="0" collapsed="false">
      <c r="A9" s="56" t="s">
        <v>463</v>
      </c>
      <c r="B9" s="57" t="n">
        <v>48</v>
      </c>
      <c r="C9" s="57" t="n">
        <v>109</v>
      </c>
      <c r="D9" s="57" t="n">
        <v>126</v>
      </c>
      <c r="E9" s="57" t="n">
        <v>253</v>
      </c>
      <c r="F9" s="55" t="s">
        <v>530</v>
      </c>
      <c r="G9" s="55" t="s">
        <v>531</v>
      </c>
      <c r="H9" s="55" t="s">
        <v>532</v>
      </c>
    </row>
    <row r="10" customFormat="false" ht="15" hidden="false" customHeight="true" outlineLevel="0" collapsed="false">
      <c r="A10" s="11" t="s">
        <v>461</v>
      </c>
      <c r="B10" s="31" t="n">
        <v>117</v>
      </c>
      <c r="C10" s="31" t="n">
        <v>144</v>
      </c>
      <c r="D10" s="31" t="n">
        <v>157</v>
      </c>
      <c r="E10" s="31" t="n">
        <v>212</v>
      </c>
      <c r="F10" s="26" t="s">
        <v>462</v>
      </c>
      <c r="G10" s="26" t="s">
        <v>533</v>
      </c>
      <c r="H10" s="26" t="s">
        <v>341</v>
      </c>
    </row>
    <row r="11" customFormat="false" ht="15" hidden="false" customHeight="true" outlineLevel="0" collapsed="false">
      <c r="A11" s="42" t="s">
        <v>467</v>
      </c>
      <c r="B11" s="43" t="n">
        <v>16</v>
      </c>
      <c r="C11" s="43" t="n">
        <v>24</v>
      </c>
      <c r="D11" s="43" t="n">
        <v>27</v>
      </c>
      <c r="E11" s="43" t="n">
        <v>41</v>
      </c>
      <c r="F11" s="44" t="s">
        <v>424</v>
      </c>
      <c r="G11" s="44" t="s">
        <v>358</v>
      </c>
      <c r="H11" s="44" t="s">
        <v>534</v>
      </c>
    </row>
    <row r="12" customFormat="false" ht="15" hidden="false" customHeight="true" outlineLevel="0" collapsed="false">
      <c r="A12" s="45" t="s">
        <v>535</v>
      </c>
      <c r="B12" s="46" t="n">
        <v>1654</v>
      </c>
      <c r="C12" s="46" t="n">
        <v>2513</v>
      </c>
      <c r="D12" s="46" t="n">
        <v>2784</v>
      </c>
      <c r="E12" s="46" t="n">
        <v>4312</v>
      </c>
      <c r="F12" s="47" t="s">
        <v>106</v>
      </c>
      <c r="G12" s="47" t="s">
        <v>325</v>
      </c>
      <c r="H12" s="47" t="s">
        <v>393</v>
      </c>
    </row>
    <row r="14" customFormat="false" ht="12.75" hidden="false" customHeight="true" outlineLevel="0" collapsed="false">
      <c r="A14" s="27" t="s">
        <v>536</v>
      </c>
    </row>
    <row r="15" customFormat="false" ht="6" hidden="false" customHeight="true" outlineLevel="0" collapsed="false"/>
    <row r="16" customFormat="false" ht="21.75" hidden="false" customHeight="true" outlineLevel="0" collapsed="false">
      <c r="A16" s="40" t="s">
        <v>537</v>
      </c>
      <c r="B16" s="40"/>
      <c r="C16" s="40"/>
      <c r="D16" s="40"/>
      <c r="E16" s="40"/>
      <c r="F16" s="40"/>
      <c r="G16" s="40"/>
      <c r="H16" s="40"/>
    </row>
    <row r="17" customFormat="false" ht="15.75" hidden="false" customHeight="true" outlineLevel="0" collapsed="false">
      <c r="A17" s="41" t="s">
        <v>538</v>
      </c>
      <c r="B17" s="41" t="s">
        <v>131</v>
      </c>
      <c r="C17" s="41" t="s">
        <v>99</v>
      </c>
      <c r="D17" s="41" t="s">
        <v>307</v>
      </c>
      <c r="E17" s="41" t="s">
        <v>101</v>
      </c>
      <c r="F17" s="41" t="s">
        <v>407</v>
      </c>
    </row>
    <row r="18" customFormat="false" ht="15" hidden="false" customHeight="true" outlineLevel="0" collapsed="false">
      <c r="A18" s="42" t="s">
        <v>311</v>
      </c>
      <c r="B18" s="44" t="s">
        <v>539</v>
      </c>
      <c r="C18" s="44" t="s">
        <v>540</v>
      </c>
      <c r="D18" s="44" t="s">
        <v>541</v>
      </c>
      <c r="E18" s="44" t="s">
        <v>411</v>
      </c>
      <c r="F18" s="44" t="s">
        <v>239</v>
      </c>
    </row>
    <row r="19" customFormat="false" ht="15" hidden="false" customHeight="true" outlineLevel="0" collapsed="false">
      <c r="A19" s="11" t="s">
        <v>313</v>
      </c>
      <c r="B19" s="26" t="s">
        <v>421</v>
      </c>
      <c r="C19" s="26" t="s">
        <v>542</v>
      </c>
      <c r="D19" s="26" t="s">
        <v>439</v>
      </c>
      <c r="E19" s="26" t="s">
        <v>543</v>
      </c>
      <c r="F19" s="26" t="s">
        <v>419</v>
      </c>
    </row>
    <row r="20" customFormat="false" ht="15" hidden="false" customHeight="true" outlineLevel="0" collapsed="false">
      <c r="A20" s="42" t="s">
        <v>316</v>
      </c>
      <c r="B20" s="44" t="s">
        <v>534</v>
      </c>
      <c r="C20" s="44" t="s">
        <v>544</v>
      </c>
      <c r="D20" s="44" t="s">
        <v>545</v>
      </c>
      <c r="E20" s="44" t="s">
        <v>546</v>
      </c>
      <c r="F20" s="44" t="s">
        <v>547</v>
      </c>
    </row>
    <row r="21" customFormat="false" ht="15" hidden="false" customHeight="true" outlineLevel="0" collapsed="false">
      <c r="A21" s="45" t="s">
        <v>548</v>
      </c>
      <c r="B21" s="47" t="s">
        <v>415</v>
      </c>
      <c r="C21" s="47" t="s">
        <v>416</v>
      </c>
      <c r="D21" s="47" t="s">
        <v>417</v>
      </c>
      <c r="E21" s="47" t="s">
        <v>418</v>
      </c>
      <c r="F21" s="47" t="s">
        <v>419</v>
      </c>
    </row>
    <row r="23" customFormat="false" ht="12.75" hidden="false" customHeight="true" outlineLevel="0" collapsed="false">
      <c r="A23" s="27" t="s">
        <v>270</v>
      </c>
    </row>
    <row r="24" customFormat="false" ht="6" hidden="false" customHeight="true" outlineLevel="0" collapsed="false"/>
    <row r="25" customFormat="false" ht="21.75" hidden="false" customHeight="true" outlineLevel="0" collapsed="false">
      <c r="A25" s="40" t="s">
        <v>549</v>
      </c>
      <c r="B25" s="40"/>
      <c r="C25" s="40"/>
      <c r="D25" s="40"/>
      <c r="E25" s="40"/>
      <c r="F25" s="40"/>
      <c r="G25" s="40"/>
      <c r="H25" s="40"/>
    </row>
    <row r="26" customFormat="false" ht="15.75" hidden="false" customHeight="true" outlineLevel="0" collapsed="false">
      <c r="A26" s="41" t="s">
        <v>371</v>
      </c>
      <c r="B26" s="41" t="s">
        <v>131</v>
      </c>
      <c r="C26" s="41" t="s">
        <v>99</v>
      </c>
      <c r="D26" s="41" t="s">
        <v>307</v>
      </c>
      <c r="E26" s="41" t="s">
        <v>101</v>
      </c>
      <c r="F26" s="41" t="s">
        <v>308</v>
      </c>
      <c r="G26" s="41" t="s">
        <v>309</v>
      </c>
      <c r="H26" s="41" t="s">
        <v>310</v>
      </c>
    </row>
    <row r="27" customFormat="false" ht="15" hidden="false" customHeight="true" outlineLevel="0" collapsed="false">
      <c r="A27" s="42" t="s">
        <v>454</v>
      </c>
      <c r="B27" s="43" t="n">
        <v>602</v>
      </c>
      <c r="C27" s="43" t="n">
        <v>989</v>
      </c>
      <c r="D27" s="43" t="n">
        <v>1102</v>
      </c>
      <c r="E27" s="43" t="n">
        <v>1756</v>
      </c>
      <c r="F27" s="44" t="s">
        <v>468</v>
      </c>
      <c r="G27" s="44" t="s">
        <v>393</v>
      </c>
      <c r="H27" s="44" t="s">
        <v>352</v>
      </c>
    </row>
    <row r="28" customFormat="false" ht="15" hidden="false" customHeight="true" outlineLevel="0" collapsed="false">
      <c r="A28" s="11" t="s">
        <v>529</v>
      </c>
      <c r="B28" s="31" t="n">
        <v>115</v>
      </c>
      <c r="C28" s="31" t="n">
        <v>164</v>
      </c>
      <c r="D28" s="31" t="n">
        <v>183</v>
      </c>
      <c r="E28" s="31" t="n">
        <v>300</v>
      </c>
      <c r="F28" s="26" t="s">
        <v>348</v>
      </c>
      <c r="G28" s="26" t="s">
        <v>396</v>
      </c>
      <c r="H28" s="26" t="s">
        <v>550</v>
      </c>
    </row>
    <row r="29" customFormat="false" ht="15" hidden="false" customHeight="true" outlineLevel="0" collapsed="false">
      <c r="A29" s="42" t="s">
        <v>452</v>
      </c>
      <c r="B29" s="43" t="n">
        <v>73</v>
      </c>
      <c r="C29" s="43" t="n">
        <v>112</v>
      </c>
      <c r="D29" s="43" t="n">
        <v>125</v>
      </c>
      <c r="E29" s="43" t="n">
        <v>190</v>
      </c>
      <c r="F29" s="44" t="s">
        <v>330</v>
      </c>
      <c r="G29" s="44" t="s">
        <v>534</v>
      </c>
      <c r="H29" s="44" t="s">
        <v>534</v>
      </c>
    </row>
    <row r="30" customFormat="false" ht="15" hidden="false" customHeight="true" outlineLevel="0" collapsed="false">
      <c r="A30" s="11" t="s">
        <v>461</v>
      </c>
      <c r="B30" s="31" t="n">
        <v>64</v>
      </c>
      <c r="C30" s="31" t="n">
        <v>84</v>
      </c>
      <c r="D30" s="31" t="n">
        <v>92</v>
      </c>
      <c r="E30" s="31" t="n">
        <v>133</v>
      </c>
      <c r="F30" s="26" t="s">
        <v>551</v>
      </c>
      <c r="G30" s="26" t="s">
        <v>105</v>
      </c>
      <c r="H30" s="26" t="s">
        <v>552</v>
      </c>
    </row>
    <row r="31" customFormat="false" ht="15" hidden="false" customHeight="true" outlineLevel="0" collapsed="false">
      <c r="A31" s="42" t="s">
        <v>457</v>
      </c>
      <c r="B31" s="43" t="n">
        <v>15</v>
      </c>
      <c r="C31" s="43" t="n">
        <v>23</v>
      </c>
      <c r="D31" s="43" t="n">
        <v>25</v>
      </c>
      <c r="E31" s="43" t="n">
        <v>51</v>
      </c>
      <c r="F31" s="44" t="s">
        <v>117</v>
      </c>
      <c r="G31" s="44" t="s">
        <v>393</v>
      </c>
      <c r="H31" s="44" t="s">
        <v>553</v>
      </c>
    </row>
    <row r="32" customFormat="false" ht="15" hidden="false" customHeight="true" outlineLevel="0" collapsed="false">
      <c r="A32" s="11" t="s">
        <v>467</v>
      </c>
      <c r="B32" s="31" t="n">
        <v>23</v>
      </c>
      <c r="C32" s="31" t="n">
        <v>29</v>
      </c>
      <c r="D32" s="31" t="n">
        <v>32</v>
      </c>
      <c r="E32" s="31" t="n">
        <v>45</v>
      </c>
      <c r="F32" s="26" t="s">
        <v>354</v>
      </c>
      <c r="G32" s="26" t="s">
        <v>358</v>
      </c>
      <c r="H32" s="26" t="s">
        <v>321</v>
      </c>
    </row>
    <row r="33" customFormat="false" ht="15" hidden="false" customHeight="true" outlineLevel="0" collapsed="false">
      <c r="A33" s="45" t="s">
        <v>554</v>
      </c>
      <c r="B33" s="46" t="n">
        <v>892</v>
      </c>
      <c r="C33" s="46" t="n">
        <v>1401</v>
      </c>
      <c r="D33" s="46" t="n">
        <v>1560</v>
      </c>
      <c r="E33" s="46" t="n">
        <v>2474</v>
      </c>
      <c r="F33" s="47" t="s">
        <v>322</v>
      </c>
      <c r="G33" s="47" t="s">
        <v>398</v>
      </c>
      <c r="H33" s="47" t="s">
        <v>113</v>
      </c>
    </row>
    <row r="35" customFormat="false" ht="12.75" hidden="false" customHeight="true" outlineLevel="0" collapsed="false">
      <c r="A35" s="27" t="s">
        <v>555</v>
      </c>
    </row>
  </sheetData>
  <mergeCells count="4">
    <mergeCell ref="A1:H1"/>
    <mergeCell ref="A3:H3"/>
    <mergeCell ref="A16:H16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8" min="2" style="1" width="16"/>
  </cols>
  <sheetData>
    <row r="1" customFormat="false" ht="21.75" hidden="false" customHeight="true" outlineLevel="0" collapsed="false">
      <c r="A1" s="40" t="s">
        <v>556</v>
      </c>
      <c r="B1" s="40"/>
      <c r="C1" s="40"/>
      <c r="D1" s="40"/>
      <c r="E1" s="40"/>
      <c r="F1" s="40"/>
      <c r="G1" s="40"/>
      <c r="H1" s="40"/>
    </row>
    <row r="2" customFormat="false" ht="6" hidden="false" customHeight="true" outlineLevel="0" collapsed="false"/>
    <row r="3" customFormat="false" ht="21.75" hidden="false" customHeight="true" outlineLevel="0" collapsed="false">
      <c r="A3" s="40" t="s">
        <v>557</v>
      </c>
      <c r="B3" s="40"/>
      <c r="C3" s="40"/>
      <c r="D3" s="40"/>
      <c r="E3" s="40"/>
      <c r="F3" s="40"/>
      <c r="G3" s="40"/>
      <c r="H3" s="40"/>
    </row>
    <row r="4" customFormat="false" ht="15.75" hidden="false" customHeight="true" outlineLevel="0" collapsed="false">
      <c r="A4" s="41" t="s">
        <v>306</v>
      </c>
      <c r="B4" s="41" t="s">
        <v>131</v>
      </c>
      <c r="C4" s="41" t="s">
        <v>99</v>
      </c>
      <c r="D4" s="41" t="s">
        <v>101</v>
      </c>
      <c r="E4" s="41" t="s">
        <v>428</v>
      </c>
      <c r="F4" s="41" t="s">
        <v>429</v>
      </c>
      <c r="G4" s="41" t="s">
        <v>431</v>
      </c>
      <c r="H4" s="41" t="s">
        <v>310</v>
      </c>
    </row>
    <row r="5" customFormat="false" ht="15" hidden="false" customHeight="true" outlineLevel="0" collapsed="false">
      <c r="A5" s="42" t="s">
        <v>6</v>
      </c>
      <c r="B5" s="43" t="n">
        <v>2291</v>
      </c>
      <c r="C5" s="43" t="n">
        <v>3541</v>
      </c>
      <c r="D5" s="43" t="n">
        <v>5732</v>
      </c>
      <c r="E5" s="44" t="s">
        <v>558</v>
      </c>
      <c r="F5" s="44" t="s">
        <v>559</v>
      </c>
      <c r="G5" s="44" t="s">
        <v>560</v>
      </c>
      <c r="H5" s="44" t="s">
        <v>561</v>
      </c>
    </row>
    <row r="6" customFormat="false" ht="15" hidden="false" customHeight="true" outlineLevel="0" collapsed="false">
      <c r="A6" s="11" t="s">
        <v>562</v>
      </c>
      <c r="B6" s="31" t="n">
        <v>1129</v>
      </c>
      <c r="C6" s="31" t="n">
        <v>1677</v>
      </c>
      <c r="D6" s="31" t="n">
        <v>2974</v>
      </c>
      <c r="E6" s="26" t="s">
        <v>563</v>
      </c>
      <c r="F6" s="26" t="s">
        <v>564</v>
      </c>
      <c r="G6" s="26" t="s">
        <v>565</v>
      </c>
      <c r="H6" s="26" t="s">
        <v>455</v>
      </c>
    </row>
    <row r="7" customFormat="false" ht="15" hidden="false" customHeight="true" outlineLevel="0" collapsed="false">
      <c r="A7" s="42" t="s">
        <v>566</v>
      </c>
      <c r="B7" s="43" t="n">
        <v>604</v>
      </c>
      <c r="C7" s="43" t="n">
        <v>994</v>
      </c>
      <c r="D7" s="43" t="n">
        <v>2109</v>
      </c>
      <c r="E7" s="44" t="s">
        <v>567</v>
      </c>
      <c r="F7" s="44" t="s">
        <v>531</v>
      </c>
      <c r="G7" s="44" t="s">
        <v>568</v>
      </c>
      <c r="H7" s="33" t="s">
        <v>456</v>
      </c>
    </row>
    <row r="8" customFormat="false" ht="15" hidden="false" customHeight="true" outlineLevel="0" collapsed="false">
      <c r="A8" s="45" t="s">
        <v>569</v>
      </c>
      <c r="B8" s="46" t="n">
        <v>4024</v>
      </c>
      <c r="C8" s="46" t="n">
        <v>6212</v>
      </c>
      <c r="D8" s="46" t="n">
        <v>10815</v>
      </c>
      <c r="E8" s="47" t="s">
        <v>215</v>
      </c>
      <c r="F8" s="47" t="s">
        <v>215</v>
      </c>
      <c r="G8" s="47" t="s">
        <v>215</v>
      </c>
      <c r="H8" s="47" t="s">
        <v>331</v>
      </c>
    </row>
    <row r="10" customFormat="false" ht="12.75" hidden="false" customHeight="true" outlineLevel="0" collapsed="false">
      <c r="A10" s="27" t="s">
        <v>570</v>
      </c>
    </row>
    <row r="11" customFormat="false" ht="6" hidden="false" customHeight="true" outlineLevel="0" collapsed="false"/>
    <row r="12" customFormat="false" ht="21.75" hidden="false" customHeight="true" outlineLevel="0" collapsed="false">
      <c r="A12" s="40" t="s">
        <v>571</v>
      </c>
      <c r="B12" s="40"/>
      <c r="C12" s="40"/>
      <c r="D12" s="40"/>
      <c r="E12" s="40"/>
      <c r="F12" s="40"/>
      <c r="G12" s="40"/>
      <c r="H12" s="40"/>
    </row>
    <row r="13" customFormat="false" ht="15.75" hidden="false" customHeight="true" outlineLevel="0" collapsed="false">
      <c r="A13" s="41" t="s">
        <v>371</v>
      </c>
      <c r="B13" s="41" t="s">
        <v>131</v>
      </c>
      <c r="C13" s="41" t="s">
        <v>99</v>
      </c>
      <c r="D13" s="41" t="s">
        <v>307</v>
      </c>
      <c r="E13" s="41" t="s">
        <v>101</v>
      </c>
      <c r="F13" s="41" t="s">
        <v>308</v>
      </c>
      <c r="G13" s="41" t="s">
        <v>309</v>
      </c>
      <c r="H13" s="41" t="s">
        <v>310</v>
      </c>
    </row>
    <row r="14" customFormat="false" ht="15" hidden="false" customHeight="true" outlineLevel="0" collapsed="false">
      <c r="A14" s="42" t="s">
        <v>572</v>
      </c>
      <c r="B14" s="43" t="n">
        <v>1746</v>
      </c>
      <c r="C14" s="43" t="n">
        <v>2688</v>
      </c>
      <c r="D14" s="43" t="n">
        <v>2988</v>
      </c>
      <c r="E14" s="43" t="n">
        <v>4654</v>
      </c>
      <c r="F14" s="44" t="s">
        <v>330</v>
      </c>
      <c r="G14" s="44" t="s">
        <v>358</v>
      </c>
      <c r="H14" s="44" t="s">
        <v>573</v>
      </c>
    </row>
    <row r="15" customFormat="false" ht="15" hidden="false" customHeight="true" outlineLevel="0" collapsed="false">
      <c r="A15" s="11" t="s">
        <v>574</v>
      </c>
      <c r="B15" s="31" t="n">
        <v>1281</v>
      </c>
      <c r="C15" s="31" t="n">
        <v>1824</v>
      </c>
      <c r="D15" s="31" t="n">
        <v>2017</v>
      </c>
      <c r="E15" s="31" t="n">
        <v>3106</v>
      </c>
      <c r="F15" s="26" t="s">
        <v>348</v>
      </c>
      <c r="G15" s="26" t="s">
        <v>136</v>
      </c>
      <c r="H15" s="26" t="s">
        <v>358</v>
      </c>
    </row>
    <row r="16" customFormat="false" ht="15" hidden="false" customHeight="true" outlineLevel="0" collapsed="false">
      <c r="A16" s="42" t="s">
        <v>452</v>
      </c>
      <c r="B16" s="43" t="n">
        <v>403</v>
      </c>
      <c r="C16" s="43" t="n">
        <v>750</v>
      </c>
      <c r="D16" s="43" t="n">
        <v>830</v>
      </c>
      <c r="E16" s="43" t="n">
        <v>1296</v>
      </c>
      <c r="F16" s="44" t="s">
        <v>575</v>
      </c>
      <c r="G16" s="44" t="s">
        <v>479</v>
      </c>
      <c r="H16" s="44" t="s">
        <v>576</v>
      </c>
    </row>
    <row r="17" customFormat="false" ht="15" hidden="false" customHeight="true" outlineLevel="0" collapsed="false">
      <c r="A17" s="11" t="s">
        <v>457</v>
      </c>
      <c r="B17" s="31" t="n">
        <v>258</v>
      </c>
      <c r="C17" s="31" t="n">
        <v>456</v>
      </c>
      <c r="D17" s="31" t="n">
        <v>516</v>
      </c>
      <c r="E17" s="31" t="n">
        <v>888</v>
      </c>
      <c r="F17" s="26" t="s">
        <v>113</v>
      </c>
      <c r="G17" s="26" t="s">
        <v>577</v>
      </c>
      <c r="H17" s="26" t="s">
        <v>578</v>
      </c>
    </row>
    <row r="18" customFormat="false" ht="15" hidden="false" customHeight="true" outlineLevel="0" collapsed="false">
      <c r="A18" s="42" t="s">
        <v>461</v>
      </c>
      <c r="B18" s="43" t="n">
        <v>226</v>
      </c>
      <c r="C18" s="43" t="n">
        <v>284</v>
      </c>
      <c r="D18" s="43" t="n">
        <v>311</v>
      </c>
      <c r="E18" s="43" t="n">
        <v>437</v>
      </c>
      <c r="F18" s="44" t="s">
        <v>365</v>
      </c>
      <c r="G18" s="44" t="s">
        <v>579</v>
      </c>
      <c r="H18" s="44" t="s">
        <v>330</v>
      </c>
    </row>
    <row r="19" customFormat="false" ht="15" hidden="false" customHeight="true" outlineLevel="0" collapsed="false">
      <c r="A19" s="11" t="s">
        <v>463</v>
      </c>
      <c r="B19" s="31" t="n">
        <v>56</v>
      </c>
      <c r="C19" s="31" t="n">
        <v>139</v>
      </c>
      <c r="D19" s="31" t="n">
        <v>163</v>
      </c>
      <c r="E19" s="31" t="n">
        <v>321</v>
      </c>
      <c r="F19" s="55" t="s">
        <v>580</v>
      </c>
      <c r="G19" s="55" t="s">
        <v>545</v>
      </c>
      <c r="H19" s="55" t="s">
        <v>581</v>
      </c>
    </row>
    <row r="20" customFormat="false" ht="15" hidden="false" customHeight="true" outlineLevel="0" collapsed="false">
      <c r="A20" s="42" t="s">
        <v>364</v>
      </c>
      <c r="B20" s="43" t="n">
        <v>54</v>
      </c>
      <c r="C20" s="43" t="n">
        <v>70</v>
      </c>
      <c r="D20" s="43" t="n">
        <v>78</v>
      </c>
      <c r="E20" s="43" t="n">
        <v>114</v>
      </c>
      <c r="F20" s="44" t="s">
        <v>582</v>
      </c>
      <c r="G20" s="44" t="s">
        <v>358</v>
      </c>
      <c r="H20" s="44" t="s">
        <v>561</v>
      </c>
    </row>
    <row r="21" customFormat="false" ht="15" hidden="false" customHeight="true" outlineLevel="0" collapsed="false">
      <c r="A21" s="45" t="s">
        <v>569</v>
      </c>
      <c r="B21" s="46" t="n">
        <v>4018</v>
      </c>
      <c r="C21" s="46" t="n">
        <v>6185</v>
      </c>
      <c r="D21" s="46" t="n">
        <v>6866</v>
      </c>
      <c r="E21" s="46" t="n">
        <v>10803</v>
      </c>
      <c r="F21" s="47" t="s">
        <v>330</v>
      </c>
      <c r="G21" s="47" t="s">
        <v>534</v>
      </c>
      <c r="H21" s="47" t="s">
        <v>361</v>
      </c>
    </row>
    <row r="23" customFormat="false" ht="12.75" hidden="false" customHeight="true" outlineLevel="0" collapsed="false">
      <c r="A23" s="27" t="s">
        <v>583</v>
      </c>
    </row>
  </sheetData>
  <mergeCells count="3">
    <mergeCell ref="A1:H1"/>
    <mergeCell ref="A3:H3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6"/>
  </cols>
  <sheetData>
    <row r="1" customFormat="false" ht="21.75" hidden="false" customHeight="true" outlineLevel="0" collapsed="false">
      <c r="A1" s="58" t="s">
        <v>584</v>
      </c>
      <c r="B1" s="58"/>
      <c r="C1" s="58"/>
      <c r="D1" s="58"/>
      <c r="E1" s="58"/>
      <c r="F1" s="58"/>
      <c r="G1" s="58"/>
      <c r="H1" s="58"/>
    </row>
    <row r="2" customFormat="false" ht="6" hidden="false" customHeight="true" outlineLevel="0" collapsed="false"/>
    <row r="3" customFormat="false" ht="21.75" hidden="false" customHeight="true" outlineLevel="0" collapsed="false">
      <c r="A3" s="58" t="s">
        <v>585</v>
      </c>
      <c r="B3" s="58"/>
      <c r="C3" s="58"/>
      <c r="D3" s="58"/>
      <c r="E3" s="58"/>
      <c r="F3" s="58"/>
      <c r="G3" s="58"/>
      <c r="H3" s="58"/>
    </row>
    <row r="4" customFormat="false" ht="15.75" hidden="false" customHeight="true" outlineLevel="0" collapsed="false">
      <c r="A4" s="59" t="s">
        <v>538</v>
      </c>
      <c r="B4" s="59" t="s">
        <v>131</v>
      </c>
      <c r="C4" s="59" t="s">
        <v>99</v>
      </c>
      <c r="D4" s="59" t="s">
        <v>307</v>
      </c>
      <c r="E4" s="59" t="s">
        <v>101</v>
      </c>
      <c r="F4" s="59" t="s">
        <v>308</v>
      </c>
      <c r="G4" s="59" t="s">
        <v>309</v>
      </c>
      <c r="H4" s="59" t="s">
        <v>310</v>
      </c>
    </row>
    <row r="5" customFormat="false" ht="15" hidden="false" customHeight="true" outlineLevel="0" collapsed="false">
      <c r="A5" s="60" t="s">
        <v>311</v>
      </c>
      <c r="B5" s="61" t="n">
        <v>686</v>
      </c>
      <c r="C5" s="61" t="n">
        <v>838</v>
      </c>
      <c r="D5" s="61" t="n">
        <v>898</v>
      </c>
      <c r="E5" s="61" t="n">
        <v>1200</v>
      </c>
      <c r="F5" s="62" t="s">
        <v>328</v>
      </c>
      <c r="G5" s="62" t="s">
        <v>345</v>
      </c>
      <c r="H5" s="62" t="s">
        <v>312</v>
      </c>
    </row>
    <row r="6" customFormat="false" ht="15" hidden="false" customHeight="true" outlineLevel="0" collapsed="false">
      <c r="A6" s="11" t="s">
        <v>586</v>
      </c>
      <c r="B6" s="31" t="n">
        <v>406</v>
      </c>
      <c r="C6" s="31" t="n">
        <v>884</v>
      </c>
      <c r="D6" s="31" t="n">
        <v>1020</v>
      </c>
      <c r="E6" s="31" t="n">
        <v>1850</v>
      </c>
      <c r="F6" s="26" t="s">
        <v>587</v>
      </c>
      <c r="G6" s="26" t="s">
        <v>588</v>
      </c>
      <c r="H6" s="26" t="s">
        <v>414</v>
      </c>
    </row>
    <row r="7" customFormat="false" ht="15" hidden="false" customHeight="true" outlineLevel="0" collapsed="false">
      <c r="A7" s="60" t="s">
        <v>589</v>
      </c>
      <c r="B7" s="61" t="n">
        <v>282</v>
      </c>
      <c r="C7" s="61" t="n">
        <v>588</v>
      </c>
      <c r="D7" s="61" t="n">
        <v>673</v>
      </c>
      <c r="E7" s="61" t="n">
        <v>1184</v>
      </c>
      <c r="F7" s="62" t="s">
        <v>590</v>
      </c>
      <c r="G7" s="62" t="s">
        <v>460</v>
      </c>
      <c r="H7" s="62" t="s">
        <v>567</v>
      </c>
    </row>
    <row r="8" customFormat="false" ht="15" hidden="false" customHeight="true" outlineLevel="0" collapsed="false">
      <c r="A8" s="11" t="s">
        <v>591</v>
      </c>
      <c r="B8" s="31" t="n">
        <v>124</v>
      </c>
      <c r="C8" s="31" t="n">
        <v>296</v>
      </c>
      <c r="D8" s="31" t="n">
        <v>347</v>
      </c>
      <c r="E8" s="31" t="n">
        <v>666</v>
      </c>
      <c r="F8" s="26" t="s">
        <v>592</v>
      </c>
      <c r="G8" s="26" t="s">
        <v>545</v>
      </c>
      <c r="H8" s="26" t="s">
        <v>553</v>
      </c>
    </row>
    <row r="9" customFormat="false" ht="15" hidden="false" customHeight="true" outlineLevel="0" collapsed="false">
      <c r="A9" s="63" t="s">
        <v>593</v>
      </c>
      <c r="B9" s="64" t="n">
        <v>1091</v>
      </c>
      <c r="C9" s="64" t="n">
        <v>1723</v>
      </c>
      <c r="D9" s="64" t="n">
        <v>1918</v>
      </c>
      <c r="E9" s="64" t="n">
        <v>3050</v>
      </c>
      <c r="F9" s="65" t="s">
        <v>552</v>
      </c>
      <c r="G9" s="65" t="s">
        <v>398</v>
      </c>
      <c r="H9" s="65" t="s">
        <v>455</v>
      </c>
    </row>
    <row r="10" customFormat="false" ht="15" hidden="false" customHeight="true" outlineLevel="0" collapsed="false">
      <c r="A10" s="66" t="s">
        <v>324</v>
      </c>
      <c r="B10" s="54" t="s">
        <v>594</v>
      </c>
      <c r="C10" s="54" t="s">
        <v>595</v>
      </c>
      <c r="D10" s="54" t="s">
        <v>596</v>
      </c>
      <c r="E10" s="54" t="s">
        <v>597</v>
      </c>
      <c r="F10" s="54" t="s">
        <v>239</v>
      </c>
      <c r="G10" s="54" t="s">
        <v>239</v>
      </c>
      <c r="H10" s="54" t="s">
        <v>239</v>
      </c>
    </row>
    <row r="12" customFormat="false" ht="12.75" hidden="false" customHeight="true" outlineLevel="0" collapsed="false">
      <c r="A12" s="27" t="s">
        <v>598</v>
      </c>
    </row>
    <row r="13" customFormat="false" ht="6" hidden="false" customHeight="true" outlineLevel="0" collapsed="false"/>
    <row r="14" customFormat="false" ht="21.75" hidden="false" customHeight="true" outlineLevel="0" collapsed="false">
      <c r="A14" s="58" t="s">
        <v>599</v>
      </c>
      <c r="B14" s="58"/>
      <c r="C14" s="58"/>
      <c r="D14" s="58"/>
      <c r="E14" s="58"/>
      <c r="F14" s="58"/>
      <c r="G14" s="58"/>
      <c r="H14" s="58"/>
    </row>
    <row r="15" customFormat="false" ht="15.75" hidden="false" customHeight="true" outlineLevel="0" collapsed="false">
      <c r="A15" s="59" t="s">
        <v>306</v>
      </c>
      <c r="B15" s="59" t="s">
        <v>131</v>
      </c>
      <c r="C15" s="59" t="s">
        <v>99</v>
      </c>
      <c r="D15" s="59" t="s">
        <v>307</v>
      </c>
      <c r="E15" s="59" t="s">
        <v>101</v>
      </c>
      <c r="F15" s="59" t="s">
        <v>334</v>
      </c>
      <c r="G15" s="59" t="s">
        <v>308</v>
      </c>
      <c r="H15" s="59" t="s">
        <v>310</v>
      </c>
    </row>
    <row r="16" customFormat="false" ht="15" hidden="false" customHeight="true" outlineLevel="0" collapsed="false">
      <c r="A16" s="60" t="s">
        <v>394</v>
      </c>
      <c r="B16" s="61" t="n">
        <v>417</v>
      </c>
      <c r="C16" s="61" t="n">
        <v>687</v>
      </c>
      <c r="D16" s="61" t="n">
        <v>769</v>
      </c>
      <c r="E16" s="61" t="n">
        <v>1265</v>
      </c>
      <c r="F16" s="62" t="s">
        <v>600</v>
      </c>
      <c r="G16" s="62" t="s">
        <v>528</v>
      </c>
      <c r="H16" s="62" t="s">
        <v>138</v>
      </c>
    </row>
    <row r="17" customFormat="false" ht="15" hidden="false" customHeight="true" outlineLevel="0" collapsed="false">
      <c r="A17" s="11" t="s">
        <v>392</v>
      </c>
      <c r="B17" s="31" t="n">
        <v>441</v>
      </c>
      <c r="C17" s="31" t="n">
        <v>663</v>
      </c>
      <c r="D17" s="31" t="n">
        <v>729</v>
      </c>
      <c r="E17" s="31" t="n">
        <v>1127</v>
      </c>
      <c r="F17" s="26" t="s">
        <v>601</v>
      </c>
      <c r="G17" s="26" t="s">
        <v>176</v>
      </c>
      <c r="H17" s="26" t="s">
        <v>358</v>
      </c>
    </row>
    <row r="18" customFormat="false" ht="15" hidden="false" customHeight="true" outlineLevel="0" collapsed="false">
      <c r="A18" s="60" t="s">
        <v>602</v>
      </c>
      <c r="B18" s="61" t="n">
        <v>234</v>
      </c>
      <c r="C18" s="61" t="n">
        <v>373</v>
      </c>
      <c r="D18" s="61" t="n">
        <v>419</v>
      </c>
      <c r="E18" s="61" t="n">
        <v>657</v>
      </c>
      <c r="F18" s="62" t="s">
        <v>603</v>
      </c>
      <c r="G18" s="62" t="s">
        <v>323</v>
      </c>
      <c r="H18" s="62" t="s">
        <v>113</v>
      </c>
    </row>
    <row r="19" customFormat="false" ht="15" hidden="false" customHeight="true" outlineLevel="0" collapsed="false">
      <c r="A19" s="63" t="s">
        <v>569</v>
      </c>
      <c r="B19" s="64" t="n">
        <v>1091</v>
      </c>
      <c r="C19" s="64" t="n">
        <v>1723</v>
      </c>
      <c r="D19" s="64" t="n">
        <v>1918</v>
      </c>
      <c r="E19" s="64" t="n">
        <v>3050</v>
      </c>
      <c r="F19" s="65" t="s">
        <v>215</v>
      </c>
      <c r="G19" s="65" t="s">
        <v>552</v>
      </c>
      <c r="H19" s="65" t="s">
        <v>455</v>
      </c>
    </row>
    <row r="21" customFormat="false" ht="12.75" hidden="false" customHeight="true" outlineLevel="0" collapsed="false">
      <c r="A21" s="27" t="s">
        <v>604</v>
      </c>
    </row>
    <row r="22" customFormat="false" ht="6" hidden="false" customHeight="true" outlineLevel="0" collapsed="false"/>
    <row r="23" customFormat="false" ht="21.75" hidden="false" customHeight="true" outlineLevel="0" collapsed="false">
      <c r="A23" s="58" t="s">
        <v>605</v>
      </c>
      <c r="B23" s="58"/>
      <c r="C23" s="58"/>
      <c r="D23" s="58"/>
      <c r="E23" s="58"/>
      <c r="F23" s="58"/>
      <c r="G23" s="58"/>
      <c r="H23" s="58"/>
    </row>
    <row r="24" customFormat="false" ht="15.75" hidden="false" customHeight="true" outlineLevel="0" collapsed="false">
      <c r="A24" s="59" t="s">
        <v>371</v>
      </c>
      <c r="B24" s="59" t="s">
        <v>131</v>
      </c>
      <c r="C24" s="59" t="s">
        <v>99</v>
      </c>
      <c r="D24" s="59" t="s">
        <v>307</v>
      </c>
      <c r="E24" s="59" t="s">
        <v>101</v>
      </c>
      <c r="F24" s="59" t="s">
        <v>334</v>
      </c>
      <c r="G24" s="59" t="s">
        <v>308</v>
      </c>
      <c r="H24" s="59" t="s">
        <v>310</v>
      </c>
    </row>
    <row r="25" customFormat="false" ht="15" hidden="false" customHeight="true" outlineLevel="0" collapsed="false">
      <c r="A25" s="60" t="s">
        <v>606</v>
      </c>
      <c r="B25" s="61" t="n">
        <v>381</v>
      </c>
      <c r="C25" s="61" t="n">
        <v>1115</v>
      </c>
      <c r="D25" s="61" t="n">
        <v>1239</v>
      </c>
      <c r="E25" s="61" t="n">
        <v>1945</v>
      </c>
      <c r="F25" s="62" t="s">
        <v>607</v>
      </c>
      <c r="G25" s="62" t="s">
        <v>322</v>
      </c>
      <c r="H25" s="62" t="s">
        <v>361</v>
      </c>
    </row>
    <row r="26" customFormat="false" ht="15" hidden="false" customHeight="true" outlineLevel="0" collapsed="false">
      <c r="A26" s="11" t="s">
        <v>608</v>
      </c>
      <c r="B26" s="31" t="n">
        <v>710</v>
      </c>
      <c r="C26" s="31" t="n">
        <v>608</v>
      </c>
      <c r="D26" s="31" t="n">
        <v>679</v>
      </c>
      <c r="E26" s="31" t="n">
        <v>1105</v>
      </c>
      <c r="F26" s="26" t="s">
        <v>609</v>
      </c>
      <c r="G26" s="26" t="s">
        <v>323</v>
      </c>
      <c r="H26" s="26" t="s">
        <v>522</v>
      </c>
    </row>
    <row r="27" customFormat="false" ht="15" hidden="false" customHeight="true" outlineLevel="0" collapsed="false">
      <c r="A27" s="63" t="s">
        <v>593</v>
      </c>
      <c r="B27" s="64" t="n">
        <v>1091</v>
      </c>
      <c r="C27" s="64" t="n">
        <v>1723</v>
      </c>
      <c r="D27" s="64" t="n">
        <v>1918</v>
      </c>
      <c r="E27" s="64" t="n">
        <v>3050</v>
      </c>
      <c r="F27" s="65" t="s">
        <v>215</v>
      </c>
      <c r="G27" s="65" t="s">
        <v>552</v>
      </c>
      <c r="H27" s="65" t="s">
        <v>455</v>
      </c>
    </row>
    <row r="29" customFormat="false" ht="12.75" hidden="false" customHeight="true" outlineLevel="0" collapsed="false">
      <c r="A29" s="27" t="s">
        <v>610</v>
      </c>
    </row>
    <row r="30" customFormat="false" ht="6" hidden="false" customHeight="true" outlineLevel="0" collapsed="false"/>
    <row r="31" customFormat="false" ht="21.75" hidden="false" customHeight="true" outlineLevel="0" collapsed="false">
      <c r="A31" s="58" t="s">
        <v>611</v>
      </c>
      <c r="B31" s="58"/>
      <c r="C31" s="58"/>
      <c r="D31" s="58"/>
      <c r="E31" s="58"/>
      <c r="F31" s="58"/>
      <c r="G31" s="58"/>
      <c r="H31" s="58"/>
    </row>
    <row r="32" customFormat="false" ht="15.75" hidden="false" customHeight="true" outlineLevel="0" collapsed="false">
      <c r="A32" s="59" t="s">
        <v>147</v>
      </c>
      <c r="B32" s="59" t="s">
        <v>612</v>
      </c>
      <c r="C32" s="59" t="s">
        <v>613</v>
      </c>
      <c r="D32" s="59" t="s">
        <v>614</v>
      </c>
      <c r="E32" s="59" t="s">
        <v>150</v>
      </c>
    </row>
    <row r="33" customFormat="false" ht="19.5" hidden="false" customHeight="true" outlineLevel="0" collapsed="false">
      <c r="A33" s="60" t="s">
        <v>157</v>
      </c>
      <c r="B33" s="62" t="s">
        <v>615</v>
      </c>
      <c r="C33" s="61" t="n">
        <v>503</v>
      </c>
      <c r="D33" s="67" t="s">
        <v>616</v>
      </c>
      <c r="E33" s="67" t="s">
        <v>617</v>
      </c>
    </row>
    <row r="34" customFormat="false" ht="19.5" hidden="false" customHeight="true" outlineLevel="0" collapsed="false">
      <c r="A34" s="11" t="s">
        <v>151</v>
      </c>
      <c r="B34" s="26" t="s">
        <v>618</v>
      </c>
      <c r="C34" s="31" t="n">
        <v>463</v>
      </c>
      <c r="D34" s="13" t="s">
        <v>619</v>
      </c>
      <c r="E34" s="13" t="s">
        <v>620</v>
      </c>
    </row>
    <row r="35" customFormat="false" ht="19.5" hidden="false" customHeight="true" outlineLevel="0" collapsed="false">
      <c r="A35" s="66" t="s">
        <v>621</v>
      </c>
      <c r="B35" s="54" t="s">
        <v>622</v>
      </c>
      <c r="C35" s="53" t="n">
        <v>545</v>
      </c>
      <c r="D35" s="68" t="s">
        <v>623</v>
      </c>
      <c r="E35" s="32" t="s">
        <v>624</v>
      </c>
    </row>
    <row r="36" customFormat="false" ht="19.5" hidden="false" customHeight="true" outlineLevel="0" collapsed="false">
      <c r="A36" s="11" t="s">
        <v>160</v>
      </c>
      <c r="B36" s="26" t="s">
        <v>346</v>
      </c>
      <c r="C36" s="31" t="n">
        <v>212</v>
      </c>
      <c r="D36" s="13" t="s">
        <v>625</v>
      </c>
      <c r="E36" s="13" t="s">
        <v>162</v>
      </c>
    </row>
    <row r="37" customFormat="false" ht="19.5" hidden="false" customHeight="true" outlineLevel="0" collapsed="false">
      <c r="A37" s="63" t="s">
        <v>626</v>
      </c>
      <c r="B37" s="65" t="s">
        <v>215</v>
      </c>
      <c r="C37" s="64" t="n">
        <v>1723</v>
      </c>
      <c r="D37" s="63" t="s">
        <v>627</v>
      </c>
      <c r="E37" s="63" t="s">
        <v>628</v>
      </c>
    </row>
    <row r="39" customFormat="false" ht="12.75" hidden="false" customHeight="true" outlineLevel="0" collapsed="false">
      <c r="A39" s="27" t="s">
        <v>629</v>
      </c>
    </row>
    <row r="40" customFormat="false" ht="6" hidden="false" customHeight="true" outlineLevel="0" collapsed="false"/>
    <row r="41" customFormat="false" ht="21.75" hidden="false" customHeight="true" outlineLevel="0" collapsed="false">
      <c r="A41" s="58" t="s">
        <v>630</v>
      </c>
      <c r="B41" s="58"/>
      <c r="C41" s="58"/>
      <c r="D41" s="58"/>
      <c r="E41" s="58"/>
      <c r="F41" s="58"/>
      <c r="G41" s="58"/>
      <c r="H41" s="58"/>
    </row>
    <row r="42" customFormat="false" ht="15.75" hidden="false" customHeight="true" outlineLevel="0" collapsed="false">
      <c r="A42" s="59" t="s">
        <v>371</v>
      </c>
      <c r="B42" s="59" t="s">
        <v>131</v>
      </c>
      <c r="C42" s="59" t="s">
        <v>99</v>
      </c>
      <c r="D42" s="59" t="s">
        <v>307</v>
      </c>
      <c r="E42" s="59" t="s">
        <v>101</v>
      </c>
      <c r="F42" s="59" t="s">
        <v>334</v>
      </c>
      <c r="G42" s="59" t="s">
        <v>308</v>
      </c>
      <c r="H42" s="59" t="s">
        <v>310</v>
      </c>
    </row>
    <row r="43" customFormat="false" ht="15" hidden="false" customHeight="true" outlineLevel="0" collapsed="false">
      <c r="A43" s="66" t="s">
        <v>608</v>
      </c>
      <c r="B43" s="53" t="n">
        <v>312</v>
      </c>
      <c r="C43" s="53" t="n">
        <v>507</v>
      </c>
      <c r="D43" s="53" t="n">
        <v>566</v>
      </c>
      <c r="E43" s="53" t="n">
        <v>925</v>
      </c>
      <c r="F43" s="33" t="s">
        <v>631</v>
      </c>
      <c r="G43" s="54" t="s">
        <v>451</v>
      </c>
      <c r="H43" s="54" t="s">
        <v>632</v>
      </c>
    </row>
    <row r="44" customFormat="false" ht="15" hidden="false" customHeight="true" outlineLevel="0" collapsed="false">
      <c r="A44" s="11" t="s">
        <v>606</v>
      </c>
      <c r="B44" s="31" t="n">
        <v>105</v>
      </c>
      <c r="C44" s="31" t="n">
        <v>180</v>
      </c>
      <c r="D44" s="31" t="n">
        <v>203</v>
      </c>
      <c r="E44" s="31" t="n">
        <v>340</v>
      </c>
      <c r="F44" s="26" t="s">
        <v>633</v>
      </c>
      <c r="G44" s="26" t="s">
        <v>393</v>
      </c>
      <c r="H44" s="26" t="s">
        <v>634</v>
      </c>
    </row>
    <row r="45" customFormat="false" ht="15" hidden="false" customHeight="true" outlineLevel="0" collapsed="false">
      <c r="A45" s="63" t="s">
        <v>635</v>
      </c>
      <c r="B45" s="64" t="n">
        <v>417</v>
      </c>
      <c r="C45" s="64" t="n">
        <v>687</v>
      </c>
      <c r="D45" s="64" t="n">
        <v>769</v>
      </c>
      <c r="E45" s="64" t="n">
        <v>1265</v>
      </c>
      <c r="F45" s="65" t="s">
        <v>215</v>
      </c>
      <c r="G45" s="65" t="s">
        <v>528</v>
      </c>
      <c r="H45" s="65" t="s">
        <v>138</v>
      </c>
    </row>
    <row r="47" customFormat="false" ht="12.75" hidden="false" customHeight="true" outlineLevel="0" collapsed="false">
      <c r="A47" s="27" t="s">
        <v>636</v>
      </c>
    </row>
    <row r="48" customFormat="false" ht="30" hidden="false" customHeight="true" outlineLevel="0" collapsed="false">
      <c r="A48" s="28" t="s">
        <v>637</v>
      </c>
      <c r="B48" s="28"/>
      <c r="C48" s="28"/>
      <c r="D48" s="28"/>
      <c r="E48" s="28"/>
      <c r="F48" s="28"/>
      <c r="G48" s="28"/>
      <c r="H48" s="28"/>
    </row>
  </sheetData>
  <mergeCells count="7">
    <mergeCell ref="A1:H1"/>
    <mergeCell ref="A3:H3"/>
    <mergeCell ref="A14:H14"/>
    <mergeCell ref="A23:H23"/>
    <mergeCell ref="A31:H31"/>
    <mergeCell ref="A41:H41"/>
    <mergeCell ref="A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4"/>
    <col collapsed="false" customWidth="true" hidden="false" outlineLevel="0" max="9" min="9" style="1" width="22"/>
  </cols>
  <sheetData>
    <row r="1" customFormat="false" ht="21.75" hidden="false" customHeight="true" outlineLevel="0" collapsed="false">
      <c r="A1" s="58" t="s">
        <v>638</v>
      </c>
      <c r="B1" s="58"/>
      <c r="C1" s="58"/>
      <c r="D1" s="58"/>
      <c r="E1" s="58"/>
      <c r="F1" s="58"/>
      <c r="G1" s="58"/>
      <c r="H1" s="58"/>
      <c r="I1" s="58"/>
    </row>
    <row r="2" customFormat="false" ht="6" hidden="false" customHeight="true" outlineLevel="0" collapsed="false"/>
    <row r="3" customFormat="false" ht="21.75" hidden="false" customHeight="true" outlineLevel="0" collapsed="false">
      <c r="A3" s="58" t="s">
        <v>639</v>
      </c>
      <c r="B3" s="58"/>
      <c r="C3" s="58"/>
      <c r="D3" s="58"/>
      <c r="E3" s="58"/>
      <c r="F3" s="58"/>
      <c r="G3" s="58"/>
      <c r="H3" s="58"/>
      <c r="I3" s="58"/>
    </row>
    <row r="4" customFormat="false" ht="15.75" hidden="false" customHeight="true" outlineLevel="0" collapsed="false">
      <c r="A4" s="59" t="s">
        <v>494</v>
      </c>
      <c r="B4" s="59" t="s">
        <v>131</v>
      </c>
      <c r="C4" s="59" t="s">
        <v>99</v>
      </c>
      <c r="D4" s="59" t="s">
        <v>307</v>
      </c>
      <c r="E4" s="59" t="s">
        <v>101</v>
      </c>
      <c r="F4" s="59" t="s">
        <v>334</v>
      </c>
      <c r="G4" s="59" t="s">
        <v>308</v>
      </c>
      <c r="H4" s="59" t="s">
        <v>309</v>
      </c>
      <c r="I4" s="59" t="s">
        <v>310</v>
      </c>
    </row>
    <row r="5" customFormat="false" ht="15" hidden="false" customHeight="true" outlineLevel="0" collapsed="false">
      <c r="A5" s="66" t="s">
        <v>640</v>
      </c>
      <c r="B5" s="69" t="n">
        <v>151</v>
      </c>
      <c r="C5" s="69" t="n">
        <v>238</v>
      </c>
      <c r="D5" s="69" t="n">
        <v>270</v>
      </c>
      <c r="E5" s="69" t="n">
        <v>462</v>
      </c>
      <c r="F5" s="33" t="s">
        <v>641</v>
      </c>
      <c r="G5" s="70" t="s">
        <v>552</v>
      </c>
      <c r="H5" s="70" t="s">
        <v>642</v>
      </c>
      <c r="I5" s="70" t="s">
        <v>643</v>
      </c>
    </row>
    <row r="6" customFormat="false" ht="15" hidden="false" customHeight="true" outlineLevel="0" collapsed="false">
      <c r="A6" s="11" t="s">
        <v>644</v>
      </c>
      <c r="B6" s="31" t="n">
        <v>105</v>
      </c>
      <c r="C6" s="31" t="n">
        <v>158</v>
      </c>
      <c r="D6" s="31" t="n">
        <v>176</v>
      </c>
      <c r="E6" s="31" t="n">
        <v>277</v>
      </c>
      <c r="F6" s="26" t="s">
        <v>645</v>
      </c>
      <c r="G6" s="26" t="s">
        <v>176</v>
      </c>
      <c r="H6" s="26" t="s">
        <v>573</v>
      </c>
      <c r="I6" s="26" t="s">
        <v>396</v>
      </c>
    </row>
    <row r="7" customFormat="false" ht="15" hidden="false" customHeight="true" outlineLevel="0" collapsed="false">
      <c r="A7" s="60" t="s">
        <v>646</v>
      </c>
      <c r="B7" s="61" t="n">
        <v>91</v>
      </c>
      <c r="C7" s="61" t="n">
        <v>144</v>
      </c>
      <c r="D7" s="61" t="n">
        <v>162</v>
      </c>
      <c r="E7" s="61" t="n">
        <v>265</v>
      </c>
      <c r="F7" s="62" t="s">
        <v>647</v>
      </c>
      <c r="G7" s="62" t="s">
        <v>648</v>
      </c>
      <c r="H7" s="62" t="s">
        <v>346</v>
      </c>
      <c r="I7" s="62" t="s">
        <v>138</v>
      </c>
    </row>
    <row r="8" customFormat="false" ht="15" hidden="false" customHeight="true" outlineLevel="0" collapsed="false">
      <c r="A8" s="11" t="s">
        <v>649</v>
      </c>
      <c r="B8" s="31" t="n">
        <v>66</v>
      </c>
      <c r="C8" s="31" t="n">
        <v>88</v>
      </c>
      <c r="D8" s="31" t="n">
        <v>99</v>
      </c>
      <c r="E8" s="31" t="n">
        <v>150</v>
      </c>
      <c r="F8" s="26" t="s">
        <v>650</v>
      </c>
      <c r="G8" s="26" t="s">
        <v>651</v>
      </c>
      <c r="H8" s="26" t="s">
        <v>113</v>
      </c>
      <c r="I8" s="26" t="s">
        <v>400</v>
      </c>
    </row>
    <row r="9" customFormat="false" ht="15" hidden="false" customHeight="true" outlineLevel="0" collapsed="false">
      <c r="A9" s="63" t="s">
        <v>652</v>
      </c>
      <c r="B9" s="64" t="n">
        <v>412</v>
      </c>
      <c r="C9" s="64" t="n">
        <v>629</v>
      </c>
      <c r="D9" s="64" t="n">
        <v>708</v>
      </c>
      <c r="E9" s="64" t="n">
        <v>1154</v>
      </c>
      <c r="F9" s="65" t="s">
        <v>215</v>
      </c>
      <c r="G9" s="65" t="s">
        <v>533</v>
      </c>
      <c r="H9" s="65" t="s">
        <v>653</v>
      </c>
      <c r="I9" s="65" t="s">
        <v>138</v>
      </c>
    </row>
    <row r="11" customFormat="false" ht="12.75" hidden="false" customHeight="true" outlineLevel="0" collapsed="false">
      <c r="A11" s="27" t="s">
        <v>654</v>
      </c>
    </row>
    <row r="12" customFormat="false" ht="6" hidden="false" customHeight="true" outlineLevel="0" collapsed="false"/>
    <row r="13" customFormat="false" ht="21.75" hidden="false" customHeight="true" outlineLevel="0" collapsed="false">
      <c r="A13" s="58" t="s">
        <v>655</v>
      </c>
      <c r="B13" s="58"/>
      <c r="C13" s="58"/>
      <c r="D13" s="58"/>
      <c r="E13" s="58"/>
      <c r="F13" s="58"/>
      <c r="G13" s="58"/>
      <c r="H13" s="58"/>
      <c r="I13" s="58"/>
    </row>
    <row r="14" customFormat="false" ht="15.75" hidden="false" customHeight="true" outlineLevel="0" collapsed="false">
      <c r="A14" s="59" t="s">
        <v>656</v>
      </c>
      <c r="B14" s="59" t="s">
        <v>657</v>
      </c>
      <c r="C14" s="59" t="s">
        <v>658</v>
      </c>
      <c r="D14" s="59" t="s">
        <v>659</v>
      </c>
      <c r="E14" s="59" t="s">
        <v>660</v>
      </c>
      <c r="F14" s="59" t="s">
        <v>661</v>
      </c>
      <c r="G14" s="59" t="s">
        <v>662</v>
      </c>
      <c r="H14" s="59" t="s">
        <v>663</v>
      </c>
      <c r="I14" s="59" t="s">
        <v>664</v>
      </c>
    </row>
    <row r="15" customFormat="false" ht="19.5" hidden="false" customHeight="true" outlineLevel="0" collapsed="false">
      <c r="A15" s="32" t="s">
        <v>665</v>
      </c>
      <c r="B15" s="33" t="s">
        <v>666</v>
      </c>
      <c r="C15" s="33" t="n">
        <v>47</v>
      </c>
      <c r="D15" s="33" t="n">
        <v>21</v>
      </c>
      <c r="E15" s="33" t="n">
        <v>3</v>
      </c>
      <c r="F15" s="33" t="s">
        <v>667</v>
      </c>
      <c r="G15" s="32" t="s">
        <v>668</v>
      </c>
      <c r="H15" s="48" t="n">
        <v>24580</v>
      </c>
      <c r="I15" s="32" t="s">
        <v>669</v>
      </c>
    </row>
    <row r="16" customFormat="false" ht="19.5" hidden="false" customHeight="true" outlineLevel="0" collapsed="false">
      <c r="A16" s="11" t="s">
        <v>670</v>
      </c>
      <c r="B16" s="26" t="s">
        <v>671</v>
      </c>
      <c r="C16" s="26" t="n">
        <v>17</v>
      </c>
      <c r="D16" s="26" t="n">
        <v>12</v>
      </c>
      <c r="E16" s="26" t="s">
        <v>672</v>
      </c>
      <c r="F16" s="26" t="s">
        <v>673</v>
      </c>
      <c r="G16" s="13" t="s">
        <v>674</v>
      </c>
      <c r="H16" s="31" t="n">
        <v>21824</v>
      </c>
      <c r="I16" s="13" t="s">
        <v>675</v>
      </c>
    </row>
    <row r="17" customFormat="false" ht="19.5" hidden="false" customHeight="true" outlineLevel="0" collapsed="false">
      <c r="A17" s="60" t="s">
        <v>676</v>
      </c>
      <c r="B17" s="62" t="s">
        <v>677</v>
      </c>
      <c r="C17" s="62" t="n">
        <v>14</v>
      </c>
      <c r="D17" s="62" t="n">
        <v>4</v>
      </c>
      <c r="E17" s="62" t="s">
        <v>678</v>
      </c>
      <c r="F17" s="62" t="s">
        <v>679</v>
      </c>
      <c r="G17" s="67" t="s">
        <v>680</v>
      </c>
      <c r="H17" s="61" t="n">
        <v>22171</v>
      </c>
      <c r="I17" s="67" t="s">
        <v>681</v>
      </c>
    </row>
    <row r="18" customFormat="false" ht="19.5" hidden="false" customHeight="true" outlineLevel="0" collapsed="false">
      <c r="A18" s="11" t="s">
        <v>682</v>
      </c>
      <c r="B18" s="26" t="s">
        <v>683</v>
      </c>
      <c r="C18" s="26" t="n">
        <v>6</v>
      </c>
      <c r="D18" s="26" t="n">
        <v>3</v>
      </c>
      <c r="E18" s="26" t="s">
        <v>684</v>
      </c>
      <c r="F18" s="26" t="s">
        <v>685</v>
      </c>
      <c r="G18" s="13" t="s">
        <v>686</v>
      </c>
      <c r="H18" s="26" t="s">
        <v>685</v>
      </c>
      <c r="I18" s="13" t="s">
        <v>687</v>
      </c>
    </row>
    <row r="19" customFormat="false" ht="19.5" hidden="false" customHeight="true" outlineLevel="0" collapsed="false">
      <c r="A19" s="60" t="s">
        <v>688</v>
      </c>
      <c r="B19" s="62" t="s">
        <v>689</v>
      </c>
      <c r="C19" s="62" t="n">
        <v>11</v>
      </c>
      <c r="D19" s="62" t="n">
        <v>7</v>
      </c>
      <c r="E19" s="62" t="s">
        <v>672</v>
      </c>
      <c r="F19" s="62" t="s">
        <v>690</v>
      </c>
      <c r="G19" s="67" t="s">
        <v>691</v>
      </c>
      <c r="H19" s="61" t="n">
        <v>13736</v>
      </c>
      <c r="I19" s="67" t="s">
        <v>692</v>
      </c>
    </row>
    <row r="21" customFormat="false" ht="12.75" hidden="false" customHeight="true" outlineLevel="0" collapsed="false">
      <c r="A21" s="27" t="s">
        <v>693</v>
      </c>
    </row>
    <row r="22" customFormat="false" ht="6" hidden="false" customHeight="true" outlineLevel="0" collapsed="false"/>
    <row r="23" customFormat="false" ht="21.75" hidden="false" customHeight="true" outlineLevel="0" collapsed="false">
      <c r="A23" s="58" t="s">
        <v>694</v>
      </c>
      <c r="B23" s="58"/>
      <c r="C23" s="58"/>
      <c r="D23" s="58"/>
      <c r="E23" s="58"/>
      <c r="F23" s="58"/>
      <c r="G23" s="58"/>
      <c r="H23" s="58"/>
      <c r="I23" s="58"/>
    </row>
    <row r="24" customFormat="false" ht="15.75" hidden="false" customHeight="true" outlineLevel="0" collapsed="false">
      <c r="A24" s="59" t="s">
        <v>656</v>
      </c>
      <c r="B24" s="59" t="s">
        <v>130</v>
      </c>
      <c r="C24" s="59" t="s">
        <v>131</v>
      </c>
      <c r="D24" s="59" t="s">
        <v>132</v>
      </c>
      <c r="E24" s="59" t="s">
        <v>96</v>
      </c>
      <c r="F24" s="59" t="s">
        <v>97</v>
      </c>
      <c r="G24" s="59" t="s">
        <v>98</v>
      </c>
      <c r="H24" s="59" t="s">
        <v>99</v>
      </c>
      <c r="I24" s="59" t="s">
        <v>695</v>
      </c>
    </row>
    <row r="25" customFormat="false" ht="15" hidden="false" customHeight="true" outlineLevel="0" collapsed="false">
      <c r="A25" s="32" t="s">
        <v>665</v>
      </c>
      <c r="B25" s="33" t="n">
        <v>18</v>
      </c>
      <c r="C25" s="33" t="n">
        <v>20</v>
      </c>
      <c r="D25" s="33" t="n">
        <v>28</v>
      </c>
      <c r="E25" s="33" t="n">
        <v>25</v>
      </c>
      <c r="F25" s="33" t="n">
        <v>32</v>
      </c>
      <c r="G25" s="33" t="n">
        <v>32</v>
      </c>
      <c r="H25" s="33" t="n">
        <v>37</v>
      </c>
      <c r="I25" s="33" t="n">
        <v>47</v>
      </c>
    </row>
    <row r="26" customFormat="false" ht="15" hidden="false" customHeight="true" outlineLevel="0" collapsed="false">
      <c r="A26" s="11" t="s">
        <v>670</v>
      </c>
      <c r="B26" s="26" t="s">
        <v>685</v>
      </c>
      <c r="C26" s="26" t="s">
        <v>685</v>
      </c>
      <c r="D26" s="26" t="s">
        <v>685</v>
      </c>
      <c r="E26" s="26" t="s">
        <v>685</v>
      </c>
      <c r="F26" s="26" t="n">
        <v>18</v>
      </c>
      <c r="G26" s="26" t="n">
        <v>18</v>
      </c>
      <c r="H26" s="26" t="s">
        <v>685</v>
      </c>
      <c r="I26" s="26" t="n">
        <v>17</v>
      </c>
    </row>
    <row r="27" customFormat="false" ht="15" hidden="false" customHeight="true" outlineLevel="0" collapsed="false">
      <c r="A27" s="60" t="s">
        <v>696</v>
      </c>
      <c r="B27" s="62" t="n">
        <v>17</v>
      </c>
      <c r="C27" s="62" t="s">
        <v>685</v>
      </c>
      <c r="D27" s="62" t="n">
        <v>19</v>
      </c>
      <c r="E27" s="62" t="s">
        <v>685</v>
      </c>
      <c r="F27" s="62" t="s">
        <v>685</v>
      </c>
      <c r="G27" s="62" t="s">
        <v>685</v>
      </c>
      <c r="H27" s="62" t="s">
        <v>685</v>
      </c>
      <c r="I27" s="62" t="n">
        <v>14</v>
      </c>
    </row>
    <row r="28" customFormat="false" ht="15" hidden="false" customHeight="true" outlineLevel="0" collapsed="false">
      <c r="A28" s="11" t="s">
        <v>682</v>
      </c>
      <c r="B28" s="26" t="n">
        <v>4</v>
      </c>
      <c r="C28" s="26" t="n">
        <v>4</v>
      </c>
      <c r="D28" s="26" t="n">
        <v>4</v>
      </c>
      <c r="E28" s="26" t="n">
        <v>4</v>
      </c>
      <c r="F28" s="26" t="n">
        <v>4</v>
      </c>
      <c r="G28" s="26" t="n">
        <v>5</v>
      </c>
      <c r="H28" s="26" t="s">
        <v>685</v>
      </c>
      <c r="I28" s="26" t="n">
        <v>6</v>
      </c>
    </row>
    <row r="29" customFormat="false" ht="15" hidden="false" customHeight="true" outlineLevel="0" collapsed="false">
      <c r="A29" s="60" t="s">
        <v>688</v>
      </c>
      <c r="B29" s="62" t="s">
        <v>685</v>
      </c>
      <c r="C29" s="62" t="n">
        <v>10</v>
      </c>
      <c r="D29" s="62" t="n">
        <v>10</v>
      </c>
      <c r="E29" s="62" t="n">
        <v>7</v>
      </c>
      <c r="F29" s="62" t="n">
        <v>8</v>
      </c>
      <c r="G29" s="62" t="n">
        <v>12</v>
      </c>
      <c r="H29" s="62" t="n">
        <v>11</v>
      </c>
      <c r="I29" s="62" t="n">
        <v>11</v>
      </c>
    </row>
    <row r="31" customFormat="false" ht="12.75" hidden="false" customHeight="true" outlineLevel="0" collapsed="false">
      <c r="A31" s="27" t="s">
        <v>697</v>
      </c>
    </row>
    <row r="32" customFormat="false" ht="30" hidden="false" customHeight="true" outlineLevel="0" collapsed="false">
      <c r="A32" s="71" t="s">
        <v>698</v>
      </c>
      <c r="B32" s="71"/>
      <c r="C32" s="71"/>
      <c r="D32" s="71"/>
      <c r="E32" s="71"/>
      <c r="F32" s="71"/>
      <c r="G32" s="71"/>
      <c r="H32" s="71"/>
      <c r="I32" s="71"/>
    </row>
    <row r="34" customFormat="false" ht="21.75" hidden="false" customHeight="true" outlineLevel="0" collapsed="false">
      <c r="A34" s="58" t="s">
        <v>699</v>
      </c>
      <c r="B34" s="58"/>
      <c r="C34" s="58"/>
      <c r="D34" s="58"/>
      <c r="E34" s="58"/>
      <c r="F34" s="58"/>
      <c r="G34" s="58"/>
      <c r="H34" s="58"/>
      <c r="I34" s="58"/>
    </row>
    <row r="35" customFormat="false" ht="15.75" hidden="false" customHeight="true" outlineLevel="0" collapsed="false">
      <c r="A35" s="59" t="s">
        <v>656</v>
      </c>
      <c r="B35" s="59" t="s">
        <v>657</v>
      </c>
      <c r="C35" s="59" t="s">
        <v>658</v>
      </c>
      <c r="D35" s="59" t="s">
        <v>659</v>
      </c>
      <c r="E35" s="59" t="s">
        <v>700</v>
      </c>
      <c r="F35" s="59" t="s">
        <v>661</v>
      </c>
      <c r="G35" s="59" t="s">
        <v>701</v>
      </c>
      <c r="H35" s="59" t="s">
        <v>702</v>
      </c>
      <c r="I35" s="59" t="s">
        <v>703</v>
      </c>
    </row>
    <row r="36" customFormat="false" ht="18" hidden="false" customHeight="true" outlineLevel="0" collapsed="false">
      <c r="A36" s="60" t="s">
        <v>704</v>
      </c>
      <c r="B36" s="62" t="s">
        <v>666</v>
      </c>
      <c r="C36" s="62" t="n">
        <v>121</v>
      </c>
      <c r="D36" s="62" t="n">
        <v>52</v>
      </c>
      <c r="E36" s="62" t="n">
        <v>21</v>
      </c>
      <c r="F36" s="62" t="s">
        <v>705</v>
      </c>
      <c r="G36" s="62" t="s">
        <v>706</v>
      </c>
      <c r="H36" s="62" t="s">
        <v>265</v>
      </c>
      <c r="I36" s="67" t="s">
        <v>707</v>
      </c>
    </row>
    <row r="37" customFormat="false" ht="18" hidden="false" customHeight="true" outlineLevel="0" collapsed="false">
      <c r="A37" s="11" t="s">
        <v>708</v>
      </c>
      <c r="B37" s="26" t="s">
        <v>709</v>
      </c>
      <c r="C37" s="26" t="n">
        <v>405</v>
      </c>
      <c r="D37" s="26" t="n">
        <v>190</v>
      </c>
      <c r="E37" s="26" t="n">
        <v>29</v>
      </c>
      <c r="F37" s="26" t="s">
        <v>710</v>
      </c>
      <c r="G37" s="26" t="s">
        <v>387</v>
      </c>
      <c r="H37" s="26" t="s">
        <v>711</v>
      </c>
      <c r="I37" s="13" t="s">
        <v>712</v>
      </c>
    </row>
    <row r="38" customFormat="false" ht="18" hidden="false" customHeight="true" outlineLevel="0" collapsed="false">
      <c r="A38" s="60" t="s">
        <v>713</v>
      </c>
      <c r="B38" s="62" t="s">
        <v>714</v>
      </c>
      <c r="C38" s="62" t="n">
        <v>299</v>
      </c>
      <c r="D38" s="62" t="n">
        <v>70</v>
      </c>
      <c r="E38" s="62" t="n">
        <v>23</v>
      </c>
      <c r="F38" s="62" t="s">
        <v>715</v>
      </c>
      <c r="G38" s="62" t="s">
        <v>685</v>
      </c>
      <c r="H38" s="62" t="s">
        <v>685</v>
      </c>
      <c r="I38" s="67" t="s">
        <v>716</v>
      </c>
    </row>
    <row r="39" customFormat="false" ht="18" hidden="false" customHeight="true" outlineLevel="0" collapsed="false">
      <c r="A39" s="11" t="s">
        <v>717</v>
      </c>
      <c r="B39" s="26" t="s">
        <v>677</v>
      </c>
      <c r="C39" s="26" t="n">
        <v>248</v>
      </c>
      <c r="D39" s="26" t="n">
        <v>91</v>
      </c>
      <c r="E39" s="26" t="n">
        <v>30</v>
      </c>
      <c r="F39" s="26" t="s">
        <v>718</v>
      </c>
      <c r="G39" s="26" t="s">
        <v>719</v>
      </c>
      <c r="H39" s="26" t="s">
        <v>720</v>
      </c>
      <c r="I39" s="13" t="s">
        <v>721</v>
      </c>
    </row>
    <row r="41" customFormat="false" ht="12.75" hidden="false" customHeight="true" outlineLevel="0" collapsed="false">
      <c r="A41" s="27" t="s">
        <v>722</v>
      </c>
    </row>
  </sheetData>
  <mergeCells count="6">
    <mergeCell ref="A1:I1"/>
    <mergeCell ref="A3:I3"/>
    <mergeCell ref="A13:I13"/>
    <mergeCell ref="A23:I23"/>
    <mergeCell ref="A32:I32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6"/>
  </cols>
  <sheetData>
    <row r="1" customFormat="false" ht="21.75" hidden="false" customHeight="true" outlineLevel="0" collapsed="false">
      <c r="A1" s="58" t="s">
        <v>723</v>
      </c>
      <c r="B1" s="58"/>
      <c r="C1" s="58"/>
      <c r="D1" s="58"/>
      <c r="E1" s="58"/>
      <c r="F1" s="58"/>
      <c r="G1" s="58"/>
      <c r="H1" s="58"/>
    </row>
    <row r="2" customFormat="false" ht="6" hidden="false" customHeight="true" outlineLevel="0" collapsed="false"/>
    <row r="3" customFormat="false" ht="21.75" hidden="false" customHeight="true" outlineLevel="0" collapsed="false">
      <c r="A3" s="58" t="s">
        <v>724</v>
      </c>
      <c r="B3" s="58"/>
      <c r="C3" s="58"/>
      <c r="D3" s="58"/>
      <c r="E3" s="58"/>
      <c r="F3" s="58"/>
      <c r="G3" s="58"/>
      <c r="H3" s="58"/>
    </row>
    <row r="4" customFormat="false" ht="15.75" hidden="false" customHeight="true" outlineLevel="0" collapsed="false">
      <c r="A4" s="59" t="s">
        <v>391</v>
      </c>
      <c r="B4" s="59" t="s">
        <v>131</v>
      </c>
      <c r="C4" s="59" t="s">
        <v>99</v>
      </c>
      <c r="D4" s="59" t="s">
        <v>101</v>
      </c>
      <c r="E4" s="59" t="s">
        <v>428</v>
      </c>
      <c r="F4" s="59" t="s">
        <v>429</v>
      </c>
      <c r="G4" s="59" t="s">
        <v>431</v>
      </c>
      <c r="H4" s="59" t="s">
        <v>310</v>
      </c>
    </row>
    <row r="5" customFormat="false" ht="15" hidden="false" customHeight="true" outlineLevel="0" collapsed="false">
      <c r="A5" s="60" t="s">
        <v>725</v>
      </c>
      <c r="B5" s="61" t="n">
        <v>2298</v>
      </c>
      <c r="C5" s="61" t="n">
        <v>3556</v>
      </c>
      <c r="D5" s="61" t="n">
        <v>5744</v>
      </c>
      <c r="E5" s="62" t="s">
        <v>726</v>
      </c>
      <c r="F5" s="62" t="s">
        <v>267</v>
      </c>
      <c r="G5" s="62" t="s">
        <v>267</v>
      </c>
      <c r="H5" s="62" t="s">
        <v>561</v>
      </c>
    </row>
    <row r="6" customFormat="false" ht="15" hidden="false" customHeight="true" outlineLevel="0" collapsed="false">
      <c r="A6" s="11" t="s">
        <v>727</v>
      </c>
      <c r="B6" s="31" t="n">
        <v>836</v>
      </c>
      <c r="C6" s="31" t="n">
        <v>487</v>
      </c>
      <c r="D6" s="31" t="n">
        <v>709</v>
      </c>
      <c r="E6" s="26" t="s">
        <v>728</v>
      </c>
      <c r="F6" s="26" t="s">
        <v>728</v>
      </c>
      <c r="G6" s="26" t="s">
        <v>729</v>
      </c>
      <c r="H6" s="26" t="s">
        <v>339</v>
      </c>
    </row>
    <row r="7" customFormat="false" ht="15" hidden="false" customHeight="true" outlineLevel="0" collapsed="false">
      <c r="A7" s="60" t="s">
        <v>356</v>
      </c>
      <c r="B7" s="61" t="n">
        <v>352</v>
      </c>
      <c r="C7" s="61" t="n">
        <v>487</v>
      </c>
      <c r="D7" s="61" t="n">
        <v>757</v>
      </c>
      <c r="E7" s="62" t="s">
        <v>205</v>
      </c>
      <c r="F7" s="62" t="s">
        <v>728</v>
      </c>
      <c r="G7" s="62" t="s">
        <v>729</v>
      </c>
      <c r="H7" s="62" t="s">
        <v>579</v>
      </c>
    </row>
    <row r="8" customFormat="false" ht="15" hidden="false" customHeight="true" outlineLevel="0" collapsed="false">
      <c r="A8" s="11" t="s">
        <v>730</v>
      </c>
      <c r="B8" s="31" t="n">
        <v>319</v>
      </c>
      <c r="C8" s="31" t="n">
        <v>487</v>
      </c>
      <c r="D8" s="31" t="n">
        <v>865</v>
      </c>
      <c r="E8" s="26" t="s">
        <v>731</v>
      </c>
      <c r="F8" s="26" t="s">
        <v>728</v>
      </c>
      <c r="G8" s="26" t="s">
        <v>729</v>
      </c>
      <c r="H8" s="26" t="s">
        <v>352</v>
      </c>
    </row>
    <row r="9" customFormat="false" ht="15" hidden="false" customHeight="true" outlineLevel="0" collapsed="false">
      <c r="A9" s="63" t="s">
        <v>732</v>
      </c>
      <c r="B9" s="64" t="n">
        <v>3192</v>
      </c>
      <c r="C9" s="64" t="n">
        <v>4874</v>
      </c>
      <c r="D9" s="64" t="n">
        <v>7869</v>
      </c>
      <c r="E9" s="65" t="s">
        <v>215</v>
      </c>
      <c r="F9" s="65" t="s">
        <v>215</v>
      </c>
      <c r="G9" s="65" t="s">
        <v>215</v>
      </c>
      <c r="H9" s="65" t="s">
        <v>561</v>
      </c>
    </row>
    <row r="11" customFormat="false" ht="12.75" hidden="false" customHeight="true" outlineLevel="0" collapsed="false">
      <c r="A11" s="27" t="s">
        <v>733</v>
      </c>
    </row>
    <row r="12" customFormat="false" ht="6" hidden="false" customHeight="true" outlineLevel="0" collapsed="false"/>
    <row r="13" customFormat="false" ht="21.75" hidden="false" customHeight="true" outlineLevel="0" collapsed="false">
      <c r="A13" s="58" t="s">
        <v>734</v>
      </c>
      <c r="B13" s="58"/>
      <c r="C13" s="58"/>
      <c r="D13" s="58"/>
      <c r="E13" s="58"/>
      <c r="F13" s="58"/>
      <c r="G13" s="58"/>
      <c r="H13" s="58"/>
    </row>
    <row r="14" customFormat="false" ht="15.75" hidden="false" customHeight="true" outlineLevel="0" collapsed="false">
      <c r="A14" s="59" t="s">
        <v>494</v>
      </c>
      <c r="B14" s="59" t="s">
        <v>131</v>
      </c>
      <c r="C14" s="59" t="s">
        <v>99</v>
      </c>
      <c r="D14" s="59" t="s">
        <v>101</v>
      </c>
      <c r="E14" s="59" t="s">
        <v>334</v>
      </c>
      <c r="F14" s="59" t="s">
        <v>308</v>
      </c>
      <c r="G14" s="59" t="s">
        <v>310</v>
      </c>
      <c r="H14" s="59" t="s">
        <v>735</v>
      </c>
    </row>
    <row r="15" customFormat="false" ht="15" hidden="false" customHeight="true" outlineLevel="0" collapsed="false">
      <c r="A15" s="32" t="s">
        <v>640</v>
      </c>
      <c r="B15" s="48" t="n">
        <v>894</v>
      </c>
      <c r="C15" s="48" t="n">
        <v>1380</v>
      </c>
      <c r="D15" s="48" t="n">
        <v>2252</v>
      </c>
      <c r="E15" s="33" t="s">
        <v>736</v>
      </c>
      <c r="F15" s="33" t="s">
        <v>117</v>
      </c>
      <c r="G15" s="33" t="s">
        <v>105</v>
      </c>
      <c r="H15" s="32" t="s">
        <v>737</v>
      </c>
    </row>
    <row r="16" customFormat="false" ht="15" hidden="false" customHeight="true" outlineLevel="0" collapsed="false">
      <c r="A16" s="11" t="s">
        <v>646</v>
      </c>
      <c r="B16" s="31" t="n">
        <v>838</v>
      </c>
      <c r="C16" s="31" t="n">
        <v>1251</v>
      </c>
      <c r="D16" s="31" t="n">
        <v>1951</v>
      </c>
      <c r="E16" s="26" t="s">
        <v>738</v>
      </c>
      <c r="F16" s="26" t="s">
        <v>424</v>
      </c>
      <c r="G16" s="26" t="s">
        <v>321</v>
      </c>
      <c r="H16" s="13" t="s">
        <v>739</v>
      </c>
    </row>
    <row r="17" customFormat="false" ht="15" hidden="false" customHeight="true" outlineLevel="0" collapsed="false">
      <c r="A17" s="60" t="s">
        <v>644</v>
      </c>
      <c r="B17" s="61" t="n">
        <v>836</v>
      </c>
      <c r="C17" s="61" t="n">
        <v>1218</v>
      </c>
      <c r="D17" s="61" t="n">
        <v>1894</v>
      </c>
      <c r="E17" s="62" t="s">
        <v>645</v>
      </c>
      <c r="F17" s="62" t="s">
        <v>527</v>
      </c>
      <c r="G17" s="62" t="s">
        <v>395</v>
      </c>
      <c r="H17" s="67" t="s">
        <v>740</v>
      </c>
    </row>
    <row r="18" customFormat="false" ht="15" hidden="false" customHeight="true" outlineLevel="0" collapsed="false">
      <c r="A18" s="11" t="s">
        <v>649</v>
      </c>
      <c r="B18" s="31" t="n">
        <v>624</v>
      </c>
      <c r="C18" s="31" t="n">
        <v>1025</v>
      </c>
      <c r="D18" s="31" t="n">
        <v>1772</v>
      </c>
      <c r="E18" s="26" t="s">
        <v>741</v>
      </c>
      <c r="F18" s="26" t="s">
        <v>533</v>
      </c>
      <c r="G18" s="26" t="s">
        <v>561</v>
      </c>
      <c r="H18" s="13" t="s">
        <v>742</v>
      </c>
    </row>
    <row r="19" customFormat="false" ht="15" hidden="false" customHeight="true" outlineLevel="0" collapsed="false">
      <c r="A19" s="63" t="s">
        <v>569</v>
      </c>
      <c r="B19" s="64" t="n">
        <v>3192</v>
      </c>
      <c r="C19" s="64" t="n">
        <v>4874</v>
      </c>
      <c r="D19" s="64" t="n">
        <v>7869</v>
      </c>
      <c r="E19" s="65" t="s">
        <v>215</v>
      </c>
      <c r="F19" s="65" t="s">
        <v>533</v>
      </c>
      <c r="G19" s="65" t="s">
        <v>561</v>
      </c>
      <c r="H19" s="63" t="s">
        <v>743</v>
      </c>
    </row>
    <row r="21" customFormat="false" ht="12.75" hidden="false" customHeight="true" outlineLevel="0" collapsed="false">
      <c r="A21" s="27" t="s">
        <v>744</v>
      </c>
    </row>
    <row r="22" customFormat="false" ht="6" hidden="false" customHeight="true" outlineLevel="0" collapsed="false"/>
    <row r="23" customFormat="false" ht="21.75" hidden="false" customHeight="true" outlineLevel="0" collapsed="false">
      <c r="A23" s="58" t="s">
        <v>745</v>
      </c>
      <c r="B23" s="58"/>
      <c r="C23" s="58"/>
      <c r="D23" s="58"/>
      <c r="E23" s="58"/>
      <c r="F23" s="58"/>
      <c r="G23" s="58"/>
      <c r="H23" s="58"/>
    </row>
    <row r="24" customFormat="false" ht="15.75" hidden="false" customHeight="true" outlineLevel="0" collapsed="false">
      <c r="A24" s="59" t="s">
        <v>656</v>
      </c>
      <c r="B24" s="59" t="s">
        <v>746</v>
      </c>
      <c r="C24" s="59" t="s">
        <v>658</v>
      </c>
      <c r="D24" s="59" t="s">
        <v>660</v>
      </c>
      <c r="E24" s="59" t="s">
        <v>659</v>
      </c>
      <c r="F24" s="59" t="s">
        <v>661</v>
      </c>
      <c r="G24" s="59" t="s">
        <v>391</v>
      </c>
      <c r="H24" s="59" t="s">
        <v>747</v>
      </c>
    </row>
    <row r="25" customFormat="false" ht="15" hidden="false" customHeight="true" outlineLevel="0" collapsed="false">
      <c r="A25" s="32" t="s">
        <v>748</v>
      </c>
      <c r="B25" s="33" t="s">
        <v>236</v>
      </c>
      <c r="C25" s="33" t="n">
        <v>2</v>
      </c>
      <c r="D25" s="33" t="n">
        <v>1</v>
      </c>
      <c r="E25" s="33" t="n">
        <v>2</v>
      </c>
      <c r="F25" s="33" t="s">
        <v>749</v>
      </c>
      <c r="G25" s="32" t="s">
        <v>750</v>
      </c>
      <c r="H25" s="33" t="s">
        <v>751</v>
      </c>
    </row>
    <row r="26" customFormat="false" ht="15" hidden="false" customHeight="true" outlineLevel="0" collapsed="false">
      <c r="A26" s="11" t="s">
        <v>752</v>
      </c>
      <c r="B26" s="26" t="s">
        <v>753</v>
      </c>
      <c r="C26" s="26" t="n">
        <v>222</v>
      </c>
      <c r="D26" s="26" t="n">
        <v>9</v>
      </c>
      <c r="E26" s="26" t="n">
        <v>146</v>
      </c>
      <c r="F26" s="26" t="s">
        <v>754</v>
      </c>
      <c r="G26" s="13" t="s">
        <v>750</v>
      </c>
      <c r="H26" s="31" t="n">
        <v>9729</v>
      </c>
    </row>
    <row r="27" customFormat="false" ht="15" hidden="false" customHeight="true" outlineLevel="0" collapsed="false">
      <c r="A27" s="60" t="s">
        <v>755</v>
      </c>
      <c r="B27" s="62" t="s">
        <v>756</v>
      </c>
      <c r="C27" s="62" t="n">
        <v>172</v>
      </c>
      <c r="D27" s="62" t="n">
        <v>5</v>
      </c>
      <c r="E27" s="62" t="n">
        <v>103</v>
      </c>
      <c r="F27" s="62" t="s">
        <v>757</v>
      </c>
      <c r="G27" s="67" t="s">
        <v>750</v>
      </c>
      <c r="H27" s="61" t="n">
        <v>11822</v>
      </c>
    </row>
    <row r="28" customFormat="false" ht="15" hidden="false" customHeight="true" outlineLevel="0" collapsed="false">
      <c r="A28" s="11" t="s">
        <v>758</v>
      </c>
      <c r="B28" s="26" t="s">
        <v>759</v>
      </c>
      <c r="C28" s="26" t="n">
        <v>180</v>
      </c>
      <c r="D28" s="26" t="n">
        <v>8</v>
      </c>
      <c r="E28" s="26" t="n">
        <v>125</v>
      </c>
      <c r="F28" s="26" t="s">
        <v>710</v>
      </c>
      <c r="G28" s="13" t="s">
        <v>750</v>
      </c>
      <c r="H28" s="31" t="n">
        <v>8088</v>
      </c>
    </row>
    <row r="29" customFormat="false" ht="15" hidden="false" customHeight="true" outlineLevel="0" collapsed="false">
      <c r="A29" s="60" t="s">
        <v>760</v>
      </c>
      <c r="B29" s="62" t="s">
        <v>229</v>
      </c>
      <c r="C29" s="62" t="n">
        <v>128</v>
      </c>
      <c r="D29" s="62" t="n">
        <v>10</v>
      </c>
      <c r="E29" s="62" t="n">
        <v>85</v>
      </c>
      <c r="F29" s="62" t="s">
        <v>761</v>
      </c>
      <c r="G29" s="67" t="s">
        <v>750</v>
      </c>
      <c r="H29" s="61" t="n">
        <v>6266</v>
      </c>
    </row>
    <row r="30" customFormat="false" ht="15" hidden="false" customHeight="true" outlineLevel="0" collapsed="false">
      <c r="A30" s="11" t="s">
        <v>762</v>
      </c>
      <c r="B30" s="26" t="s">
        <v>763</v>
      </c>
      <c r="C30" s="26" t="n">
        <v>543</v>
      </c>
      <c r="D30" s="26" t="n">
        <v>30</v>
      </c>
      <c r="E30" s="26" t="n">
        <v>232</v>
      </c>
      <c r="F30" s="26" t="s">
        <v>764</v>
      </c>
      <c r="G30" s="13" t="s">
        <v>765</v>
      </c>
      <c r="H30" s="31" t="n">
        <v>112150</v>
      </c>
    </row>
    <row r="31" customFormat="false" ht="15" hidden="false" customHeight="true" outlineLevel="0" collapsed="false">
      <c r="A31" s="60" t="s">
        <v>766</v>
      </c>
      <c r="B31" s="62" t="s">
        <v>229</v>
      </c>
      <c r="C31" s="62" t="n">
        <v>765</v>
      </c>
      <c r="D31" s="62" t="n">
        <v>28</v>
      </c>
      <c r="E31" s="62" t="n">
        <v>201</v>
      </c>
      <c r="F31" s="62" t="s">
        <v>767</v>
      </c>
      <c r="G31" s="67" t="s">
        <v>765</v>
      </c>
      <c r="H31" s="62" t="s">
        <v>768</v>
      </c>
    </row>
    <row r="32" customFormat="false" ht="15" hidden="false" customHeight="true" outlineLevel="0" collapsed="false">
      <c r="A32" s="11" t="s">
        <v>769</v>
      </c>
      <c r="B32" s="26" t="s">
        <v>756</v>
      </c>
      <c r="C32" s="26" t="n">
        <v>497</v>
      </c>
      <c r="D32" s="26" t="n">
        <v>21</v>
      </c>
      <c r="E32" s="26" t="n">
        <v>263</v>
      </c>
      <c r="F32" s="26" t="s">
        <v>770</v>
      </c>
      <c r="G32" s="13" t="s">
        <v>765</v>
      </c>
      <c r="H32" s="31" t="n">
        <v>27856</v>
      </c>
    </row>
    <row r="33" customFormat="false" ht="15" hidden="false" customHeight="true" outlineLevel="0" collapsed="false">
      <c r="A33" s="60" t="s">
        <v>771</v>
      </c>
      <c r="B33" s="62" t="s">
        <v>763</v>
      </c>
      <c r="C33" s="62" t="n">
        <v>189</v>
      </c>
      <c r="D33" s="62" t="n">
        <v>19</v>
      </c>
      <c r="E33" s="62" t="n">
        <v>121</v>
      </c>
      <c r="F33" s="62" t="s">
        <v>710</v>
      </c>
      <c r="G33" s="67" t="s">
        <v>765</v>
      </c>
      <c r="H33" s="61" t="n">
        <v>11647</v>
      </c>
    </row>
    <row r="34" customFormat="false" ht="15" hidden="false" customHeight="true" outlineLevel="0" collapsed="false">
      <c r="A34" s="11" t="s">
        <v>772</v>
      </c>
      <c r="B34" s="26" t="s">
        <v>773</v>
      </c>
      <c r="C34" s="26" t="n">
        <v>696</v>
      </c>
      <c r="D34" s="26" t="n">
        <v>30</v>
      </c>
      <c r="E34" s="26" t="n">
        <v>385</v>
      </c>
      <c r="F34" s="26" t="s">
        <v>774</v>
      </c>
      <c r="G34" s="13" t="s">
        <v>765</v>
      </c>
      <c r="H34" s="31" t="n">
        <v>89120</v>
      </c>
    </row>
    <row r="35" customFormat="false" ht="15" hidden="false" customHeight="true" outlineLevel="0" collapsed="false">
      <c r="A35" s="60" t="s">
        <v>775</v>
      </c>
      <c r="B35" s="62" t="s">
        <v>776</v>
      </c>
      <c r="C35" s="62" t="n">
        <v>415</v>
      </c>
      <c r="D35" s="62" t="n">
        <v>12</v>
      </c>
      <c r="E35" s="62" t="n">
        <v>117</v>
      </c>
      <c r="F35" s="62" t="s">
        <v>777</v>
      </c>
      <c r="G35" s="67" t="s">
        <v>778</v>
      </c>
      <c r="H35" s="61" t="n">
        <v>507888</v>
      </c>
    </row>
    <row r="37" customFormat="false" ht="12.75" hidden="false" customHeight="true" outlineLevel="0" collapsed="false">
      <c r="A37" s="27" t="s">
        <v>779</v>
      </c>
    </row>
  </sheetData>
  <mergeCells count="4">
    <mergeCell ref="A1:H1"/>
    <mergeCell ref="A3:H3"/>
    <mergeCell ref="A13:H13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H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0"/>
    <col collapsed="false" customWidth="true" hidden="false" outlineLevel="0" max="8" min="3" style="1" width="18"/>
  </cols>
  <sheetData>
    <row r="1" customFormat="false" ht="21.75" hidden="false" customHeight="true" outlineLevel="0" collapsed="false">
      <c r="A1" s="58" t="s">
        <v>780</v>
      </c>
      <c r="B1" s="58"/>
      <c r="C1" s="58"/>
      <c r="D1" s="58"/>
      <c r="E1" s="58"/>
      <c r="F1" s="58"/>
      <c r="G1" s="58"/>
      <c r="H1" s="58"/>
    </row>
    <row r="2" customFormat="false" ht="6" hidden="false" customHeight="true" outlineLevel="0" collapsed="false"/>
    <row r="3" customFormat="false" ht="21.75" hidden="false" customHeight="true" outlineLevel="0" collapsed="false">
      <c r="A3" s="58" t="s">
        <v>781</v>
      </c>
      <c r="B3" s="58"/>
      <c r="C3" s="58"/>
      <c r="D3" s="58"/>
      <c r="E3" s="58"/>
      <c r="F3" s="58"/>
      <c r="G3" s="58"/>
      <c r="H3" s="58"/>
    </row>
    <row r="4" customFormat="false" ht="15.75" hidden="false" customHeight="true" outlineLevel="0" collapsed="false">
      <c r="A4" s="59" t="s">
        <v>782</v>
      </c>
      <c r="B4" s="59" t="s">
        <v>783</v>
      </c>
      <c r="C4" s="59" t="s">
        <v>784</v>
      </c>
      <c r="D4" s="59" t="s">
        <v>785</v>
      </c>
      <c r="E4" s="59" t="s">
        <v>786</v>
      </c>
      <c r="F4" s="59" t="s">
        <v>787</v>
      </c>
      <c r="G4" s="59" t="s">
        <v>788</v>
      </c>
      <c r="H4" s="59" t="s">
        <v>789</v>
      </c>
    </row>
    <row r="5" customFormat="false" ht="19.5" hidden="false" customHeight="true" outlineLevel="0" collapsed="false">
      <c r="A5" s="60" t="s">
        <v>790</v>
      </c>
      <c r="B5" s="67" t="s">
        <v>791</v>
      </c>
      <c r="C5" s="67" t="s">
        <v>666</v>
      </c>
      <c r="D5" s="67" t="s">
        <v>792</v>
      </c>
      <c r="E5" s="61" t="n">
        <v>2542</v>
      </c>
      <c r="F5" s="61" t="n">
        <v>5703</v>
      </c>
      <c r="G5" s="62" t="s">
        <v>793</v>
      </c>
      <c r="H5" s="67" t="s">
        <v>794</v>
      </c>
    </row>
    <row r="6" customFormat="false" ht="19.5" hidden="false" customHeight="true" outlineLevel="0" collapsed="false">
      <c r="A6" s="66" t="s">
        <v>795</v>
      </c>
      <c r="B6" s="68" t="s">
        <v>791</v>
      </c>
      <c r="C6" s="68" t="s">
        <v>254</v>
      </c>
      <c r="D6" s="68" t="s">
        <v>796</v>
      </c>
      <c r="E6" s="53" t="n">
        <v>2542</v>
      </c>
      <c r="F6" s="48" t="n">
        <v>18407</v>
      </c>
      <c r="G6" s="33" t="s">
        <v>797</v>
      </c>
      <c r="H6" s="68" t="s">
        <v>798</v>
      </c>
    </row>
    <row r="7" customFormat="false" ht="19.5" hidden="false" customHeight="true" outlineLevel="0" collapsed="false">
      <c r="A7" s="60" t="s">
        <v>799</v>
      </c>
      <c r="B7" s="67" t="s">
        <v>566</v>
      </c>
      <c r="C7" s="67" t="s">
        <v>232</v>
      </c>
      <c r="D7" s="67" t="s">
        <v>800</v>
      </c>
      <c r="E7" s="61" t="n">
        <v>7211</v>
      </c>
      <c r="F7" s="61" t="n">
        <v>682</v>
      </c>
      <c r="G7" s="62" t="s">
        <v>801</v>
      </c>
      <c r="H7" s="67" t="s">
        <v>802</v>
      </c>
    </row>
    <row r="8" customFormat="false" ht="19.5" hidden="false" customHeight="true" outlineLevel="0" collapsed="false">
      <c r="A8" s="11" t="s">
        <v>803</v>
      </c>
      <c r="B8" s="13" t="s">
        <v>566</v>
      </c>
      <c r="C8" s="13" t="s">
        <v>235</v>
      </c>
      <c r="D8" s="13" t="s">
        <v>804</v>
      </c>
      <c r="E8" s="31" t="n">
        <v>6337</v>
      </c>
      <c r="F8" s="31" t="n">
        <v>154</v>
      </c>
      <c r="G8" s="26" t="s">
        <v>360</v>
      </c>
      <c r="H8" s="13" t="s">
        <v>805</v>
      </c>
    </row>
    <row r="9" customFormat="false" ht="19.5" hidden="false" customHeight="true" outlineLevel="0" collapsed="false">
      <c r="A9" s="60" t="s">
        <v>806</v>
      </c>
      <c r="B9" s="67" t="s">
        <v>6</v>
      </c>
      <c r="C9" s="67" t="s">
        <v>236</v>
      </c>
      <c r="D9" s="67" t="s">
        <v>807</v>
      </c>
      <c r="E9" s="61" t="n">
        <v>1998</v>
      </c>
      <c r="F9" s="61" t="n">
        <v>1851</v>
      </c>
      <c r="G9" s="62" t="s">
        <v>808</v>
      </c>
      <c r="H9" s="67" t="s">
        <v>809</v>
      </c>
    </row>
    <row r="10" customFormat="false" ht="19.5" hidden="false" customHeight="true" outlineLevel="0" collapsed="false">
      <c r="A10" s="11" t="s">
        <v>810</v>
      </c>
      <c r="B10" s="13" t="s">
        <v>791</v>
      </c>
      <c r="C10" s="13" t="s">
        <v>811</v>
      </c>
      <c r="D10" s="13" t="s">
        <v>812</v>
      </c>
      <c r="E10" s="26" t="s">
        <v>685</v>
      </c>
      <c r="F10" s="31" t="n">
        <v>18</v>
      </c>
      <c r="G10" s="26" t="s">
        <v>813</v>
      </c>
      <c r="H10" s="13" t="s">
        <v>814</v>
      </c>
    </row>
    <row r="11" customFormat="false" ht="19.5" hidden="false" customHeight="true" outlineLevel="0" collapsed="false">
      <c r="A11" s="60" t="s">
        <v>815</v>
      </c>
      <c r="B11" s="67" t="s">
        <v>566</v>
      </c>
      <c r="C11" s="67" t="s">
        <v>811</v>
      </c>
      <c r="D11" s="67" t="s">
        <v>812</v>
      </c>
      <c r="E11" s="62" t="s">
        <v>685</v>
      </c>
      <c r="F11" s="61" t="n">
        <v>124</v>
      </c>
      <c r="G11" s="62" t="s">
        <v>181</v>
      </c>
      <c r="H11" s="67" t="s">
        <v>816</v>
      </c>
    </row>
    <row r="12" customFormat="false" ht="19.5" hidden="false" customHeight="true" outlineLevel="0" collapsed="false">
      <c r="A12" s="63" t="s">
        <v>569</v>
      </c>
      <c r="B12" s="63" t="s">
        <v>239</v>
      </c>
      <c r="C12" s="63" t="s">
        <v>239</v>
      </c>
      <c r="D12" s="63" t="s">
        <v>239</v>
      </c>
      <c r="E12" s="64" t="n">
        <v>2551</v>
      </c>
      <c r="F12" s="64" t="n">
        <v>26939</v>
      </c>
      <c r="G12" s="65" t="s">
        <v>215</v>
      </c>
      <c r="H12" s="63" t="s">
        <v>239</v>
      </c>
    </row>
    <row r="14" customFormat="false" ht="12.75" hidden="false" customHeight="true" outlineLevel="0" collapsed="false">
      <c r="A14" s="27" t="s">
        <v>817</v>
      </c>
    </row>
    <row r="15" customFormat="false" ht="6" hidden="false" customHeight="true" outlineLevel="0" collapsed="false"/>
    <row r="16" customFormat="false" ht="21.75" hidden="false" customHeight="true" outlineLevel="0" collapsed="false">
      <c r="A16" s="58" t="s">
        <v>818</v>
      </c>
      <c r="B16" s="58"/>
      <c r="C16" s="58"/>
      <c r="D16" s="58"/>
      <c r="E16" s="58"/>
      <c r="F16" s="58"/>
      <c r="G16" s="58"/>
      <c r="H16" s="58"/>
    </row>
    <row r="17" customFormat="false" ht="15.75" hidden="false" customHeight="true" outlineLevel="0" collapsed="false">
      <c r="A17" s="59" t="s">
        <v>819</v>
      </c>
      <c r="B17" s="59" t="s">
        <v>98</v>
      </c>
      <c r="C17" s="59" t="s">
        <v>99</v>
      </c>
      <c r="D17" s="59" t="s">
        <v>695</v>
      </c>
      <c r="E17" s="59" t="s">
        <v>820</v>
      </c>
      <c r="F17" s="59" t="s">
        <v>821</v>
      </c>
      <c r="G17" s="59" t="s">
        <v>822</v>
      </c>
      <c r="H17" s="59" t="s">
        <v>823</v>
      </c>
    </row>
    <row r="18" customFormat="false" ht="15" hidden="false" customHeight="true" outlineLevel="0" collapsed="false">
      <c r="A18" s="60" t="s">
        <v>824</v>
      </c>
      <c r="B18" s="61" t="n">
        <v>12131</v>
      </c>
      <c r="C18" s="61" t="n">
        <v>14143</v>
      </c>
      <c r="D18" s="61" t="n">
        <v>14586</v>
      </c>
      <c r="E18" s="62" t="s">
        <v>559</v>
      </c>
      <c r="F18" s="62" t="s">
        <v>825</v>
      </c>
      <c r="G18" s="62" t="s">
        <v>417</v>
      </c>
      <c r="H18" s="72" t="n">
        <f aca="false">D19/C19-1</f>
        <v>0.141882932373556</v>
      </c>
    </row>
    <row r="19" customFormat="false" ht="15" hidden="false" customHeight="true" outlineLevel="0" collapsed="false">
      <c r="A19" s="11" t="s">
        <v>826</v>
      </c>
      <c r="B19" s="31" t="n">
        <v>4646</v>
      </c>
      <c r="C19" s="31" t="n">
        <v>5279</v>
      </c>
      <c r="D19" s="31" t="n">
        <v>6028</v>
      </c>
      <c r="E19" s="26" t="s">
        <v>827</v>
      </c>
      <c r="F19" s="26" t="s">
        <v>828</v>
      </c>
      <c r="G19" s="26" t="s">
        <v>318</v>
      </c>
      <c r="H19" s="73" t="n">
        <f aca="false">D20/C20-1</f>
        <v>0.0716997989725263</v>
      </c>
    </row>
    <row r="20" customFormat="false" ht="15" hidden="false" customHeight="true" outlineLevel="0" collapsed="false">
      <c r="A20" s="60" t="s">
        <v>829</v>
      </c>
      <c r="B20" s="61" t="n">
        <v>4068</v>
      </c>
      <c r="C20" s="61" t="n">
        <v>4477</v>
      </c>
      <c r="D20" s="61" t="n">
        <v>4798</v>
      </c>
      <c r="E20" s="62" t="s">
        <v>592</v>
      </c>
      <c r="F20" s="62" t="s">
        <v>319</v>
      </c>
      <c r="G20" s="62" t="s">
        <v>830</v>
      </c>
      <c r="H20" s="72" t="n">
        <f aca="false">D21/C21-1</f>
        <v>1.24229074889868</v>
      </c>
    </row>
    <row r="21" customFormat="false" ht="15" hidden="false" customHeight="true" outlineLevel="0" collapsed="false">
      <c r="A21" s="11" t="s">
        <v>831</v>
      </c>
      <c r="B21" s="31" t="n">
        <v>422</v>
      </c>
      <c r="C21" s="31" t="n">
        <v>681</v>
      </c>
      <c r="D21" s="31" t="n">
        <v>1527</v>
      </c>
      <c r="E21" s="26" t="s">
        <v>381</v>
      </c>
      <c r="F21" s="26" t="s">
        <v>832</v>
      </c>
      <c r="G21" s="26" t="s">
        <v>833</v>
      </c>
      <c r="H21" s="73" t="n">
        <f aca="false">D22/C22-1</f>
        <v>0.0959723352318957</v>
      </c>
    </row>
    <row r="22" customFormat="false" ht="15" hidden="false" customHeight="true" outlineLevel="0" collapsed="false">
      <c r="A22" s="63" t="s">
        <v>569</v>
      </c>
      <c r="B22" s="64" t="n">
        <v>21267</v>
      </c>
      <c r="C22" s="64" t="n">
        <v>24580</v>
      </c>
      <c r="D22" s="64" t="n">
        <v>26939</v>
      </c>
      <c r="E22" s="65" t="s">
        <v>215</v>
      </c>
      <c r="F22" s="65" t="s">
        <v>215</v>
      </c>
      <c r="G22" s="65" t="s">
        <v>215</v>
      </c>
      <c r="H22" s="74" t="n">
        <f aca="false">D22/C22-1</f>
        <v>0.0959723352318957</v>
      </c>
    </row>
    <row r="24" customFormat="false" ht="12.75" hidden="false" customHeight="true" outlineLevel="0" collapsed="false">
      <c r="A24" s="27" t="s">
        <v>834</v>
      </c>
    </row>
    <row r="25" customFormat="false" ht="6" hidden="false" customHeight="true" outlineLevel="0" collapsed="false"/>
    <row r="26" customFormat="false" ht="21.75" hidden="false" customHeight="true" outlineLevel="0" collapsed="false">
      <c r="A26" s="58" t="s">
        <v>835</v>
      </c>
      <c r="B26" s="58"/>
      <c r="C26" s="58"/>
      <c r="D26" s="58"/>
      <c r="E26" s="58"/>
      <c r="F26" s="58"/>
      <c r="G26" s="58"/>
      <c r="H26" s="58"/>
    </row>
    <row r="27" customFormat="false" ht="15.75" hidden="false" customHeight="true" outlineLevel="0" collapsed="false">
      <c r="A27" s="59" t="s">
        <v>147</v>
      </c>
      <c r="B27" s="59" t="s">
        <v>98</v>
      </c>
      <c r="C27" s="59" t="s">
        <v>99</v>
      </c>
      <c r="D27" s="59" t="s">
        <v>695</v>
      </c>
      <c r="E27" s="59" t="s">
        <v>820</v>
      </c>
      <c r="F27" s="59" t="s">
        <v>821</v>
      </c>
      <c r="G27" s="59" t="s">
        <v>822</v>
      </c>
      <c r="H27" s="59" t="s">
        <v>823</v>
      </c>
    </row>
    <row r="28" customFormat="false" ht="15" hidden="false" customHeight="true" outlineLevel="0" collapsed="false">
      <c r="A28" s="66" t="s">
        <v>154</v>
      </c>
      <c r="B28" s="53" t="n">
        <v>13709</v>
      </c>
      <c r="C28" s="53" t="n">
        <v>15253</v>
      </c>
      <c r="D28" s="53" t="n">
        <v>16690</v>
      </c>
      <c r="E28" s="33" t="s">
        <v>836</v>
      </c>
      <c r="F28" s="33" t="s">
        <v>837</v>
      </c>
      <c r="G28" s="33" t="s">
        <v>838</v>
      </c>
      <c r="H28" s="75" t="n">
        <f aca="false">D29/C29-1</f>
        <v>0.0980476292641064</v>
      </c>
    </row>
    <row r="29" customFormat="false" ht="15" hidden="false" customHeight="true" outlineLevel="0" collapsed="false">
      <c r="A29" s="11" t="s">
        <v>163</v>
      </c>
      <c r="B29" s="31" t="n">
        <v>7558</v>
      </c>
      <c r="C29" s="31" t="n">
        <v>9322</v>
      </c>
      <c r="D29" s="31" t="n">
        <v>10236</v>
      </c>
      <c r="E29" s="26" t="s">
        <v>542</v>
      </c>
      <c r="F29" s="26" t="s">
        <v>839</v>
      </c>
      <c r="G29" s="26" t="s">
        <v>543</v>
      </c>
      <c r="H29" s="73" t="n">
        <f aca="false">D30/C30-1</f>
        <v>1.6</v>
      </c>
    </row>
    <row r="30" customFormat="false" ht="15" hidden="false" customHeight="true" outlineLevel="0" collapsed="false">
      <c r="A30" s="60" t="s">
        <v>151</v>
      </c>
      <c r="B30" s="62" t="n">
        <v>0</v>
      </c>
      <c r="C30" s="62" t="n">
        <v>5</v>
      </c>
      <c r="D30" s="61" t="n">
        <v>13</v>
      </c>
      <c r="E30" s="62" t="s">
        <v>840</v>
      </c>
      <c r="F30" s="62" t="s">
        <v>840</v>
      </c>
      <c r="G30" s="62" t="s">
        <v>841</v>
      </c>
      <c r="H30" s="72" t="n">
        <f aca="false">D31/C31-1</f>
        <v>0.0959723352318957</v>
      </c>
    </row>
    <row r="31" customFormat="false" ht="15" hidden="false" customHeight="true" outlineLevel="0" collapsed="false">
      <c r="A31" s="63" t="s">
        <v>569</v>
      </c>
      <c r="B31" s="64" t="n">
        <v>21267</v>
      </c>
      <c r="C31" s="64" t="n">
        <v>24580</v>
      </c>
      <c r="D31" s="64" t="n">
        <v>26939</v>
      </c>
      <c r="E31" s="65" t="s">
        <v>215</v>
      </c>
      <c r="F31" s="65" t="s">
        <v>215</v>
      </c>
      <c r="G31" s="65" t="s">
        <v>215</v>
      </c>
      <c r="H31" s="74" t="n">
        <f aca="false">D31/C31-1</f>
        <v>0.0959723352318957</v>
      </c>
    </row>
    <row r="33" customFormat="false" ht="12.75" hidden="false" customHeight="true" outlineLevel="0" collapsed="false">
      <c r="A33" s="27" t="s">
        <v>842</v>
      </c>
    </row>
    <row r="34" customFormat="false" ht="6" hidden="false" customHeight="true" outlineLevel="0" collapsed="false"/>
    <row r="35" customFormat="false" ht="21.75" hidden="false" customHeight="true" outlineLevel="0" collapsed="false">
      <c r="A35" s="58" t="s">
        <v>843</v>
      </c>
      <c r="B35" s="58"/>
      <c r="C35" s="58"/>
      <c r="D35" s="58"/>
      <c r="E35" s="58"/>
      <c r="F35" s="58"/>
      <c r="G35" s="58"/>
      <c r="H35" s="58"/>
    </row>
    <row r="36" customFormat="false" ht="15.75" hidden="false" customHeight="true" outlineLevel="0" collapsed="false">
      <c r="A36" s="59" t="s">
        <v>844</v>
      </c>
      <c r="B36" s="59" t="s">
        <v>163</v>
      </c>
      <c r="C36" s="59" t="s">
        <v>154</v>
      </c>
      <c r="D36" s="59" t="s">
        <v>151</v>
      </c>
      <c r="E36" s="59" t="s">
        <v>845</v>
      </c>
      <c r="F36" s="59" t="s">
        <v>659</v>
      </c>
      <c r="G36" s="59" t="s">
        <v>664</v>
      </c>
    </row>
    <row r="37" customFormat="false" ht="18" hidden="false" customHeight="true" outlineLevel="0" collapsed="false">
      <c r="A37" s="60" t="s">
        <v>790</v>
      </c>
      <c r="B37" s="62" t="n">
        <v>5</v>
      </c>
      <c r="C37" s="62" t="n">
        <v>8</v>
      </c>
      <c r="D37" s="62" t="n">
        <v>0</v>
      </c>
      <c r="E37" s="62" t="n">
        <v>13</v>
      </c>
      <c r="F37" s="62" t="s">
        <v>846</v>
      </c>
      <c r="G37" s="67" t="s">
        <v>847</v>
      </c>
    </row>
    <row r="38" customFormat="false" ht="18" hidden="false" customHeight="true" outlineLevel="0" collapsed="false">
      <c r="A38" s="66" t="s">
        <v>848</v>
      </c>
      <c r="B38" s="54" t="n">
        <v>16</v>
      </c>
      <c r="C38" s="54" t="n">
        <v>18</v>
      </c>
      <c r="D38" s="54" t="n">
        <v>0</v>
      </c>
      <c r="E38" s="70" t="n">
        <v>34</v>
      </c>
      <c r="F38" s="54" t="s">
        <v>849</v>
      </c>
      <c r="G38" s="68" t="s">
        <v>850</v>
      </c>
    </row>
    <row r="39" customFormat="false" ht="18" hidden="false" customHeight="true" outlineLevel="0" collapsed="false">
      <c r="A39" s="60" t="s">
        <v>799</v>
      </c>
      <c r="B39" s="62" t="n">
        <v>3</v>
      </c>
      <c r="C39" s="62" t="n">
        <v>8</v>
      </c>
      <c r="D39" s="62" t="n">
        <v>0</v>
      </c>
      <c r="E39" s="62" t="n">
        <v>11</v>
      </c>
      <c r="F39" s="62" t="s">
        <v>851</v>
      </c>
      <c r="G39" s="67" t="s">
        <v>852</v>
      </c>
    </row>
    <row r="40" customFormat="false" ht="18" hidden="false" customHeight="true" outlineLevel="0" collapsed="false">
      <c r="A40" s="11" t="s">
        <v>853</v>
      </c>
      <c r="B40" s="26" t="n">
        <v>3</v>
      </c>
      <c r="C40" s="26" t="n">
        <v>7</v>
      </c>
      <c r="D40" s="26" t="n">
        <v>1</v>
      </c>
      <c r="E40" s="26" t="n">
        <v>11</v>
      </c>
      <c r="F40" s="26" t="s">
        <v>854</v>
      </c>
      <c r="G40" s="13" t="s">
        <v>855</v>
      </c>
    </row>
    <row r="41" customFormat="false" ht="18" hidden="false" customHeight="true" outlineLevel="0" collapsed="false">
      <c r="A41" s="60" t="s">
        <v>806</v>
      </c>
      <c r="B41" s="62" t="n">
        <v>0</v>
      </c>
      <c r="C41" s="62" t="n">
        <v>2</v>
      </c>
      <c r="D41" s="62" t="n">
        <v>0</v>
      </c>
      <c r="E41" s="62" t="n">
        <v>2</v>
      </c>
      <c r="F41" s="62" t="n">
        <v>1</v>
      </c>
      <c r="G41" s="67" t="s">
        <v>856</v>
      </c>
    </row>
    <row r="42" customFormat="false" ht="18" hidden="false" customHeight="true" outlineLevel="0" collapsed="false">
      <c r="A42" s="11" t="s">
        <v>857</v>
      </c>
      <c r="B42" s="26" t="n">
        <v>0</v>
      </c>
      <c r="C42" s="26" t="n">
        <v>1</v>
      </c>
      <c r="D42" s="26" t="n">
        <v>0</v>
      </c>
      <c r="E42" s="26" t="n">
        <v>1</v>
      </c>
      <c r="F42" s="26" t="n">
        <v>1</v>
      </c>
      <c r="G42" s="13" t="s">
        <v>858</v>
      </c>
    </row>
    <row r="43" customFormat="false" ht="18" hidden="false" customHeight="true" outlineLevel="0" collapsed="false">
      <c r="A43" s="60" t="s">
        <v>859</v>
      </c>
      <c r="B43" s="62" t="n">
        <v>0</v>
      </c>
      <c r="C43" s="62" t="n">
        <v>1</v>
      </c>
      <c r="D43" s="62" t="n">
        <v>0</v>
      </c>
      <c r="E43" s="62" t="n">
        <v>1</v>
      </c>
      <c r="F43" s="62" t="n">
        <v>1</v>
      </c>
      <c r="G43" s="67" t="s">
        <v>860</v>
      </c>
    </row>
    <row r="44" customFormat="false" ht="18" hidden="false" customHeight="true" outlineLevel="0" collapsed="false">
      <c r="A44" s="63" t="s">
        <v>569</v>
      </c>
      <c r="B44" s="65" t="n">
        <v>27</v>
      </c>
      <c r="C44" s="65" t="n">
        <v>45</v>
      </c>
      <c r="D44" s="65" t="n">
        <v>1</v>
      </c>
      <c r="E44" s="65" t="n">
        <v>73</v>
      </c>
      <c r="F44" s="65" t="n">
        <v>22</v>
      </c>
      <c r="G44" s="63" t="s">
        <v>861</v>
      </c>
    </row>
    <row r="46" customFormat="false" ht="12.75" hidden="false" customHeight="true" outlineLevel="0" collapsed="false">
      <c r="A46" s="27" t="s">
        <v>862</v>
      </c>
    </row>
    <row r="47" customFormat="false" ht="6" hidden="false" customHeight="true" outlineLevel="0" collapsed="false"/>
    <row r="48" customFormat="false" ht="21.75" hidden="false" customHeight="true" outlineLevel="0" collapsed="false">
      <c r="A48" s="58" t="s">
        <v>863</v>
      </c>
      <c r="B48" s="58"/>
      <c r="C48" s="58"/>
      <c r="D48" s="58"/>
      <c r="E48" s="58"/>
      <c r="F48" s="58"/>
      <c r="G48" s="58"/>
      <c r="H48" s="58"/>
    </row>
    <row r="49" customFormat="false" ht="15.75" hidden="false" customHeight="true" outlineLevel="0" collapsed="false">
      <c r="A49" s="59" t="s">
        <v>864</v>
      </c>
      <c r="B49" s="59" t="s">
        <v>865</v>
      </c>
      <c r="C49" s="59" t="s">
        <v>866</v>
      </c>
      <c r="D49" s="59" t="s">
        <v>391</v>
      </c>
      <c r="E49" s="59" t="s">
        <v>867</v>
      </c>
    </row>
    <row r="50" customFormat="false" ht="15.75" hidden="false" customHeight="true" outlineLevel="0" collapsed="false">
      <c r="A50" s="60" t="s">
        <v>868</v>
      </c>
      <c r="B50" s="61" t="n">
        <v>250</v>
      </c>
      <c r="C50" s="61" t="n">
        <v>1999</v>
      </c>
      <c r="D50" s="67" t="s">
        <v>869</v>
      </c>
      <c r="E50" s="67" t="s">
        <v>870</v>
      </c>
    </row>
    <row r="51" customFormat="false" ht="15.75" hidden="false" customHeight="true" outlineLevel="0" collapsed="false">
      <c r="A51" s="11" t="s">
        <v>871</v>
      </c>
      <c r="B51" s="31" t="n">
        <v>315</v>
      </c>
      <c r="C51" s="31" t="n">
        <v>99995</v>
      </c>
      <c r="D51" s="13" t="s">
        <v>872</v>
      </c>
      <c r="E51" s="13" t="s">
        <v>873</v>
      </c>
    </row>
    <row r="52" customFormat="false" ht="15.75" hidden="false" customHeight="true" outlineLevel="0" collapsed="false">
      <c r="A52" s="60" t="s">
        <v>874</v>
      </c>
      <c r="B52" s="61" t="n">
        <v>250</v>
      </c>
      <c r="C52" s="61" t="n">
        <v>1495</v>
      </c>
      <c r="D52" s="67" t="s">
        <v>875</v>
      </c>
      <c r="E52" s="67" t="s">
        <v>876</v>
      </c>
    </row>
    <row r="53" customFormat="false" ht="15.75" hidden="false" customHeight="true" outlineLevel="0" collapsed="false">
      <c r="A53" s="11" t="s">
        <v>877</v>
      </c>
      <c r="B53" s="31" t="n">
        <v>487</v>
      </c>
      <c r="C53" s="31" t="n">
        <v>1495</v>
      </c>
      <c r="D53" s="13" t="s">
        <v>878</v>
      </c>
      <c r="E53" s="13" t="s">
        <v>879</v>
      </c>
    </row>
    <row r="54" customFormat="false" ht="15.75" hidden="false" customHeight="true" outlineLevel="0" collapsed="false">
      <c r="A54" s="60" t="s">
        <v>880</v>
      </c>
      <c r="B54" s="61" t="n">
        <v>125</v>
      </c>
      <c r="C54" s="61" t="n">
        <v>3210</v>
      </c>
      <c r="D54" s="67" t="s">
        <v>881</v>
      </c>
      <c r="E54" s="67" t="s">
        <v>882</v>
      </c>
    </row>
    <row r="55" customFormat="false" ht="15.75" hidden="false" customHeight="true" outlineLevel="0" collapsed="false">
      <c r="A55" s="11" t="s">
        <v>883</v>
      </c>
      <c r="B55" s="31" t="n">
        <v>125</v>
      </c>
      <c r="C55" s="31" t="n">
        <v>2445</v>
      </c>
      <c r="D55" s="13" t="s">
        <v>884</v>
      </c>
      <c r="E55" s="13" t="s">
        <v>885</v>
      </c>
    </row>
    <row r="56" customFormat="false" ht="15.75" hidden="false" customHeight="true" outlineLevel="0" collapsed="false">
      <c r="A56" s="60" t="s">
        <v>886</v>
      </c>
      <c r="B56" s="61" t="n">
        <v>796</v>
      </c>
      <c r="C56" s="61" t="n">
        <v>1195</v>
      </c>
      <c r="D56" s="67" t="s">
        <v>887</v>
      </c>
      <c r="E56" s="67" t="s">
        <v>888</v>
      </c>
    </row>
    <row r="57" customFormat="false" ht="15.75" hidden="false" customHeight="true" outlineLevel="0" collapsed="false">
      <c r="A57" s="11" t="s">
        <v>889</v>
      </c>
      <c r="B57" s="31" t="n">
        <v>99</v>
      </c>
      <c r="C57" s="31" t="n">
        <v>21995</v>
      </c>
      <c r="D57" s="13" t="s">
        <v>890</v>
      </c>
      <c r="E57" s="13" t="s">
        <v>891</v>
      </c>
    </row>
    <row r="58" customFormat="false" ht="15.75" hidden="false" customHeight="true" outlineLevel="0" collapsed="false">
      <c r="A58" s="60" t="s">
        <v>892</v>
      </c>
      <c r="B58" s="61" t="n">
        <v>300</v>
      </c>
      <c r="C58" s="61" t="n">
        <v>650</v>
      </c>
      <c r="D58" s="67" t="s">
        <v>893</v>
      </c>
      <c r="E58" s="67" t="s">
        <v>894</v>
      </c>
    </row>
    <row r="59" customFormat="false" ht="15.75" hidden="false" customHeight="true" outlineLevel="0" collapsed="false">
      <c r="A59" s="11" t="s">
        <v>895</v>
      </c>
      <c r="B59" s="31" t="n">
        <v>225</v>
      </c>
      <c r="C59" s="31" t="n">
        <v>225</v>
      </c>
      <c r="D59" s="13" t="s">
        <v>896</v>
      </c>
      <c r="E59" s="13" t="s">
        <v>897</v>
      </c>
    </row>
    <row r="60" customFormat="false" ht="15.75" hidden="false" customHeight="true" outlineLevel="0" collapsed="false">
      <c r="A60" s="60" t="s">
        <v>898</v>
      </c>
      <c r="B60" s="61" t="n">
        <v>899</v>
      </c>
      <c r="C60" s="61" t="n">
        <v>1359</v>
      </c>
      <c r="D60" s="67" t="s">
        <v>893</v>
      </c>
      <c r="E60" s="67" t="s">
        <v>899</v>
      </c>
    </row>
    <row r="61" customFormat="false" ht="15.75" hidden="false" customHeight="true" outlineLevel="0" collapsed="false">
      <c r="A61" s="11" t="s">
        <v>900</v>
      </c>
      <c r="B61" s="31" t="n">
        <v>125</v>
      </c>
      <c r="C61" s="31" t="n">
        <v>125</v>
      </c>
      <c r="D61" s="13" t="s">
        <v>901</v>
      </c>
      <c r="E61" s="13" t="s">
        <v>902</v>
      </c>
    </row>
    <row r="62" customFormat="false" ht="15.75" hidden="false" customHeight="true" outlineLevel="0" collapsed="false">
      <c r="A62" s="60" t="s">
        <v>903</v>
      </c>
      <c r="B62" s="61" t="n">
        <v>195</v>
      </c>
      <c r="C62" s="61" t="n">
        <v>395</v>
      </c>
      <c r="D62" s="67" t="s">
        <v>904</v>
      </c>
      <c r="E62" s="67" t="s">
        <v>905</v>
      </c>
    </row>
    <row r="64" customFormat="false" ht="12.75" hidden="false" customHeight="true" outlineLevel="0" collapsed="false">
      <c r="A64" s="27" t="s">
        <v>906</v>
      </c>
    </row>
    <row r="65" customFormat="false" ht="21.75" hidden="false" customHeight="true" outlineLevel="0" collapsed="false">
      <c r="A65" s="16" t="s">
        <v>907</v>
      </c>
      <c r="B65" s="16"/>
      <c r="C65" s="16"/>
      <c r="D65" s="16"/>
      <c r="E65" s="16"/>
      <c r="F65" s="16"/>
      <c r="G65" s="16"/>
      <c r="H65" s="16"/>
    </row>
    <row r="66" customFormat="false" ht="15.75" hidden="false" customHeight="true" outlineLevel="0" collapsed="false">
      <c r="A66" s="59" t="s">
        <v>5</v>
      </c>
      <c r="B66" s="59" t="s">
        <v>98</v>
      </c>
      <c r="C66" s="59" t="s">
        <v>99</v>
      </c>
      <c r="D66" s="59" t="s">
        <v>695</v>
      </c>
      <c r="E66" s="59" t="s">
        <v>908</v>
      </c>
      <c r="F66" s="59" t="s">
        <v>909</v>
      </c>
      <c r="G66" s="59" t="s">
        <v>788</v>
      </c>
      <c r="H66" s="59" t="s">
        <v>910</v>
      </c>
    </row>
    <row r="67" customFormat="false" ht="15" hidden="false" customHeight="true" outlineLevel="0" collapsed="false">
      <c r="A67" s="60" t="s">
        <v>911</v>
      </c>
      <c r="B67" s="76" t="n">
        <v>797.87</v>
      </c>
      <c r="C67" s="76" t="n">
        <v>1305.88</v>
      </c>
      <c r="D67" s="76" t="n">
        <v>1953.3</v>
      </c>
      <c r="E67" s="62" t="s">
        <v>912</v>
      </c>
      <c r="F67" s="52" t="s">
        <v>913</v>
      </c>
      <c r="G67" s="52" t="s">
        <v>914</v>
      </c>
      <c r="H67" s="77" t="n">
        <f aca="false">((D67/B67)^(1/2))-1</f>
        <v>0.564654332822428</v>
      </c>
    </row>
    <row r="68" customFormat="false" ht="12.75" hidden="false" customHeight="true" outlineLevel="0" collapsed="false">
      <c r="A68" s="27" t="s">
        <v>915</v>
      </c>
    </row>
  </sheetData>
  <mergeCells count="7">
    <mergeCell ref="A1:H1"/>
    <mergeCell ref="A3:H3"/>
    <mergeCell ref="A16:H16"/>
    <mergeCell ref="A26:H26"/>
    <mergeCell ref="A35:H35"/>
    <mergeCell ref="A48:H48"/>
    <mergeCell ref="A65:H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8"/>
    <col collapsed="false" customWidth="true" hidden="false" outlineLevel="0" max="7" min="5" style="1" width="22"/>
  </cols>
  <sheetData>
    <row r="1" customFormat="false" ht="21.75" hidden="false" customHeight="true" outlineLevel="0" collapsed="false">
      <c r="A1" s="58" t="s">
        <v>916</v>
      </c>
      <c r="B1" s="58"/>
      <c r="C1" s="58"/>
      <c r="D1" s="58"/>
      <c r="E1" s="58"/>
      <c r="F1" s="58"/>
      <c r="G1" s="58"/>
    </row>
    <row r="2" customFormat="false" ht="6" hidden="false" customHeight="true" outlineLevel="0" collapsed="false"/>
    <row r="3" customFormat="false" ht="19.5" hidden="false" customHeight="true" outlineLevel="0" collapsed="false">
      <c r="A3" s="78" t="s">
        <v>917</v>
      </c>
    </row>
    <row r="4" customFormat="false" ht="6" hidden="false" customHeight="true" outlineLevel="0" collapsed="false"/>
    <row r="5" customFormat="false" ht="21.75" hidden="false" customHeight="true" outlineLevel="0" collapsed="false">
      <c r="A5" s="58" t="s">
        <v>918</v>
      </c>
      <c r="B5" s="58"/>
      <c r="C5" s="58"/>
      <c r="D5" s="58"/>
      <c r="E5" s="58"/>
      <c r="F5" s="58"/>
      <c r="G5" s="58"/>
    </row>
    <row r="6" customFormat="false" ht="15.75" hidden="false" customHeight="true" outlineLevel="0" collapsed="false">
      <c r="A6" s="59" t="s">
        <v>919</v>
      </c>
      <c r="B6" s="59" t="s">
        <v>98</v>
      </c>
      <c r="C6" s="59" t="s">
        <v>99</v>
      </c>
      <c r="D6" s="59" t="s">
        <v>695</v>
      </c>
      <c r="E6" s="59" t="s">
        <v>920</v>
      </c>
      <c r="F6" s="59" t="s">
        <v>921</v>
      </c>
      <c r="G6" s="59" t="s">
        <v>432</v>
      </c>
    </row>
    <row r="7" customFormat="false" ht="15" hidden="false" customHeight="true" outlineLevel="0" collapsed="false">
      <c r="A7" s="60" t="s">
        <v>922</v>
      </c>
      <c r="B7" s="79" t="n">
        <v>21267.19</v>
      </c>
      <c r="C7" s="76" t="n">
        <v>24579.91</v>
      </c>
      <c r="D7" s="76" t="n">
        <v>26939.44</v>
      </c>
      <c r="E7" s="72" t="n">
        <f aca="false">((D7/B7)^(1/2))-1</f>
        <v>0.125483743154896</v>
      </c>
      <c r="F7" s="72" t="n">
        <f aca="false">D7/C7-1</f>
        <v>0.0959942489618555</v>
      </c>
      <c r="G7" s="80" t="s">
        <v>923</v>
      </c>
    </row>
    <row r="8" customFormat="false" ht="15" hidden="false" customHeight="true" outlineLevel="0" collapsed="false">
      <c r="A8" s="11" t="s">
        <v>924</v>
      </c>
      <c r="B8" s="81" t="n">
        <v>6923.14</v>
      </c>
      <c r="C8" s="82" t="n">
        <v>8711.32</v>
      </c>
      <c r="D8" s="82" t="n">
        <v>10126.4</v>
      </c>
      <c r="E8" s="73" t="n">
        <f aca="false">((D8/B8)^(1/2))-1</f>
        <v>0.209416758400997</v>
      </c>
      <c r="F8" s="73" t="n">
        <f aca="false">D8/C8-1</f>
        <v>0.162441512882089</v>
      </c>
      <c r="G8" s="80" t="s">
        <v>925</v>
      </c>
    </row>
    <row r="9" customFormat="false" ht="15" hidden="false" customHeight="true" outlineLevel="0" collapsed="false">
      <c r="A9" s="60" t="s">
        <v>926</v>
      </c>
      <c r="B9" s="83" t="s">
        <v>927</v>
      </c>
      <c r="C9" s="62" t="s">
        <v>928</v>
      </c>
      <c r="D9" s="62" t="s">
        <v>21</v>
      </c>
      <c r="E9" s="62" t="s">
        <v>929</v>
      </c>
      <c r="F9" s="62"/>
      <c r="G9" s="80" t="s">
        <v>930</v>
      </c>
    </row>
    <row r="10" customFormat="false" ht="15" hidden="false" customHeight="true" outlineLevel="0" collapsed="false">
      <c r="A10" s="11" t="s">
        <v>931</v>
      </c>
      <c r="B10" s="81" t="n">
        <v>2192.94</v>
      </c>
      <c r="C10" s="82" t="n">
        <v>2661.08</v>
      </c>
      <c r="D10" s="82" t="n">
        <v>3738.26</v>
      </c>
      <c r="E10" s="73" t="n">
        <f aca="false">((D10/B10)^(1/2))-1</f>
        <v>0.305633778130886</v>
      </c>
      <c r="F10" s="73" t="n">
        <f aca="false">D10/C10-1</f>
        <v>0.404790536173283</v>
      </c>
      <c r="G10" s="80" t="s">
        <v>925</v>
      </c>
    </row>
    <row r="11" customFormat="false" ht="15" hidden="false" customHeight="true" outlineLevel="0" collapsed="false">
      <c r="A11" s="60" t="s">
        <v>932</v>
      </c>
      <c r="B11" s="83" t="s">
        <v>933</v>
      </c>
      <c r="C11" s="62" t="s">
        <v>934</v>
      </c>
      <c r="D11" s="62" t="s">
        <v>18</v>
      </c>
      <c r="E11" s="62" t="s">
        <v>935</v>
      </c>
      <c r="F11" s="62"/>
      <c r="G11" s="80" t="s">
        <v>936</v>
      </c>
    </row>
    <row r="12" customFormat="false" ht="15" hidden="false" customHeight="true" outlineLevel="0" collapsed="false">
      <c r="A12" s="11" t="s">
        <v>937</v>
      </c>
      <c r="B12" s="81" t="n">
        <v>678.21</v>
      </c>
      <c r="C12" s="82" t="n">
        <v>616.74</v>
      </c>
      <c r="D12" s="82" t="n">
        <v>1044.21</v>
      </c>
      <c r="E12" s="73" t="n">
        <f aca="false">((D12/B12)^(1/2))-1</f>
        <v>0.240828698412797</v>
      </c>
      <c r="F12" s="73" t="n">
        <f aca="false">D12/C12-1</f>
        <v>0.693112170444596</v>
      </c>
      <c r="G12" s="80" t="s">
        <v>938</v>
      </c>
    </row>
    <row r="13" customFormat="false" ht="15" hidden="false" customHeight="true" outlineLevel="0" collapsed="false">
      <c r="A13" s="60" t="s">
        <v>939</v>
      </c>
      <c r="B13" s="83" t="s">
        <v>940</v>
      </c>
      <c r="C13" s="62" t="s">
        <v>941</v>
      </c>
      <c r="D13" s="62" t="s">
        <v>942</v>
      </c>
      <c r="E13" s="62" t="s">
        <v>943</v>
      </c>
      <c r="F13" s="62"/>
      <c r="G13" s="80" t="s">
        <v>944</v>
      </c>
    </row>
    <row r="15" customFormat="false" ht="12.75" hidden="false" customHeight="true" outlineLevel="0" collapsed="false">
      <c r="A15" s="27" t="s">
        <v>945</v>
      </c>
    </row>
    <row r="16" customFormat="false" ht="6" hidden="false" customHeight="true" outlineLevel="0" collapsed="false"/>
    <row r="17" customFormat="false" ht="21.75" hidden="false" customHeight="true" outlineLevel="0" collapsed="false">
      <c r="A17" s="58" t="s">
        <v>946</v>
      </c>
      <c r="B17" s="58"/>
      <c r="C17" s="58"/>
      <c r="D17" s="58"/>
      <c r="E17" s="58"/>
      <c r="F17" s="58"/>
      <c r="G17" s="58"/>
    </row>
    <row r="18" customFormat="false" ht="15.75" hidden="false" customHeight="true" outlineLevel="0" collapsed="false">
      <c r="A18" s="59" t="s">
        <v>947</v>
      </c>
      <c r="B18" s="59" t="s">
        <v>98</v>
      </c>
      <c r="C18" s="59" t="s">
        <v>99</v>
      </c>
      <c r="D18" s="59" t="s">
        <v>695</v>
      </c>
      <c r="E18" s="59" t="s">
        <v>921</v>
      </c>
      <c r="F18" s="59" t="s">
        <v>948</v>
      </c>
      <c r="G18" s="59" t="s">
        <v>949</v>
      </c>
    </row>
    <row r="19" customFormat="false" ht="18" hidden="false" customHeight="true" outlineLevel="0" collapsed="false">
      <c r="A19" s="60" t="s">
        <v>950</v>
      </c>
      <c r="B19" s="62" t="s">
        <v>951</v>
      </c>
      <c r="C19" s="62" t="s">
        <v>952</v>
      </c>
      <c r="D19" s="62" t="s">
        <v>953</v>
      </c>
      <c r="E19" s="52" t="s">
        <v>954</v>
      </c>
      <c r="F19" s="67" t="s">
        <v>955</v>
      </c>
      <c r="G19" s="80" t="s">
        <v>956</v>
      </c>
    </row>
    <row r="20" customFormat="false" ht="18" hidden="false" customHeight="true" outlineLevel="0" collapsed="false">
      <c r="A20" s="11" t="s">
        <v>957</v>
      </c>
      <c r="B20" s="26" t="s">
        <v>958</v>
      </c>
      <c r="C20" s="26" t="s">
        <v>959</v>
      </c>
      <c r="D20" s="26" t="s">
        <v>960</v>
      </c>
      <c r="E20" s="52" t="s">
        <v>961</v>
      </c>
      <c r="F20" s="13" t="s">
        <v>962</v>
      </c>
      <c r="G20" s="80" t="s">
        <v>938</v>
      </c>
    </row>
    <row r="21" customFormat="false" ht="18" hidden="false" customHeight="true" outlineLevel="0" collapsed="false">
      <c r="A21" s="14" t="s">
        <v>963</v>
      </c>
      <c r="B21" s="84" t="s">
        <v>964</v>
      </c>
      <c r="C21" s="84" t="s">
        <v>965</v>
      </c>
      <c r="D21" s="84" t="s">
        <v>966</v>
      </c>
      <c r="E21" s="84" t="s">
        <v>967</v>
      </c>
      <c r="F21" s="15" t="s">
        <v>968</v>
      </c>
      <c r="G21" s="15" t="s">
        <v>969</v>
      </c>
    </row>
    <row r="22" customFormat="false" ht="18" hidden="false" customHeight="true" outlineLevel="0" collapsed="false">
      <c r="A22" s="11" t="s">
        <v>970</v>
      </c>
      <c r="B22" s="26" t="s">
        <v>971</v>
      </c>
      <c r="C22" s="26" t="s">
        <v>972</v>
      </c>
      <c r="D22" s="26" t="s">
        <v>973</v>
      </c>
      <c r="E22" s="26" t="s">
        <v>974</v>
      </c>
      <c r="F22" s="13" t="s">
        <v>975</v>
      </c>
      <c r="G22" s="13" t="s">
        <v>976</v>
      </c>
    </row>
    <row r="23" customFormat="false" ht="18" hidden="false" customHeight="true" outlineLevel="0" collapsed="false">
      <c r="A23" s="60" t="s">
        <v>977</v>
      </c>
      <c r="B23" s="62" t="s">
        <v>978</v>
      </c>
      <c r="C23" s="62" t="s">
        <v>979</v>
      </c>
      <c r="D23" s="62" t="s">
        <v>980</v>
      </c>
      <c r="E23" s="52" t="s">
        <v>981</v>
      </c>
      <c r="F23" s="67" t="s">
        <v>982</v>
      </c>
      <c r="G23" s="80" t="s">
        <v>983</v>
      </c>
    </row>
    <row r="24" customFormat="false" ht="18" hidden="false" customHeight="true" outlineLevel="0" collapsed="false">
      <c r="A24" s="14" t="s">
        <v>984</v>
      </c>
      <c r="B24" s="84" t="s">
        <v>985</v>
      </c>
      <c r="C24" s="84" t="s">
        <v>986</v>
      </c>
      <c r="D24" s="84" t="s">
        <v>42</v>
      </c>
      <c r="E24" s="84" t="s">
        <v>987</v>
      </c>
      <c r="F24" s="15" t="s">
        <v>988</v>
      </c>
      <c r="G24" s="15" t="s">
        <v>989</v>
      </c>
    </row>
    <row r="25" customFormat="false" ht="18" hidden="false" customHeight="true" outlineLevel="0" collapsed="false">
      <c r="A25" s="60" t="s">
        <v>990</v>
      </c>
      <c r="B25" s="62" t="s">
        <v>991</v>
      </c>
      <c r="C25" s="62" t="s">
        <v>992</v>
      </c>
      <c r="D25" s="62" t="s">
        <v>993</v>
      </c>
      <c r="E25" s="62" t="s">
        <v>994</v>
      </c>
      <c r="F25" s="67" t="s">
        <v>995</v>
      </c>
      <c r="G25" s="67" t="s">
        <v>996</v>
      </c>
    </row>
    <row r="26" customFormat="false" ht="18" hidden="false" customHeight="true" outlineLevel="0" collapsed="false">
      <c r="A26" s="11" t="s">
        <v>997</v>
      </c>
      <c r="B26" s="26" t="s">
        <v>998</v>
      </c>
      <c r="C26" s="26" t="s">
        <v>999</v>
      </c>
      <c r="D26" s="26" t="s">
        <v>1000</v>
      </c>
      <c r="E26" s="26" t="s">
        <v>1001</v>
      </c>
      <c r="F26" s="13" t="s">
        <v>1002</v>
      </c>
      <c r="G26" s="13" t="s">
        <v>1003</v>
      </c>
    </row>
    <row r="27" customFormat="false" ht="18" hidden="false" customHeight="true" outlineLevel="0" collapsed="false">
      <c r="A27" s="60" t="s">
        <v>1004</v>
      </c>
      <c r="B27" s="62" t="s">
        <v>1005</v>
      </c>
      <c r="C27" s="62" t="s">
        <v>1006</v>
      </c>
      <c r="D27" s="62" t="s">
        <v>1007</v>
      </c>
      <c r="E27" s="52" t="s">
        <v>1008</v>
      </c>
      <c r="F27" s="67" t="s">
        <v>1009</v>
      </c>
      <c r="G27" s="80" t="s">
        <v>1010</v>
      </c>
    </row>
    <row r="28" customFormat="false" ht="18" hidden="false" customHeight="true" outlineLevel="0" collapsed="false">
      <c r="A28" s="11" t="s">
        <v>1011</v>
      </c>
      <c r="B28" s="26" t="s">
        <v>1012</v>
      </c>
      <c r="C28" s="26" t="s">
        <v>1013</v>
      </c>
      <c r="D28" s="26" t="s">
        <v>1014</v>
      </c>
      <c r="E28" s="26" t="s">
        <v>1015</v>
      </c>
      <c r="F28" s="13" t="s">
        <v>1016</v>
      </c>
      <c r="G28" s="13" t="s">
        <v>1017</v>
      </c>
    </row>
    <row r="29" customFormat="false" ht="18" hidden="false" customHeight="true" outlineLevel="0" collapsed="false">
      <c r="A29" s="60" t="s">
        <v>1018</v>
      </c>
      <c r="B29" s="62" t="s">
        <v>1019</v>
      </c>
      <c r="C29" s="62" t="s">
        <v>1020</v>
      </c>
      <c r="D29" s="62" t="s">
        <v>1021</v>
      </c>
      <c r="E29" s="62" t="s">
        <v>1022</v>
      </c>
      <c r="F29" s="67" t="s">
        <v>1023</v>
      </c>
      <c r="G29" s="67" t="s">
        <v>1024</v>
      </c>
    </row>
    <row r="30" customFormat="false" ht="18" hidden="false" customHeight="true" outlineLevel="0" collapsed="false">
      <c r="A30" s="11" t="s">
        <v>1025</v>
      </c>
      <c r="B30" s="26" t="s">
        <v>1026</v>
      </c>
      <c r="C30" s="26" t="s">
        <v>1027</v>
      </c>
      <c r="D30" s="26" t="s">
        <v>1028</v>
      </c>
      <c r="E30" s="52" t="s">
        <v>1029</v>
      </c>
      <c r="F30" s="13" t="s">
        <v>1030</v>
      </c>
      <c r="G30" s="80" t="s">
        <v>925</v>
      </c>
    </row>
    <row r="31" customFormat="false" ht="18" hidden="false" customHeight="true" outlineLevel="0" collapsed="false">
      <c r="A31" s="60" t="s">
        <v>1031</v>
      </c>
      <c r="B31" s="62" t="s">
        <v>1032</v>
      </c>
      <c r="C31" s="62" t="s">
        <v>1033</v>
      </c>
      <c r="D31" s="62" t="s">
        <v>1034</v>
      </c>
      <c r="E31" s="52" t="s">
        <v>1035</v>
      </c>
      <c r="F31" s="67" t="s">
        <v>1036</v>
      </c>
      <c r="G31" s="80" t="s">
        <v>1037</v>
      </c>
    </row>
    <row r="33" customFormat="false" ht="12.75" hidden="false" customHeight="true" outlineLevel="0" collapsed="false">
      <c r="A33" s="27" t="s">
        <v>1038</v>
      </c>
    </row>
    <row r="34" customFormat="false" ht="30" hidden="false" customHeight="true" outlineLevel="0" collapsed="false">
      <c r="A34" s="28" t="s">
        <v>1039</v>
      </c>
      <c r="B34" s="28"/>
      <c r="C34" s="28"/>
      <c r="D34" s="28"/>
      <c r="E34" s="28"/>
      <c r="F34" s="28"/>
      <c r="G34" s="28"/>
    </row>
    <row r="35" customFormat="false" ht="30" hidden="false" customHeight="true" outlineLevel="0" collapsed="false">
      <c r="A35" s="85" t="s">
        <v>1040</v>
      </c>
      <c r="B35" s="85"/>
      <c r="C35" s="85"/>
      <c r="D35" s="85"/>
      <c r="E35" s="85"/>
      <c r="F35" s="85"/>
      <c r="G35" s="85"/>
    </row>
  </sheetData>
  <mergeCells count="5">
    <mergeCell ref="A1:G1"/>
    <mergeCell ref="A5:G5"/>
    <mergeCell ref="A17:G17"/>
    <mergeCell ref="A34:G34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0" min="2" style="1" width="14"/>
  </cols>
  <sheetData>
    <row r="1" customFormat="false" ht="21.75" hidden="false" customHeight="true" outlineLevel="0" collapsed="false">
      <c r="A1" s="58" t="s">
        <v>1041</v>
      </c>
      <c r="B1" s="58"/>
      <c r="C1" s="58"/>
      <c r="D1" s="58"/>
      <c r="E1" s="58"/>
      <c r="F1" s="58"/>
      <c r="G1" s="58"/>
      <c r="H1" s="58"/>
      <c r="I1" s="58"/>
      <c r="J1" s="58"/>
    </row>
    <row r="2" customFormat="false" ht="6" hidden="false" customHeight="true" outlineLevel="0" collapsed="false"/>
    <row r="3" customFormat="false" ht="21.75" hidden="false" customHeight="true" outlineLevel="0" collapsed="false">
      <c r="A3" s="58" t="s">
        <v>1042</v>
      </c>
      <c r="B3" s="58"/>
      <c r="C3" s="58"/>
      <c r="D3" s="58"/>
      <c r="E3" s="58"/>
      <c r="F3" s="58"/>
      <c r="G3" s="58"/>
      <c r="H3" s="58"/>
      <c r="I3" s="58"/>
      <c r="J3" s="58"/>
    </row>
    <row r="4" customFormat="false" ht="15.75" hidden="false" customHeight="true" outlineLevel="0" collapsed="false">
      <c r="A4" s="59" t="s">
        <v>1043</v>
      </c>
      <c r="B4" s="59" t="s">
        <v>391</v>
      </c>
      <c r="C4" s="59" t="s">
        <v>98</v>
      </c>
      <c r="D4" s="59" t="s">
        <v>99</v>
      </c>
      <c r="E4" s="59" t="s">
        <v>695</v>
      </c>
      <c r="F4" s="59" t="s">
        <v>910</v>
      </c>
      <c r="G4" s="59" t="s">
        <v>1044</v>
      </c>
      <c r="H4" s="59" t="s">
        <v>1045</v>
      </c>
      <c r="I4" s="59" t="s">
        <v>664</v>
      </c>
    </row>
    <row r="5" customFormat="false" ht="15" hidden="false" customHeight="true" outlineLevel="0" collapsed="false">
      <c r="A5" s="32" t="s">
        <v>1046</v>
      </c>
      <c r="B5" s="32" t="s">
        <v>1047</v>
      </c>
      <c r="C5" s="48" t="n">
        <v>21267</v>
      </c>
      <c r="D5" s="48" t="n">
        <v>24580</v>
      </c>
      <c r="E5" s="48" t="n">
        <v>26939</v>
      </c>
      <c r="F5" s="86" t="n">
        <f aca="false">((E5/C5)^(1/2))-1</f>
        <v>0.125479579393566</v>
      </c>
      <c r="G5" s="86" t="n">
        <f aca="false">D5/C5-1</f>
        <v>0.155781257347064</v>
      </c>
      <c r="H5" s="86" t="n">
        <f aca="false">E5/D5-1</f>
        <v>0.0959723352318957</v>
      </c>
      <c r="I5" s="32" t="s">
        <v>1048</v>
      </c>
    </row>
    <row r="6" customFormat="false" ht="15" hidden="false" customHeight="true" outlineLevel="0" collapsed="false">
      <c r="A6" s="11" t="s">
        <v>670</v>
      </c>
      <c r="B6" s="13" t="s">
        <v>1047</v>
      </c>
      <c r="C6" s="31" t="n">
        <v>19464</v>
      </c>
      <c r="D6" s="31" t="n">
        <v>21824</v>
      </c>
      <c r="E6" s="26"/>
      <c r="F6" s="26"/>
      <c r="G6" s="73" t="n">
        <f aca="false">D6/C6-1</f>
        <v>0.121249486230991</v>
      </c>
      <c r="H6" s="26"/>
      <c r="I6" s="13" t="s">
        <v>1049</v>
      </c>
    </row>
    <row r="7" customFormat="false" ht="15" hidden="false" customHeight="true" outlineLevel="0" collapsed="false">
      <c r="A7" s="60" t="s">
        <v>1050</v>
      </c>
      <c r="B7" s="67" t="s">
        <v>1047</v>
      </c>
      <c r="C7" s="61" t="n">
        <v>19008</v>
      </c>
      <c r="D7" s="61" t="n">
        <v>22171</v>
      </c>
      <c r="E7" s="62"/>
      <c r="F7" s="62"/>
      <c r="G7" s="72" t="n">
        <f aca="false">D7/C7-1</f>
        <v>0.16640361952862</v>
      </c>
      <c r="H7" s="62"/>
      <c r="I7" s="67" t="s">
        <v>1049</v>
      </c>
    </row>
    <row r="8" customFormat="false" ht="15" hidden="false" customHeight="true" outlineLevel="0" collapsed="false">
      <c r="A8" s="11" t="s">
        <v>1051</v>
      </c>
      <c r="B8" s="13" t="s">
        <v>1047</v>
      </c>
      <c r="C8" s="31" t="n">
        <v>13515</v>
      </c>
      <c r="D8" s="31" t="n">
        <v>13736</v>
      </c>
      <c r="E8" s="31" t="n">
        <v>14620</v>
      </c>
      <c r="F8" s="73" t="n">
        <f aca="false">((E8/C8)^(1/2))-1</f>
        <v>0.0400774039893896</v>
      </c>
      <c r="G8" s="73" t="n">
        <f aca="false">D8/C8-1</f>
        <v>0.0163522012578616</v>
      </c>
      <c r="H8" s="73" t="n">
        <f aca="false">E8/D8-1</f>
        <v>0.0643564356435644</v>
      </c>
      <c r="I8" s="13" t="s">
        <v>1052</v>
      </c>
    </row>
    <row r="9" customFormat="false" ht="15" hidden="false" customHeight="true" outlineLevel="0" collapsed="false">
      <c r="A9" s="60" t="s">
        <v>1053</v>
      </c>
      <c r="B9" s="67" t="s">
        <v>750</v>
      </c>
      <c r="C9" s="61" t="n">
        <v>7879</v>
      </c>
      <c r="D9" s="61" t="n">
        <v>9729</v>
      </c>
      <c r="E9" s="61" t="n">
        <v>13437</v>
      </c>
      <c r="F9" s="72" t="n">
        <f aca="false">((E9/C9)^(1/2))-1</f>
        <v>0.305917099005837</v>
      </c>
      <c r="G9" s="72" t="n">
        <f aca="false">D9/C9-1</f>
        <v>0.234801370732326</v>
      </c>
      <c r="H9" s="72" t="n">
        <f aca="false">E9/D9-1</f>
        <v>0.381128584643848</v>
      </c>
      <c r="I9" s="67" t="s">
        <v>1054</v>
      </c>
    </row>
    <row r="10" customFormat="false" ht="15" hidden="false" customHeight="true" outlineLevel="0" collapsed="false">
      <c r="A10" s="11" t="s">
        <v>1055</v>
      </c>
      <c r="B10" s="13" t="s">
        <v>1056</v>
      </c>
      <c r="C10" s="31" t="n">
        <v>9746</v>
      </c>
      <c r="D10" s="31" t="n">
        <v>11822</v>
      </c>
      <c r="E10" s="26"/>
      <c r="F10" s="26"/>
      <c r="G10" s="73" t="n">
        <f aca="false">D10/C10-1</f>
        <v>0.213010465832136</v>
      </c>
      <c r="H10" s="26"/>
      <c r="I10" s="13" t="s">
        <v>1049</v>
      </c>
    </row>
    <row r="11" customFormat="false" ht="15" hidden="false" customHeight="true" outlineLevel="0" collapsed="false">
      <c r="A11" s="60" t="s">
        <v>1057</v>
      </c>
      <c r="B11" s="67" t="s">
        <v>750</v>
      </c>
      <c r="C11" s="61" t="n">
        <v>7159</v>
      </c>
      <c r="D11" s="61" t="n">
        <v>8088</v>
      </c>
      <c r="E11" s="62"/>
      <c r="F11" s="62"/>
      <c r="G11" s="72" t="n">
        <f aca="false">D11/C11-1</f>
        <v>0.129766727196536</v>
      </c>
      <c r="H11" s="62"/>
      <c r="I11" s="67" t="s">
        <v>1049</v>
      </c>
    </row>
    <row r="12" customFormat="false" ht="15" hidden="false" customHeight="true" outlineLevel="0" collapsed="false">
      <c r="A12" s="11" t="s">
        <v>1058</v>
      </c>
      <c r="B12" s="13" t="s">
        <v>750</v>
      </c>
      <c r="C12" s="31" t="n">
        <v>5237</v>
      </c>
      <c r="D12" s="31" t="n">
        <v>6266</v>
      </c>
      <c r="E12" s="26"/>
      <c r="F12" s="26"/>
      <c r="G12" s="73" t="n">
        <f aca="false">D12/C12-1</f>
        <v>0.196486538094329</v>
      </c>
      <c r="H12" s="26"/>
      <c r="I12" s="13" t="s">
        <v>1049</v>
      </c>
    </row>
    <row r="13" customFormat="false" ht="15" hidden="false" customHeight="true" outlineLevel="0" collapsed="false">
      <c r="A13" s="60" t="s">
        <v>1059</v>
      </c>
      <c r="B13" s="67" t="s">
        <v>765</v>
      </c>
      <c r="C13" s="61" t="n">
        <v>24648</v>
      </c>
      <c r="D13" s="61" t="n">
        <v>27856</v>
      </c>
      <c r="E13" s="61" t="n">
        <v>32539</v>
      </c>
      <c r="F13" s="72" t="n">
        <f aca="false">((E13/C13)^(1/2))-1</f>
        <v>0.148976796686902</v>
      </c>
      <c r="G13" s="72" t="n">
        <f aca="false">D13/C13-1</f>
        <v>0.130152547874067</v>
      </c>
      <c r="H13" s="72" t="n">
        <f aca="false">E13/D13-1</f>
        <v>0.168114589316485</v>
      </c>
      <c r="I13" s="67"/>
    </row>
    <row r="14" customFormat="false" ht="15" hidden="false" customHeight="true" outlineLevel="0" collapsed="false">
      <c r="A14" s="11" t="s">
        <v>1060</v>
      </c>
      <c r="B14" s="13" t="s">
        <v>765</v>
      </c>
      <c r="C14" s="31" t="n">
        <v>8389</v>
      </c>
      <c r="D14" s="31" t="n">
        <v>11647</v>
      </c>
      <c r="E14" s="31" t="n">
        <v>18845</v>
      </c>
      <c r="F14" s="73" t="n">
        <f aca="false">((E14/C14)^(1/2))-1</f>
        <v>0.498797547200932</v>
      </c>
      <c r="G14" s="73" t="n">
        <f aca="false">D14/C14-1</f>
        <v>0.388365717010371</v>
      </c>
      <c r="H14" s="73" t="n">
        <f aca="false">E14/D14-1</f>
        <v>0.618013222289001</v>
      </c>
      <c r="I14" s="13" t="s">
        <v>1061</v>
      </c>
    </row>
    <row r="15" customFormat="false" ht="15" hidden="false" customHeight="true" outlineLevel="0" collapsed="false">
      <c r="A15" s="60" t="s">
        <v>1062</v>
      </c>
      <c r="B15" s="67" t="s">
        <v>765</v>
      </c>
      <c r="C15" s="61" t="n">
        <v>75860</v>
      </c>
      <c r="D15" s="61" t="n">
        <v>89120</v>
      </c>
      <c r="E15" s="61" t="n">
        <v>107163</v>
      </c>
      <c r="F15" s="72" t="n">
        <f aca="false">((E15/C15)^(1/2))-1</f>
        <v>0.188546048081533</v>
      </c>
      <c r="G15" s="72" t="n">
        <f aca="false">D15/C15-1</f>
        <v>0.174795676245716</v>
      </c>
      <c r="H15" s="72" t="n">
        <f aca="false">E15/D15-1</f>
        <v>0.202457360861759</v>
      </c>
      <c r="I15" s="67"/>
    </row>
    <row r="16" customFormat="false" ht="15" hidden="false" customHeight="true" outlineLevel="0" collapsed="false">
      <c r="A16" s="11" t="s">
        <v>1063</v>
      </c>
      <c r="B16" s="13" t="s">
        <v>1064</v>
      </c>
      <c r="C16" s="31" t="n">
        <v>428396</v>
      </c>
      <c r="D16" s="31" t="n">
        <v>507888</v>
      </c>
      <c r="E16" s="31" t="n">
        <v>593581</v>
      </c>
      <c r="F16" s="73" t="n">
        <f aca="false">((E16/C16)^(1/2))-1</f>
        <v>0.177110658053241</v>
      </c>
      <c r="G16" s="73" t="n">
        <f aca="false">D16/C16-1</f>
        <v>0.185557288116602</v>
      </c>
      <c r="H16" s="73" t="n">
        <f aca="false">E16/D16-1</f>
        <v>0.16872420691176</v>
      </c>
      <c r="I16" s="13" t="s">
        <v>1065</v>
      </c>
    </row>
    <row r="17" customFormat="false" ht="15" hidden="false" customHeight="true" outlineLevel="0" collapsed="false">
      <c r="A17" s="60" t="s">
        <v>1066</v>
      </c>
      <c r="B17" s="67" t="s">
        <v>1067</v>
      </c>
      <c r="C17" s="61" t="n">
        <v>82420</v>
      </c>
      <c r="D17" s="61" t="n">
        <v>123751</v>
      </c>
      <c r="E17" s="61" t="n">
        <v>171346</v>
      </c>
      <c r="F17" s="72" t="n">
        <f aca="false">((E17/C17)^(1/2))-1</f>
        <v>0.441851986570362</v>
      </c>
      <c r="G17" s="72" t="n">
        <f aca="false">D17/C17-1</f>
        <v>0.501468090269352</v>
      </c>
      <c r="H17" s="72" t="n">
        <f aca="false">E17/D17-1</f>
        <v>0.384602952703413</v>
      </c>
      <c r="I17" s="67" t="s">
        <v>1068</v>
      </c>
    </row>
    <row r="18" customFormat="false" ht="15" hidden="false" customHeight="true" outlineLevel="0" collapsed="false">
      <c r="A18" s="11" t="s">
        <v>1069</v>
      </c>
      <c r="B18" s="13" t="s">
        <v>1067</v>
      </c>
      <c r="C18" s="31" t="n">
        <v>116720</v>
      </c>
      <c r="D18" s="31" t="n">
        <v>112150</v>
      </c>
      <c r="E18" s="26"/>
      <c r="F18" s="26"/>
      <c r="G18" s="73" t="n">
        <f aca="false">D18/C18-1</f>
        <v>-0.0391535298149417</v>
      </c>
      <c r="H18" s="26"/>
      <c r="I18" s="13" t="s">
        <v>1070</v>
      </c>
    </row>
    <row r="19" customFormat="false" ht="15" hidden="false" customHeight="true" outlineLevel="0" collapsed="false">
      <c r="A19" s="60" t="s">
        <v>1071</v>
      </c>
      <c r="B19" s="67" t="s">
        <v>1067</v>
      </c>
      <c r="C19" s="61" t="n">
        <v>40221</v>
      </c>
      <c r="D19" s="61" t="n">
        <v>43166</v>
      </c>
      <c r="E19" s="61" t="n">
        <v>46276</v>
      </c>
      <c r="F19" s="72" t="n">
        <f aca="false">((E19/C19)^(1/2))-1</f>
        <v>0.0726337905136829</v>
      </c>
      <c r="G19" s="72" t="n">
        <f aca="false">D19/C19-1</f>
        <v>0.073220456975212</v>
      </c>
      <c r="H19" s="72" t="n">
        <f aca="false">E19/D19-1</f>
        <v>0.0720474447481814</v>
      </c>
      <c r="I19" s="67"/>
    </row>
    <row r="20" customFormat="false" ht="15" hidden="false" customHeight="true" outlineLevel="0" collapsed="false">
      <c r="A20" s="11" t="s">
        <v>1072</v>
      </c>
      <c r="B20" s="13" t="s">
        <v>1073</v>
      </c>
      <c r="C20" s="31" t="n">
        <v>2236530</v>
      </c>
      <c r="D20" s="31" t="n">
        <v>2583880</v>
      </c>
      <c r="E20" s="31" t="n">
        <v>3308700</v>
      </c>
      <c r="F20" s="73" t="n">
        <f aca="false">((E20/C20)^(1/2))-1</f>
        <v>0.216301750315667</v>
      </c>
      <c r="G20" s="73" t="n">
        <f aca="false">D20/C20-1</f>
        <v>0.15530755232436</v>
      </c>
      <c r="H20" s="73" t="n">
        <f aca="false">E20/D20-1</f>
        <v>0.28051612303977</v>
      </c>
      <c r="I20" s="13" t="s">
        <v>1074</v>
      </c>
    </row>
    <row r="21" customFormat="false" ht="15" hidden="false" customHeight="true" outlineLevel="0" collapsed="false">
      <c r="A21" s="60" t="s">
        <v>1075</v>
      </c>
      <c r="B21" s="67" t="s">
        <v>1067</v>
      </c>
      <c r="C21" s="61" t="n">
        <v>124179</v>
      </c>
      <c r="D21" s="61" t="n">
        <v>64415</v>
      </c>
      <c r="E21" s="61" t="n">
        <v>73547</v>
      </c>
      <c r="F21" s="72" t="n">
        <f aca="false">((E21/C21)^(1/2))-1</f>
        <v>-0.230411796407705</v>
      </c>
      <c r="G21" s="72" t="n">
        <f aca="false">D21/C21-1</f>
        <v>-0.481273001071035</v>
      </c>
      <c r="H21" s="72" t="n">
        <f aca="false">E21/D21-1</f>
        <v>0.141768221687495</v>
      </c>
      <c r="I21" s="67" t="s">
        <v>1076</v>
      </c>
    </row>
    <row r="23" customFormat="false" ht="12.75" hidden="false" customHeight="true" outlineLevel="0" collapsed="false">
      <c r="A23" s="27" t="s">
        <v>1077</v>
      </c>
    </row>
    <row r="24" customFormat="false" ht="6" hidden="false" customHeight="true" outlineLevel="0" collapsed="false"/>
    <row r="25" customFormat="false" ht="21.75" hidden="false" customHeight="true" outlineLevel="0" collapsed="false">
      <c r="A25" s="58" t="s">
        <v>1078</v>
      </c>
      <c r="B25" s="58"/>
      <c r="C25" s="58"/>
      <c r="D25" s="58"/>
      <c r="E25" s="58"/>
      <c r="F25" s="58"/>
      <c r="G25" s="58"/>
      <c r="H25" s="58"/>
      <c r="I25" s="58"/>
      <c r="J25" s="58"/>
    </row>
    <row r="26" customFormat="false" ht="15.75" hidden="false" customHeight="true" outlineLevel="0" collapsed="false">
      <c r="A26" s="59" t="s">
        <v>1043</v>
      </c>
      <c r="B26" s="59" t="s">
        <v>391</v>
      </c>
      <c r="C26" s="59" t="s">
        <v>1079</v>
      </c>
      <c r="D26" s="59" t="s">
        <v>1080</v>
      </c>
      <c r="E26" s="59" t="s">
        <v>1081</v>
      </c>
      <c r="F26" s="59" t="s">
        <v>1082</v>
      </c>
      <c r="G26" s="59" t="s">
        <v>1083</v>
      </c>
      <c r="H26" s="59" t="s">
        <v>1084</v>
      </c>
      <c r="I26" s="59" t="s">
        <v>1085</v>
      </c>
      <c r="J26" s="59" t="s">
        <v>1086</v>
      </c>
    </row>
    <row r="27" customFormat="false" ht="15" hidden="false" customHeight="true" outlineLevel="0" collapsed="false">
      <c r="A27" s="32" t="s">
        <v>1046</v>
      </c>
      <c r="B27" s="32" t="s">
        <v>1047</v>
      </c>
      <c r="C27" s="33" t="s">
        <v>927</v>
      </c>
      <c r="D27" s="33" t="s">
        <v>928</v>
      </c>
      <c r="E27" s="33" t="s">
        <v>21</v>
      </c>
      <c r="F27" s="87" t="s">
        <v>1087</v>
      </c>
      <c r="G27" s="33" t="s">
        <v>933</v>
      </c>
      <c r="H27" s="33" t="s">
        <v>934</v>
      </c>
      <c r="I27" s="33" t="s">
        <v>18</v>
      </c>
      <c r="J27" s="87" t="s">
        <v>1088</v>
      </c>
    </row>
    <row r="28" customFormat="false" ht="15" hidden="false" customHeight="true" outlineLevel="0" collapsed="false">
      <c r="A28" s="11" t="s">
        <v>1053</v>
      </c>
      <c r="B28" s="13" t="s">
        <v>750</v>
      </c>
      <c r="C28" s="26" t="s">
        <v>1089</v>
      </c>
      <c r="D28" s="26" t="s">
        <v>1090</v>
      </c>
      <c r="E28" s="26" t="s">
        <v>1091</v>
      </c>
      <c r="F28" s="52" t="s">
        <v>1092</v>
      </c>
      <c r="G28" s="26" t="s">
        <v>1093</v>
      </c>
      <c r="H28" s="26" t="s">
        <v>1094</v>
      </c>
      <c r="I28" s="26" t="s">
        <v>1095</v>
      </c>
      <c r="J28" s="52" t="s">
        <v>1096</v>
      </c>
    </row>
    <row r="29" customFormat="false" ht="15" hidden="false" customHeight="true" outlineLevel="0" collapsed="false">
      <c r="A29" s="60" t="s">
        <v>1055</v>
      </c>
      <c r="B29" s="67" t="s">
        <v>1056</v>
      </c>
      <c r="C29" s="62" t="s">
        <v>1097</v>
      </c>
      <c r="D29" s="62" t="s">
        <v>1098</v>
      </c>
      <c r="E29" s="62" t="s">
        <v>685</v>
      </c>
      <c r="F29" s="62" t="s">
        <v>239</v>
      </c>
      <c r="G29" s="62" t="s">
        <v>1099</v>
      </c>
      <c r="H29" s="62" t="s">
        <v>1100</v>
      </c>
      <c r="I29" s="62" t="s">
        <v>685</v>
      </c>
      <c r="J29" s="62" t="s">
        <v>239</v>
      </c>
    </row>
    <row r="30" customFormat="false" ht="15" hidden="false" customHeight="true" outlineLevel="0" collapsed="false">
      <c r="A30" s="11" t="s">
        <v>1057</v>
      </c>
      <c r="B30" s="13" t="s">
        <v>750</v>
      </c>
      <c r="C30" s="26" t="s">
        <v>1101</v>
      </c>
      <c r="D30" s="26" t="s">
        <v>1102</v>
      </c>
      <c r="E30" s="26" t="s">
        <v>685</v>
      </c>
      <c r="F30" s="26" t="s">
        <v>239</v>
      </c>
      <c r="G30" s="26" t="s">
        <v>1103</v>
      </c>
      <c r="H30" s="26" t="s">
        <v>1099</v>
      </c>
      <c r="I30" s="26" t="s">
        <v>685</v>
      </c>
      <c r="J30" s="26" t="s">
        <v>239</v>
      </c>
    </row>
    <row r="31" customFormat="false" ht="15" hidden="false" customHeight="true" outlineLevel="0" collapsed="false">
      <c r="A31" s="60" t="s">
        <v>1058</v>
      </c>
      <c r="B31" s="67" t="s">
        <v>750</v>
      </c>
      <c r="C31" s="62" t="s">
        <v>1104</v>
      </c>
      <c r="D31" s="62" t="s">
        <v>1105</v>
      </c>
      <c r="E31" s="62" t="s">
        <v>685</v>
      </c>
      <c r="F31" s="62" t="s">
        <v>239</v>
      </c>
      <c r="G31" s="62" t="s">
        <v>1106</v>
      </c>
      <c r="H31" s="62" t="s">
        <v>1105</v>
      </c>
      <c r="I31" s="62" t="s">
        <v>685</v>
      </c>
      <c r="J31" s="62" t="s">
        <v>239</v>
      </c>
    </row>
    <row r="32" customFormat="false" ht="15" hidden="false" customHeight="true" outlineLevel="0" collapsed="false">
      <c r="A32" s="11" t="s">
        <v>1059</v>
      </c>
      <c r="B32" s="13" t="s">
        <v>765</v>
      </c>
      <c r="C32" s="26" t="s">
        <v>1107</v>
      </c>
      <c r="D32" s="26" t="s">
        <v>1108</v>
      </c>
      <c r="E32" s="26" t="s">
        <v>1109</v>
      </c>
      <c r="F32" s="84" t="s">
        <v>1110</v>
      </c>
      <c r="G32" s="26" t="s">
        <v>1111</v>
      </c>
      <c r="H32" s="26" t="s">
        <v>1112</v>
      </c>
      <c r="I32" s="26" t="s">
        <v>1113</v>
      </c>
      <c r="J32" s="52" t="s">
        <v>1114</v>
      </c>
    </row>
    <row r="33" customFormat="false" ht="15" hidden="false" customHeight="true" outlineLevel="0" collapsed="false">
      <c r="A33" s="60" t="s">
        <v>1060</v>
      </c>
      <c r="B33" s="67" t="s">
        <v>765</v>
      </c>
      <c r="C33" s="62" t="s">
        <v>1115</v>
      </c>
      <c r="D33" s="62" t="s">
        <v>1116</v>
      </c>
      <c r="E33" s="62" t="s">
        <v>1117</v>
      </c>
      <c r="F33" s="84" t="s">
        <v>1118</v>
      </c>
      <c r="G33" s="62" t="s">
        <v>1119</v>
      </c>
      <c r="H33" s="62" t="s">
        <v>1120</v>
      </c>
      <c r="I33" s="62" t="s">
        <v>1121</v>
      </c>
      <c r="J33" s="52" t="s">
        <v>1122</v>
      </c>
    </row>
    <row r="34" customFormat="false" ht="15" hidden="false" customHeight="true" outlineLevel="0" collapsed="false">
      <c r="A34" s="11" t="s">
        <v>1062</v>
      </c>
      <c r="B34" s="13" t="s">
        <v>765</v>
      </c>
      <c r="C34" s="26" t="s">
        <v>1123</v>
      </c>
      <c r="D34" s="26" t="s">
        <v>1124</v>
      </c>
      <c r="E34" s="26" t="s">
        <v>1125</v>
      </c>
      <c r="F34" s="52" t="s">
        <v>1126</v>
      </c>
      <c r="G34" s="26" t="s">
        <v>1127</v>
      </c>
      <c r="H34" s="26" t="s">
        <v>1128</v>
      </c>
      <c r="I34" s="26" t="s">
        <v>1129</v>
      </c>
      <c r="J34" s="52" t="s">
        <v>1130</v>
      </c>
    </row>
    <row r="35" customFormat="false" ht="15" hidden="false" customHeight="true" outlineLevel="0" collapsed="false">
      <c r="A35" s="60" t="s">
        <v>1131</v>
      </c>
      <c r="B35" s="67" t="s">
        <v>1064</v>
      </c>
      <c r="C35" s="62" t="s">
        <v>1132</v>
      </c>
      <c r="D35" s="62" t="s">
        <v>1133</v>
      </c>
      <c r="E35" s="62" t="s">
        <v>1134</v>
      </c>
      <c r="F35" s="84" t="s">
        <v>1135</v>
      </c>
      <c r="G35" s="62" t="s">
        <v>1136</v>
      </c>
      <c r="H35" s="62" t="s">
        <v>1137</v>
      </c>
      <c r="I35" s="62" t="s">
        <v>1138</v>
      </c>
      <c r="J35" s="84" t="s">
        <v>1139</v>
      </c>
    </row>
    <row r="36" customFormat="false" ht="15" hidden="false" customHeight="true" outlineLevel="0" collapsed="false">
      <c r="A36" s="11" t="s">
        <v>1066</v>
      </c>
      <c r="B36" s="13" t="s">
        <v>1067</v>
      </c>
      <c r="C36" s="26" t="s">
        <v>1140</v>
      </c>
      <c r="D36" s="26" t="s">
        <v>1141</v>
      </c>
      <c r="E36" s="26" t="s">
        <v>1142</v>
      </c>
      <c r="F36" s="52" t="s">
        <v>1143</v>
      </c>
      <c r="G36" s="26" t="s">
        <v>1144</v>
      </c>
      <c r="H36" s="26" t="s">
        <v>1145</v>
      </c>
      <c r="I36" s="26" t="s">
        <v>1146</v>
      </c>
      <c r="J36" s="52" t="s">
        <v>1147</v>
      </c>
    </row>
    <row r="37" customFormat="false" ht="15" hidden="false" customHeight="true" outlineLevel="0" collapsed="false">
      <c r="A37" s="60" t="s">
        <v>670</v>
      </c>
      <c r="B37" s="67" t="s">
        <v>1047</v>
      </c>
      <c r="C37" s="62" t="s">
        <v>1148</v>
      </c>
      <c r="D37" s="62" t="s">
        <v>1149</v>
      </c>
      <c r="E37" s="62" t="s">
        <v>685</v>
      </c>
      <c r="F37" s="62" t="s">
        <v>239</v>
      </c>
      <c r="G37" s="62" t="s">
        <v>1150</v>
      </c>
      <c r="H37" s="62" t="s">
        <v>1151</v>
      </c>
      <c r="I37" s="62" t="s">
        <v>685</v>
      </c>
      <c r="J37" s="62" t="s">
        <v>239</v>
      </c>
    </row>
    <row r="38" customFormat="false" ht="15" hidden="false" customHeight="true" outlineLevel="0" collapsed="false">
      <c r="A38" s="11" t="s">
        <v>1050</v>
      </c>
      <c r="B38" s="13" t="s">
        <v>1047</v>
      </c>
      <c r="C38" s="26" t="s">
        <v>1152</v>
      </c>
      <c r="D38" s="26" t="s">
        <v>1153</v>
      </c>
      <c r="E38" s="26" t="s">
        <v>685</v>
      </c>
      <c r="F38" s="26" t="s">
        <v>239</v>
      </c>
      <c r="G38" s="26" t="s">
        <v>1154</v>
      </c>
      <c r="H38" s="26" t="s">
        <v>1155</v>
      </c>
      <c r="I38" s="26" t="s">
        <v>685</v>
      </c>
      <c r="J38" s="26" t="s">
        <v>239</v>
      </c>
    </row>
    <row r="39" customFormat="false" ht="15" hidden="false" customHeight="true" outlineLevel="0" collapsed="false">
      <c r="A39" s="60" t="s">
        <v>1069</v>
      </c>
      <c r="B39" s="67" t="s">
        <v>1067</v>
      </c>
      <c r="C39" s="62" t="s">
        <v>1156</v>
      </c>
      <c r="D39" s="62" t="s">
        <v>1157</v>
      </c>
      <c r="E39" s="62" t="s">
        <v>685</v>
      </c>
      <c r="F39" s="62" t="s">
        <v>239</v>
      </c>
      <c r="G39" s="62" t="s">
        <v>1158</v>
      </c>
      <c r="H39" s="62" t="s">
        <v>1159</v>
      </c>
      <c r="I39" s="62" t="s">
        <v>685</v>
      </c>
      <c r="J39" s="62" t="s">
        <v>239</v>
      </c>
    </row>
    <row r="40" customFormat="false" ht="15" hidden="false" customHeight="true" outlineLevel="0" collapsed="false">
      <c r="A40" s="11" t="s">
        <v>1071</v>
      </c>
      <c r="B40" s="13" t="s">
        <v>1067</v>
      </c>
      <c r="C40" s="26" t="s">
        <v>1160</v>
      </c>
      <c r="D40" s="26" t="s">
        <v>1161</v>
      </c>
      <c r="E40" s="26" t="s">
        <v>1162</v>
      </c>
      <c r="F40" s="84" t="s">
        <v>1163</v>
      </c>
      <c r="G40" s="26" t="s">
        <v>1164</v>
      </c>
      <c r="H40" s="26" t="s">
        <v>1165</v>
      </c>
      <c r="I40" s="26" t="s">
        <v>1166</v>
      </c>
      <c r="J40" s="84" t="s">
        <v>1167</v>
      </c>
    </row>
    <row r="41" customFormat="false" ht="15" hidden="false" customHeight="true" outlineLevel="0" collapsed="false">
      <c r="A41" s="60" t="s">
        <v>1051</v>
      </c>
      <c r="B41" s="67" t="s">
        <v>1047</v>
      </c>
      <c r="C41" s="62" t="s">
        <v>1168</v>
      </c>
      <c r="D41" s="62" t="s">
        <v>1169</v>
      </c>
      <c r="E41" s="62" t="s">
        <v>1170</v>
      </c>
      <c r="F41" s="52" t="s">
        <v>1171</v>
      </c>
      <c r="G41" s="62" t="s">
        <v>1172</v>
      </c>
      <c r="H41" s="62" t="s">
        <v>1173</v>
      </c>
      <c r="I41" s="62" t="s">
        <v>1174</v>
      </c>
      <c r="J41" s="84" t="s">
        <v>1175</v>
      </c>
    </row>
    <row r="42" customFormat="false" ht="15" hidden="false" customHeight="true" outlineLevel="0" collapsed="false">
      <c r="A42" s="11" t="s">
        <v>1075</v>
      </c>
      <c r="B42" s="13" t="s">
        <v>1067</v>
      </c>
      <c r="C42" s="26" t="s">
        <v>1176</v>
      </c>
      <c r="D42" s="26" t="s">
        <v>1177</v>
      </c>
      <c r="E42" s="26" t="s">
        <v>1178</v>
      </c>
      <c r="F42" s="52" t="s">
        <v>1179</v>
      </c>
      <c r="G42" s="26" t="s">
        <v>1180</v>
      </c>
      <c r="H42" s="26" t="s">
        <v>1181</v>
      </c>
      <c r="I42" s="26" t="s">
        <v>1182</v>
      </c>
      <c r="J42" s="84" t="s">
        <v>1183</v>
      </c>
    </row>
    <row r="44" customFormat="false" ht="12.75" hidden="false" customHeight="true" outlineLevel="0" collapsed="false">
      <c r="A44" s="27" t="s">
        <v>1184</v>
      </c>
    </row>
    <row r="45" customFormat="false" ht="21.75" hidden="false" customHeight="true" outlineLevel="0" collapsed="false">
      <c r="A45" s="58" t="s">
        <v>1185</v>
      </c>
      <c r="B45" s="58"/>
      <c r="C45" s="58"/>
      <c r="D45" s="58"/>
      <c r="E45" s="58"/>
      <c r="F45" s="58"/>
      <c r="G45" s="58"/>
      <c r="H45" s="58"/>
      <c r="I45" s="58"/>
      <c r="J45" s="58"/>
    </row>
    <row r="46" customFormat="false" ht="15.75" hidden="false" customHeight="true" outlineLevel="0" collapsed="false">
      <c r="A46" s="59" t="s">
        <v>1043</v>
      </c>
      <c r="B46" s="59" t="s">
        <v>391</v>
      </c>
      <c r="C46" s="59" t="s">
        <v>1186</v>
      </c>
      <c r="D46" s="59" t="s">
        <v>1187</v>
      </c>
      <c r="E46" s="59" t="s">
        <v>1188</v>
      </c>
      <c r="F46" s="59" t="s">
        <v>1189</v>
      </c>
      <c r="G46" s="59" t="s">
        <v>1190</v>
      </c>
      <c r="H46" s="59" t="s">
        <v>1191</v>
      </c>
      <c r="I46" s="59" t="s">
        <v>432</v>
      </c>
      <c r="J46" s="59" t="s">
        <v>1192</v>
      </c>
    </row>
    <row r="47" customFormat="false" ht="15" hidden="false" customHeight="true" outlineLevel="0" collapsed="false">
      <c r="A47" s="32" t="s">
        <v>1046</v>
      </c>
      <c r="B47" s="32" t="s">
        <v>1047</v>
      </c>
      <c r="C47" s="48" t="n">
        <v>678</v>
      </c>
      <c r="D47" s="48" t="n">
        <v>617</v>
      </c>
      <c r="E47" s="48" t="n">
        <v>1044</v>
      </c>
      <c r="F47" s="33" t="s">
        <v>940</v>
      </c>
      <c r="G47" s="33" t="s">
        <v>941</v>
      </c>
      <c r="H47" s="33" t="s">
        <v>942</v>
      </c>
      <c r="I47" s="88" t="s">
        <v>938</v>
      </c>
      <c r="J47" s="86" t="n">
        <f aca="false">((E47/C47)^(1/2))-1</f>
        <v>0.240896050783287</v>
      </c>
    </row>
    <row r="48" customFormat="false" ht="15" hidden="false" customHeight="true" outlineLevel="0" collapsed="false">
      <c r="A48" s="11" t="s">
        <v>1053</v>
      </c>
      <c r="B48" s="13" t="s">
        <v>750</v>
      </c>
      <c r="C48" s="31" t="n">
        <v>51</v>
      </c>
      <c r="D48" s="31" t="n">
        <v>219</v>
      </c>
      <c r="E48" s="31" t="n">
        <v>147</v>
      </c>
      <c r="F48" s="26" t="s">
        <v>1193</v>
      </c>
      <c r="G48" s="26" t="s">
        <v>1194</v>
      </c>
      <c r="H48" s="26" t="s">
        <v>1195</v>
      </c>
      <c r="I48" s="15" t="s">
        <v>1196</v>
      </c>
      <c r="J48" s="73" t="n">
        <f aca="false">((E48/C48)^(1/2))-1</f>
        <v>0.697749375254331</v>
      </c>
    </row>
    <row r="49" customFormat="false" ht="15" hidden="false" customHeight="true" outlineLevel="0" collapsed="false">
      <c r="A49" s="60" t="s">
        <v>1197</v>
      </c>
      <c r="B49" s="67" t="s">
        <v>1056</v>
      </c>
      <c r="C49" s="89" t="n">
        <v>-737</v>
      </c>
      <c r="D49" s="89" t="n">
        <v>-339</v>
      </c>
      <c r="E49" s="62"/>
      <c r="F49" s="62" t="s">
        <v>1198</v>
      </c>
      <c r="G49" s="62" t="s">
        <v>1199</v>
      </c>
      <c r="H49" s="62" t="s">
        <v>685</v>
      </c>
      <c r="I49" s="80" t="s">
        <v>1200</v>
      </c>
      <c r="J49" s="62"/>
    </row>
    <row r="50" customFormat="false" ht="15" hidden="false" customHeight="true" outlineLevel="0" collapsed="false">
      <c r="A50" s="11" t="s">
        <v>1057</v>
      </c>
      <c r="B50" s="13" t="s">
        <v>750</v>
      </c>
      <c r="C50" s="31" t="n">
        <v>471</v>
      </c>
      <c r="D50" s="31" t="n">
        <v>504</v>
      </c>
      <c r="E50" s="26"/>
      <c r="F50" s="26" t="s">
        <v>1201</v>
      </c>
      <c r="G50" s="26" t="s">
        <v>1202</v>
      </c>
      <c r="H50" s="26" t="s">
        <v>685</v>
      </c>
      <c r="I50" s="13" t="s">
        <v>1203</v>
      </c>
      <c r="J50" s="26"/>
    </row>
    <row r="51" customFormat="false" ht="15" hidden="false" customHeight="true" outlineLevel="0" collapsed="false">
      <c r="A51" s="60" t="s">
        <v>760</v>
      </c>
      <c r="B51" s="67" t="s">
        <v>750</v>
      </c>
      <c r="C51" s="89" t="n">
        <v>-44</v>
      </c>
      <c r="D51" s="61" t="n">
        <v>292</v>
      </c>
      <c r="E51" s="62"/>
      <c r="F51" s="62" t="s">
        <v>1204</v>
      </c>
      <c r="G51" s="62" t="s">
        <v>1205</v>
      </c>
      <c r="H51" s="62" t="s">
        <v>685</v>
      </c>
      <c r="I51" s="80" t="s">
        <v>1206</v>
      </c>
      <c r="J51" s="62"/>
    </row>
    <row r="52" customFormat="false" ht="15" hidden="false" customHeight="true" outlineLevel="0" collapsed="false">
      <c r="A52" s="11" t="s">
        <v>1059</v>
      </c>
      <c r="B52" s="13" t="s">
        <v>765</v>
      </c>
      <c r="C52" s="89" t="n">
        <v>-78</v>
      </c>
      <c r="D52" s="89" t="n">
        <v>-968</v>
      </c>
      <c r="E52" s="31" t="n">
        <v>458</v>
      </c>
      <c r="F52" s="26" t="s">
        <v>1207</v>
      </c>
      <c r="G52" s="26" t="s">
        <v>1208</v>
      </c>
      <c r="H52" s="26" t="s">
        <v>1209</v>
      </c>
      <c r="I52" s="80" t="s">
        <v>1206</v>
      </c>
      <c r="J52" s="26"/>
    </row>
    <row r="53" customFormat="false" ht="15" hidden="false" customHeight="true" outlineLevel="0" collapsed="false">
      <c r="A53" s="60" t="s">
        <v>1060</v>
      </c>
      <c r="B53" s="67" t="s">
        <v>765</v>
      </c>
      <c r="C53" s="89" t="n">
        <v>-128</v>
      </c>
      <c r="D53" s="61" t="n">
        <v>278</v>
      </c>
      <c r="E53" s="61" t="n">
        <v>720</v>
      </c>
      <c r="F53" s="62" t="s">
        <v>1210</v>
      </c>
      <c r="G53" s="62" t="s">
        <v>1211</v>
      </c>
      <c r="H53" s="62" t="s">
        <v>1212</v>
      </c>
      <c r="I53" s="80" t="s">
        <v>1213</v>
      </c>
      <c r="J53" s="62"/>
    </row>
    <row r="54" customFormat="false" ht="15" hidden="false" customHeight="true" outlineLevel="0" collapsed="false">
      <c r="A54" s="11" t="s">
        <v>1062</v>
      </c>
      <c r="B54" s="13" t="s">
        <v>765</v>
      </c>
      <c r="C54" s="31" t="n">
        <v>3213</v>
      </c>
      <c r="D54" s="31" t="n">
        <v>4619</v>
      </c>
      <c r="E54" s="31" t="n">
        <v>6320</v>
      </c>
      <c r="F54" s="26" t="s">
        <v>1214</v>
      </c>
      <c r="G54" s="26" t="s">
        <v>1215</v>
      </c>
      <c r="H54" s="26" t="s">
        <v>1216</v>
      </c>
      <c r="I54" s="80" t="s">
        <v>1217</v>
      </c>
      <c r="J54" s="73" t="n">
        <f aca="false">((E54/C54)^(1/2))-1</f>
        <v>0.402500989601275</v>
      </c>
    </row>
    <row r="55" customFormat="false" ht="15" hidden="false" customHeight="true" outlineLevel="0" collapsed="false">
      <c r="A55" s="60" t="s">
        <v>1131</v>
      </c>
      <c r="B55" s="67" t="s">
        <v>1064</v>
      </c>
      <c r="C55" s="61" t="n">
        <v>23783</v>
      </c>
      <c r="D55" s="61" t="n">
        <v>25356</v>
      </c>
      <c r="E55" s="61" t="n">
        <v>27075</v>
      </c>
      <c r="F55" s="62" t="s">
        <v>1218</v>
      </c>
      <c r="G55" s="62" t="s">
        <v>1219</v>
      </c>
      <c r="H55" s="62" t="s">
        <v>1220</v>
      </c>
      <c r="I55" s="15" t="s">
        <v>1221</v>
      </c>
      <c r="J55" s="72" t="n">
        <f aca="false">((E55/C55)^(1/2))-1</f>
        <v>0.0669668213550176</v>
      </c>
    </row>
    <row r="56" customFormat="false" ht="15" hidden="false" customHeight="true" outlineLevel="0" collapsed="false">
      <c r="A56" s="11" t="s">
        <v>1066</v>
      </c>
      <c r="B56" s="13" t="s">
        <v>1067</v>
      </c>
      <c r="C56" s="31" t="n">
        <v>3936</v>
      </c>
      <c r="D56" s="31" t="n">
        <v>14775</v>
      </c>
      <c r="E56" s="31" t="n">
        <v>15344</v>
      </c>
      <c r="F56" s="26" t="s">
        <v>1222</v>
      </c>
      <c r="G56" s="26" t="s">
        <v>1223</v>
      </c>
      <c r="H56" s="26" t="s">
        <v>1224</v>
      </c>
      <c r="I56" s="80" t="s">
        <v>1225</v>
      </c>
      <c r="J56" s="73" t="n">
        <f aca="false">((E56/C56)^(1/2))-1</f>
        <v>0.974430040224226</v>
      </c>
    </row>
    <row r="57" customFormat="false" ht="15" hidden="false" customHeight="true" outlineLevel="0" collapsed="false">
      <c r="A57" s="60" t="s">
        <v>670</v>
      </c>
      <c r="B57" s="67" t="s">
        <v>1047</v>
      </c>
      <c r="C57" s="61" t="n">
        <v>1640</v>
      </c>
      <c r="D57" s="61" t="n">
        <v>1760</v>
      </c>
      <c r="E57" s="62"/>
      <c r="F57" s="62" t="s">
        <v>1226</v>
      </c>
      <c r="G57" s="62" t="s">
        <v>1227</v>
      </c>
      <c r="H57" s="62" t="s">
        <v>685</v>
      </c>
      <c r="I57" s="67" t="s">
        <v>1228</v>
      </c>
      <c r="J57" s="62"/>
    </row>
    <row r="58" customFormat="false" ht="15" hidden="false" customHeight="true" outlineLevel="0" collapsed="false">
      <c r="A58" s="11" t="s">
        <v>1050</v>
      </c>
      <c r="B58" s="13" t="s">
        <v>1047</v>
      </c>
      <c r="C58" s="31" t="n">
        <v>1089</v>
      </c>
      <c r="D58" s="31" t="n">
        <v>1155</v>
      </c>
      <c r="E58" s="26"/>
      <c r="F58" s="26" t="s">
        <v>1229</v>
      </c>
      <c r="G58" s="26" t="s">
        <v>1230</v>
      </c>
      <c r="H58" s="26" t="s">
        <v>685</v>
      </c>
      <c r="I58" s="13" t="s">
        <v>1203</v>
      </c>
      <c r="J58" s="26"/>
    </row>
    <row r="59" customFormat="false" ht="15" hidden="false" customHeight="true" outlineLevel="0" collapsed="false">
      <c r="A59" s="60" t="s">
        <v>1069</v>
      </c>
      <c r="B59" s="67" t="s">
        <v>1067</v>
      </c>
      <c r="C59" s="61" t="n">
        <v>7000</v>
      </c>
      <c r="D59" s="61" t="n">
        <v>2920</v>
      </c>
      <c r="E59" s="62"/>
      <c r="F59" s="62" t="s">
        <v>1231</v>
      </c>
      <c r="G59" s="62" t="s">
        <v>1232</v>
      </c>
      <c r="H59" s="62" t="s">
        <v>685</v>
      </c>
      <c r="I59" s="15" t="s">
        <v>1233</v>
      </c>
      <c r="J59" s="62"/>
    </row>
    <row r="60" customFormat="false" ht="15" hidden="false" customHeight="true" outlineLevel="0" collapsed="false">
      <c r="A60" s="11" t="s">
        <v>1071</v>
      </c>
      <c r="B60" s="13" t="s">
        <v>1067</v>
      </c>
      <c r="C60" s="31" t="n">
        <v>1160</v>
      </c>
      <c r="D60" s="31" t="n">
        <v>773</v>
      </c>
      <c r="E60" s="31" t="n">
        <v>109</v>
      </c>
      <c r="F60" s="26" t="s">
        <v>1234</v>
      </c>
      <c r="G60" s="26" t="s">
        <v>1235</v>
      </c>
      <c r="H60" s="26" t="s">
        <v>1236</v>
      </c>
      <c r="I60" s="15" t="s">
        <v>1233</v>
      </c>
      <c r="J60" s="73" t="n">
        <f aca="false">((E60/C60)^(1/2))-1</f>
        <v>-0.693462046001838</v>
      </c>
    </row>
    <row r="61" customFormat="false" ht="15" hidden="false" customHeight="true" outlineLevel="0" collapsed="false">
      <c r="A61" s="60" t="s">
        <v>1051</v>
      </c>
      <c r="B61" s="67" t="s">
        <v>1047</v>
      </c>
      <c r="C61" s="61" t="n">
        <v>976</v>
      </c>
      <c r="D61" s="61" t="n">
        <v>1009</v>
      </c>
      <c r="E61" s="61" t="n">
        <v>854</v>
      </c>
      <c r="F61" s="62" t="s">
        <v>1237</v>
      </c>
      <c r="G61" s="62" t="s">
        <v>1238</v>
      </c>
      <c r="H61" s="62" t="s">
        <v>1239</v>
      </c>
      <c r="I61" s="15" t="s">
        <v>1240</v>
      </c>
      <c r="J61" s="72" t="n">
        <f aca="false">((E61/C61)^(1/2))-1</f>
        <v>-0.0645856533065147</v>
      </c>
    </row>
    <row r="62" customFormat="false" ht="15" hidden="false" customHeight="true" outlineLevel="0" collapsed="false">
      <c r="A62" s="11" t="s">
        <v>1075</v>
      </c>
      <c r="B62" s="13" t="s">
        <v>1067</v>
      </c>
      <c r="C62" s="89" t="n">
        <v>-595</v>
      </c>
      <c r="D62" s="89" t="n">
        <v>-9070</v>
      </c>
      <c r="E62" s="89" t="n">
        <v>-6242</v>
      </c>
      <c r="F62" s="26" t="s">
        <v>1241</v>
      </c>
      <c r="G62" s="26" t="s">
        <v>1242</v>
      </c>
      <c r="H62" s="26" t="s">
        <v>1243</v>
      </c>
      <c r="I62" s="15" t="s">
        <v>1244</v>
      </c>
      <c r="J62" s="26"/>
    </row>
    <row r="64" customFormat="false" ht="12.75" hidden="false" customHeight="true" outlineLevel="0" collapsed="false">
      <c r="A64" s="27" t="s">
        <v>1245</v>
      </c>
    </row>
  </sheetData>
  <mergeCells count="4">
    <mergeCell ref="A1:J1"/>
    <mergeCell ref="A3:J3"/>
    <mergeCell ref="A25:J25"/>
    <mergeCell ref="A45:J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11" min="3" style="1" width="12"/>
  </cols>
  <sheetData>
    <row r="1" customFormat="false" ht="21.75" hidden="false" customHeight="true" outlineLevel="0" collapsed="false">
      <c r="A1" s="58" t="s">
        <v>1246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customFormat="false" ht="6" hidden="false" customHeight="true" outlineLevel="0" collapsed="false"/>
    <row r="3" customFormat="false" ht="21.75" hidden="false" customHeight="true" outlineLevel="0" collapsed="false">
      <c r="A3" s="58" t="s">
        <v>1247</v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 customFormat="false" ht="15.75" hidden="false" customHeight="true" outlineLevel="0" collapsed="false">
      <c r="A4" s="59" t="s">
        <v>1043</v>
      </c>
      <c r="B4" s="59" t="s">
        <v>391</v>
      </c>
      <c r="C4" s="59" t="s">
        <v>1248</v>
      </c>
      <c r="D4" s="59" t="s">
        <v>1249</v>
      </c>
      <c r="E4" s="59" t="s">
        <v>1250</v>
      </c>
      <c r="F4" s="59" t="s">
        <v>1251</v>
      </c>
      <c r="G4" s="59" t="s">
        <v>1252</v>
      </c>
      <c r="H4" s="59" t="s">
        <v>1253</v>
      </c>
      <c r="I4" s="59" t="s">
        <v>1254</v>
      </c>
      <c r="J4" s="59" t="s">
        <v>1255</v>
      </c>
      <c r="K4" s="59" t="s">
        <v>1256</v>
      </c>
    </row>
    <row r="5" customFormat="false" ht="15" hidden="false" customHeight="true" outlineLevel="0" collapsed="false">
      <c r="A5" s="32" t="s">
        <v>1046</v>
      </c>
      <c r="B5" s="32" t="s">
        <v>1047</v>
      </c>
      <c r="C5" s="33" t="s">
        <v>951</v>
      </c>
      <c r="D5" s="33" t="s">
        <v>952</v>
      </c>
      <c r="E5" s="33" t="s">
        <v>953</v>
      </c>
      <c r="F5" s="33" t="s">
        <v>958</v>
      </c>
      <c r="G5" s="33" t="s">
        <v>959</v>
      </c>
      <c r="H5" s="33" t="s">
        <v>960</v>
      </c>
      <c r="I5" s="33" t="s">
        <v>964</v>
      </c>
      <c r="J5" s="33" t="s">
        <v>965</v>
      </c>
      <c r="K5" s="33" t="s">
        <v>966</v>
      </c>
    </row>
    <row r="6" customFormat="false" ht="15" hidden="false" customHeight="true" outlineLevel="0" collapsed="false">
      <c r="A6" s="11" t="s">
        <v>1053</v>
      </c>
      <c r="B6" s="13" t="s">
        <v>750</v>
      </c>
      <c r="C6" s="26" t="s">
        <v>1257</v>
      </c>
      <c r="D6" s="26" t="s">
        <v>1258</v>
      </c>
      <c r="E6" s="26" t="s">
        <v>1259</v>
      </c>
      <c r="F6" s="26" t="s">
        <v>1260</v>
      </c>
      <c r="G6" s="26" t="s">
        <v>1261</v>
      </c>
      <c r="H6" s="26" t="s">
        <v>1262</v>
      </c>
      <c r="I6" s="26" t="s">
        <v>1263</v>
      </c>
      <c r="J6" s="26" t="s">
        <v>1264</v>
      </c>
      <c r="K6" s="26" t="s">
        <v>1265</v>
      </c>
    </row>
    <row r="7" customFormat="false" ht="15" hidden="false" customHeight="true" outlineLevel="0" collapsed="false">
      <c r="A7" s="60" t="s">
        <v>1197</v>
      </c>
      <c r="B7" s="67" t="s">
        <v>1056</v>
      </c>
      <c r="C7" s="84" t="s">
        <v>1266</v>
      </c>
      <c r="D7" s="84" t="s">
        <v>1267</v>
      </c>
      <c r="E7" s="62" t="s">
        <v>685</v>
      </c>
      <c r="F7" s="84" t="s">
        <v>1268</v>
      </c>
      <c r="G7" s="62" t="s">
        <v>1269</v>
      </c>
      <c r="H7" s="62" t="s">
        <v>685</v>
      </c>
      <c r="I7" s="62" t="s">
        <v>1270</v>
      </c>
      <c r="J7" s="62" t="s">
        <v>1271</v>
      </c>
      <c r="K7" s="62" t="s">
        <v>685</v>
      </c>
    </row>
    <row r="8" customFormat="false" ht="15" hidden="false" customHeight="true" outlineLevel="0" collapsed="false">
      <c r="A8" s="11" t="s">
        <v>1057</v>
      </c>
      <c r="B8" s="13" t="s">
        <v>750</v>
      </c>
      <c r="C8" s="26" t="s">
        <v>1272</v>
      </c>
      <c r="D8" s="26" t="s">
        <v>1273</v>
      </c>
      <c r="E8" s="26" t="s">
        <v>685</v>
      </c>
      <c r="F8" s="26" t="s">
        <v>1274</v>
      </c>
      <c r="G8" s="26" t="s">
        <v>1275</v>
      </c>
      <c r="H8" s="26" t="s">
        <v>685</v>
      </c>
      <c r="I8" s="26" t="s">
        <v>1276</v>
      </c>
      <c r="J8" s="26" t="s">
        <v>1277</v>
      </c>
      <c r="K8" s="26" t="s">
        <v>685</v>
      </c>
    </row>
    <row r="9" customFormat="false" ht="15" hidden="false" customHeight="true" outlineLevel="0" collapsed="false">
      <c r="A9" s="60" t="s">
        <v>760</v>
      </c>
      <c r="B9" s="67" t="s">
        <v>750</v>
      </c>
      <c r="C9" s="84" t="s">
        <v>1278</v>
      </c>
      <c r="D9" s="62" t="s">
        <v>1279</v>
      </c>
      <c r="E9" s="62" t="s">
        <v>685</v>
      </c>
      <c r="F9" s="62" t="s">
        <v>1280</v>
      </c>
      <c r="G9" s="62" t="s">
        <v>1281</v>
      </c>
      <c r="H9" s="62" t="s">
        <v>685</v>
      </c>
      <c r="I9" s="62" t="s">
        <v>1282</v>
      </c>
      <c r="J9" s="62" t="s">
        <v>1283</v>
      </c>
      <c r="K9" s="62" t="s">
        <v>685</v>
      </c>
    </row>
    <row r="10" customFormat="false" ht="15" hidden="false" customHeight="true" outlineLevel="0" collapsed="false">
      <c r="A10" s="11" t="s">
        <v>1059</v>
      </c>
      <c r="B10" s="13" t="s">
        <v>765</v>
      </c>
      <c r="C10" s="84" t="s">
        <v>1284</v>
      </c>
      <c r="D10" s="84" t="s">
        <v>1285</v>
      </c>
      <c r="E10" s="26" t="s">
        <v>1286</v>
      </c>
      <c r="F10" s="26" t="s">
        <v>1287</v>
      </c>
      <c r="G10" s="84" t="s">
        <v>1288</v>
      </c>
      <c r="H10" s="26" t="s">
        <v>1289</v>
      </c>
      <c r="I10" s="26" t="s">
        <v>1290</v>
      </c>
      <c r="J10" s="26" t="s">
        <v>1291</v>
      </c>
      <c r="K10" s="26" t="s">
        <v>1292</v>
      </c>
    </row>
    <row r="11" customFormat="false" ht="15" hidden="false" customHeight="true" outlineLevel="0" collapsed="false">
      <c r="A11" s="60" t="s">
        <v>1060</v>
      </c>
      <c r="B11" s="67" t="s">
        <v>765</v>
      </c>
      <c r="C11" s="84" t="s">
        <v>1293</v>
      </c>
      <c r="D11" s="62" t="s">
        <v>1294</v>
      </c>
      <c r="E11" s="62" t="s">
        <v>1295</v>
      </c>
      <c r="F11" s="62" t="s">
        <v>1229</v>
      </c>
      <c r="G11" s="62" t="s">
        <v>1296</v>
      </c>
      <c r="H11" s="62" t="s">
        <v>1297</v>
      </c>
      <c r="I11" s="62" t="s">
        <v>1298</v>
      </c>
      <c r="J11" s="62" t="s">
        <v>1299</v>
      </c>
      <c r="K11" s="62" t="s">
        <v>1300</v>
      </c>
    </row>
    <row r="12" customFormat="false" ht="15" hidden="false" customHeight="true" outlineLevel="0" collapsed="false">
      <c r="A12" s="11" t="s">
        <v>1062</v>
      </c>
      <c r="B12" s="13" t="s">
        <v>765</v>
      </c>
      <c r="C12" s="26" t="s">
        <v>1301</v>
      </c>
      <c r="D12" s="26" t="s">
        <v>1302</v>
      </c>
      <c r="E12" s="26" t="s">
        <v>1303</v>
      </c>
      <c r="F12" s="26" t="s">
        <v>1304</v>
      </c>
      <c r="G12" s="26" t="s">
        <v>1305</v>
      </c>
      <c r="H12" s="26" t="s">
        <v>1306</v>
      </c>
      <c r="I12" s="26" t="s">
        <v>1307</v>
      </c>
      <c r="J12" s="26" t="s">
        <v>1308</v>
      </c>
      <c r="K12" s="26" t="s">
        <v>1271</v>
      </c>
    </row>
    <row r="13" customFormat="false" ht="15" hidden="false" customHeight="true" outlineLevel="0" collapsed="false">
      <c r="A13" s="60" t="s">
        <v>1131</v>
      </c>
      <c r="B13" s="67" t="s">
        <v>1309</v>
      </c>
      <c r="C13" s="62" t="s">
        <v>1310</v>
      </c>
      <c r="D13" s="62" t="s">
        <v>1311</v>
      </c>
      <c r="E13" s="62" t="s">
        <v>1312</v>
      </c>
      <c r="F13" s="62" t="s">
        <v>1313</v>
      </c>
      <c r="G13" s="62" t="s">
        <v>1314</v>
      </c>
      <c r="H13" s="62" t="s">
        <v>1315</v>
      </c>
      <c r="I13" s="62" t="s">
        <v>1316</v>
      </c>
      <c r="J13" s="62" t="s">
        <v>1317</v>
      </c>
      <c r="K13" s="62" t="s">
        <v>1316</v>
      </c>
    </row>
    <row r="14" customFormat="false" ht="15" hidden="false" customHeight="true" outlineLevel="0" collapsed="false">
      <c r="A14" s="11" t="s">
        <v>1066</v>
      </c>
      <c r="B14" s="13" t="s">
        <v>1067</v>
      </c>
      <c r="C14" s="26" t="s">
        <v>1318</v>
      </c>
      <c r="D14" s="26" t="s">
        <v>1319</v>
      </c>
      <c r="E14" s="26" t="s">
        <v>1320</v>
      </c>
      <c r="F14" s="26" t="s">
        <v>1321</v>
      </c>
      <c r="G14" s="26" t="s">
        <v>1322</v>
      </c>
      <c r="H14" s="26" t="s">
        <v>1323</v>
      </c>
      <c r="I14" s="26" t="s">
        <v>1324</v>
      </c>
      <c r="J14" s="26" t="s">
        <v>1325</v>
      </c>
      <c r="K14" s="26" t="s">
        <v>1326</v>
      </c>
    </row>
    <row r="15" customFormat="false" ht="15" hidden="false" customHeight="true" outlineLevel="0" collapsed="false">
      <c r="A15" s="60" t="s">
        <v>670</v>
      </c>
      <c r="B15" s="67" t="s">
        <v>1047</v>
      </c>
      <c r="C15" s="62" t="s">
        <v>1327</v>
      </c>
      <c r="D15" s="62" t="s">
        <v>1328</v>
      </c>
      <c r="E15" s="62" t="s">
        <v>685</v>
      </c>
      <c r="F15" s="62" t="s">
        <v>1329</v>
      </c>
      <c r="G15" s="62" t="s">
        <v>1330</v>
      </c>
      <c r="H15" s="62" t="s">
        <v>685</v>
      </c>
      <c r="I15" s="62" t="s">
        <v>1331</v>
      </c>
      <c r="J15" s="62" t="s">
        <v>1332</v>
      </c>
      <c r="K15" s="62" t="s">
        <v>685</v>
      </c>
    </row>
    <row r="16" customFormat="false" ht="15" hidden="false" customHeight="true" outlineLevel="0" collapsed="false">
      <c r="A16" s="11" t="s">
        <v>1050</v>
      </c>
      <c r="B16" s="13" t="s">
        <v>1047</v>
      </c>
      <c r="C16" s="26" t="s">
        <v>1333</v>
      </c>
      <c r="D16" s="26" t="s">
        <v>1334</v>
      </c>
      <c r="E16" s="26" t="s">
        <v>685</v>
      </c>
      <c r="F16" s="26" t="s">
        <v>1335</v>
      </c>
      <c r="G16" s="26" t="s">
        <v>1336</v>
      </c>
      <c r="H16" s="26" t="s">
        <v>685</v>
      </c>
      <c r="I16" s="26" t="s">
        <v>1337</v>
      </c>
      <c r="J16" s="26" t="s">
        <v>1338</v>
      </c>
      <c r="K16" s="26" t="s">
        <v>685</v>
      </c>
    </row>
    <row r="17" customFormat="false" ht="15" hidden="false" customHeight="true" outlineLevel="0" collapsed="false">
      <c r="A17" s="60" t="s">
        <v>1069</v>
      </c>
      <c r="B17" s="67" t="s">
        <v>1067</v>
      </c>
      <c r="C17" s="62" t="s">
        <v>1339</v>
      </c>
      <c r="D17" s="62" t="s">
        <v>1340</v>
      </c>
      <c r="E17" s="62" t="s">
        <v>685</v>
      </c>
      <c r="F17" s="62" t="s">
        <v>1341</v>
      </c>
      <c r="G17" s="62" t="s">
        <v>1098</v>
      </c>
      <c r="H17" s="62" t="s">
        <v>685</v>
      </c>
      <c r="I17" s="62" t="s">
        <v>1342</v>
      </c>
      <c r="J17" s="62" t="s">
        <v>1342</v>
      </c>
      <c r="K17" s="62" t="s">
        <v>685</v>
      </c>
    </row>
    <row r="18" customFormat="false" ht="15" hidden="false" customHeight="true" outlineLevel="0" collapsed="false">
      <c r="A18" s="11" t="s">
        <v>1071</v>
      </c>
      <c r="B18" s="13" t="s">
        <v>1067</v>
      </c>
      <c r="C18" s="26" t="s">
        <v>1343</v>
      </c>
      <c r="D18" s="26" t="s">
        <v>1344</v>
      </c>
      <c r="E18" s="26" t="s">
        <v>1345</v>
      </c>
      <c r="F18" s="26" t="s">
        <v>1346</v>
      </c>
      <c r="G18" s="26" t="s">
        <v>1347</v>
      </c>
      <c r="H18" s="26" t="s">
        <v>1348</v>
      </c>
      <c r="I18" s="26" t="s">
        <v>1349</v>
      </c>
      <c r="J18" s="26" t="s">
        <v>1350</v>
      </c>
      <c r="K18" s="26" t="s">
        <v>1351</v>
      </c>
    </row>
    <row r="19" customFormat="false" ht="15" hidden="false" customHeight="true" outlineLevel="0" collapsed="false">
      <c r="A19" s="60" t="s">
        <v>1051</v>
      </c>
      <c r="B19" s="67" t="s">
        <v>1047</v>
      </c>
      <c r="C19" s="62" t="s">
        <v>1352</v>
      </c>
      <c r="D19" s="62" t="s">
        <v>1353</v>
      </c>
      <c r="E19" s="62" t="s">
        <v>1354</v>
      </c>
      <c r="F19" s="62" t="s">
        <v>1355</v>
      </c>
      <c r="G19" s="62" t="s">
        <v>1356</v>
      </c>
      <c r="H19" s="62" t="s">
        <v>1357</v>
      </c>
      <c r="I19" s="62" t="s">
        <v>1358</v>
      </c>
      <c r="J19" s="62" t="s">
        <v>1359</v>
      </c>
      <c r="K19" s="62" t="s">
        <v>1360</v>
      </c>
    </row>
    <row r="20" customFormat="false" ht="15" hidden="false" customHeight="true" outlineLevel="0" collapsed="false">
      <c r="A20" s="11" t="s">
        <v>1075</v>
      </c>
      <c r="B20" s="13" t="s">
        <v>1067</v>
      </c>
      <c r="C20" s="84" t="s">
        <v>1361</v>
      </c>
      <c r="D20" s="84" t="s">
        <v>1362</v>
      </c>
      <c r="E20" s="84" t="s">
        <v>1363</v>
      </c>
      <c r="F20" s="26" t="s">
        <v>1364</v>
      </c>
      <c r="G20" s="84" t="s">
        <v>1365</v>
      </c>
      <c r="H20" s="84" t="s">
        <v>1366</v>
      </c>
      <c r="I20" s="26" t="s">
        <v>1367</v>
      </c>
      <c r="J20" s="26" t="s">
        <v>1368</v>
      </c>
      <c r="K20" s="26" t="s">
        <v>1369</v>
      </c>
    </row>
    <row r="22" customFormat="false" ht="12.75" hidden="false" customHeight="true" outlineLevel="0" collapsed="false">
      <c r="A22" s="27" t="s">
        <v>1370</v>
      </c>
    </row>
    <row r="23" customFormat="false" ht="6" hidden="false" customHeight="true" outlineLevel="0" collapsed="false"/>
    <row r="24" customFormat="false" ht="21.75" hidden="false" customHeight="true" outlineLevel="0" collapsed="false">
      <c r="A24" s="58" t="s">
        <v>1371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</row>
    <row r="25" customFormat="false" ht="15.75" hidden="false" customHeight="true" outlineLevel="0" collapsed="false">
      <c r="A25" s="59" t="s">
        <v>1043</v>
      </c>
      <c r="B25" s="59" t="s">
        <v>391</v>
      </c>
      <c r="C25" s="59" t="s">
        <v>1372</v>
      </c>
      <c r="D25" s="59" t="s">
        <v>1373</v>
      </c>
      <c r="E25" s="59" t="s">
        <v>1374</v>
      </c>
      <c r="F25" s="59" t="s">
        <v>1375</v>
      </c>
      <c r="G25" s="59" t="s">
        <v>1376</v>
      </c>
      <c r="H25" s="59" t="s">
        <v>1377</v>
      </c>
      <c r="I25" s="59" t="s">
        <v>1378</v>
      </c>
      <c r="J25" s="59" t="s">
        <v>1379</v>
      </c>
      <c r="K25" s="59" t="s">
        <v>1380</v>
      </c>
    </row>
    <row r="26" customFormat="false" ht="15" hidden="false" customHeight="true" outlineLevel="0" collapsed="false">
      <c r="A26" s="32" t="s">
        <v>1046</v>
      </c>
      <c r="B26" s="32" t="s">
        <v>1047</v>
      </c>
      <c r="C26" s="90" t="n">
        <v>3.72</v>
      </c>
      <c r="D26" s="90" t="n">
        <v>3.31</v>
      </c>
      <c r="E26" s="90" t="n">
        <v>3.09</v>
      </c>
      <c r="F26" s="33" t="n">
        <v>20</v>
      </c>
      <c r="G26" s="33" t="n">
        <v>23</v>
      </c>
      <c r="H26" s="33" t="n">
        <v>28</v>
      </c>
      <c r="I26" s="33" t="s">
        <v>985</v>
      </c>
      <c r="J26" s="33" t="s">
        <v>986</v>
      </c>
      <c r="K26" s="33" t="s">
        <v>42</v>
      </c>
    </row>
    <row r="27" customFormat="false" ht="15" hidden="false" customHeight="true" outlineLevel="0" collapsed="false">
      <c r="A27" s="11" t="s">
        <v>1053</v>
      </c>
      <c r="B27" s="13" t="s">
        <v>750</v>
      </c>
      <c r="C27" s="91" t="n">
        <v>1.79</v>
      </c>
      <c r="D27" s="91" t="n">
        <v>1.73</v>
      </c>
      <c r="E27" s="91" t="n">
        <v>1.87</v>
      </c>
      <c r="F27" s="26" t="n">
        <v>70</v>
      </c>
      <c r="G27" s="26" t="n">
        <v>64</v>
      </c>
      <c r="H27" s="26" t="n">
        <v>57</v>
      </c>
      <c r="I27" s="26" t="s">
        <v>1381</v>
      </c>
      <c r="J27" s="26" t="s">
        <v>1382</v>
      </c>
      <c r="K27" s="26" t="s">
        <v>1383</v>
      </c>
    </row>
    <row r="28" customFormat="false" ht="15" hidden="false" customHeight="true" outlineLevel="0" collapsed="false">
      <c r="A28" s="60" t="s">
        <v>1197</v>
      </c>
      <c r="B28" s="67" t="s">
        <v>1056</v>
      </c>
      <c r="C28" s="92" t="n">
        <v>2.85</v>
      </c>
      <c r="D28" s="92" t="n">
        <v>2.58</v>
      </c>
      <c r="E28" s="62"/>
      <c r="F28" s="62" t="n">
        <v>40</v>
      </c>
      <c r="G28" s="62" t="n">
        <v>46</v>
      </c>
      <c r="H28" s="62"/>
      <c r="I28" s="62" t="s">
        <v>685</v>
      </c>
      <c r="J28" s="62" t="s">
        <v>685</v>
      </c>
      <c r="K28" s="62" t="s">
        <v>685</v>
      </c>
    </row>
    <row r="29" customFormat="false" ht="15" hidden="false" customHeight="true" outlineLevel="0" collapsed="false">
      <c r="A29" s="11" t="s">
        <v>1057</v>
      </c>
      <c r="B29" s="13" t="s">
        <v>750</v>
      </c>
      <c r="C29" s="91" t="n">
        <v>2.77</v>
      </c>
      <c r="D29" s="91" t="n">
        <v>2.5</v>
      </c>
      <c r="E29" s="26"/>
      <c r="F29" s="26" t="n">
        <v>59</v>
      </c>
      <c r="G29" s="26" t="n">
        <v>66</v>
      </c>
      <c r="H29" s="26"/>
      <c r="I29" s="26" t="s">
        <v>685</v>
      </c>
      <c r="J29" s="26" t="s">
        <v>685</v>
      </c>
      <c r="K29" s="26" t="s">
        <v>685</v>
      </c>
    </row>
    <row r="30" customFormat="false" ht="15" hidden="false" customHeight="true" outlineLevel="0" collapsed="false">
      <c r="A30" s="60" t="s">
        <v>760</v>
      </c>
      <c r="B30" s="67" t="s">
        <v>750</v>
      </c>
      <c r="C30" s="92" t="n">
        <v>2.11</v>
      </c>
      <c r="D30" s="92" t="n">
        <v>2.34</v>
      </c>
      <c r="E30" s="62"/>
      <c r="F30" s="62" t="n">
        <v>43</v>
      </c>
      <c r="G30" s="62" t="n">
        <v>42</v>
      </c>
      <c r="H30" s="62"/>
      <c r="I30" s="62" t="s">
        <v>685</v>
      </c>
      <c r="J30" s="62" t="s">
        <v>685</v>
      </c>
      <c r="K30" s="62" t="s">
        <v>1383</v>
      </c>
    </row>
    <row r="31" customFormat="false" ht="15" hidden="false" customHeight="true" outlineLevel="0" collapsed="false">
      <c r="A31" s="11" t="s">
        <v>1059</v>
      </c>
      <c r="B31" s="13" t="s">
        <v>765</v>
      </c>
      <c r="C31" s="91" t="n">
        <v>2.08</v>
      </c>
      <c r="D31" s="91" t="n">
        <v>2.16</v>
      </c>
      <c r="E31" s="91" t="n">
        <v>2.36</v>
      </c>
      <c r="F31" s="26" t="n">
        <v>57</v>
      </c>
      <c r="G31" s="26" t="n">
        <v>24</v>
      </c>
      <c r="H31" s="26" t="n">
        <v>25</v>
      </c>
      <c r="I31" s="26" t="s">
        <v>1384</v>
      </c>
      <c r="J31" s="26" t="s">
        <v>1383</v>
      </c>
      <c r="K31" s="26" t="s">
        <v>1385</v>
      </c>
    </row>
    <row r="32" customFormat="false" ht="15" hidden="false" customHeight="true" outlineLevel="0" collapsed="false">
      <c r="A32" s="60" t="s">
        <v>1060</v>
      </c>
      <c r="B32" s="67" t="s">
        <v>765</v>
      </c>
      <c r="C32" s="92" t="n">
        <v>2.03</v>
      </c>
      <c r="D32" s="92" t="n">
        <v>2.35</v>
      </c>
      <c r="E32" s="92" t="n">
        <v>2.73</v>
      </c>
      <c r="F32" s="62" t="n">
        <v>75</v>
      </c>
      <c r="G32" s="62" t="n">
        <v>71</v>
      </c>
      <c r="H32" s="62" t="n">
        <v>37</v>
      </c>
      <c r="I32" s="62" t="s">
        <v>1115</v>
      </c>
      <c r="J32" s="62" t="s">
        <v>1115</v>
      </c>
      <c r="K32" s="62" t="s">
        <v>1386</v>
      </c>
    </row>
    <row r="33" customFormat="false" ht="15" hidden="false" customHeight="true" outlineLevel="0" collapsed="false">
      <c r="A33" s="11" t="s">
        <v>1062</v>
      </c>
      <c r="B33" s="13" t="s">
        <v>765</v>
      </c>
      <c r="C33" s="91" t="n">
        <v>4.08</v>
      </c>
      <c r="D33" s="91" t="n">
        <v>4.36</v>
      </c>
      <c r="E33" s="91" t="n">
        <v>4.62</v>
      </c>
      <c r="F33" s="26" t="n">
        <v>0</v>
      </c>
      <c r="G33" s="26" t="n">
        <v>11</v>
      </c>
      <c r="H33" s="26" t="n">
        <v>15</v>
      </c>
      <c r="I33" s="26" t="s">
        <v>1387</v>
      </c>
      <c r="J33" s="26" t="s">
        <v>1388</v>
      </c>
      <c r="K33" s="26" t="s">
        <v>1389</v>
      </c>
    </row>
    <row r="34" customFormat="false" ht="15" hidden="false" customHeight="true" outlineLevel="0" collapsed="false">
      <c r="A34" s="60" t="s">
        <v>1131</v>
      </c>
      <c r="B34" s="67" t="s">
        <v>1309</v>
      </c>
      <c r="C34" s="92" t="n">
        <v>12.16</v>
      </c>
      <c r="D34" s="92" t="n">
        <v>12.07</v>
      </c>
      <c r="E34" s="92" t="n">
        <v>11.27</v>
      </c>
      <c r="F34" s="62" t="n">
        <v>22</v>
      </c>
      <c r="G34" s="62" t="n">
        <v>22</v>
      </c>
      <c r="H34" s="62" t="n">
        <v>25</v>
      </c>
      <c r="I34" s="62" t="s">
        <v>1390</v>
      </c>
      <c r="J34" s="62" t="s">
        <v>1391</v>
      </c>
      <c r="K34" s="62" t="s">
        <v>1392</v>
      </c>
    </row>
    <row r="35" customFormat="false" ht="15" hidden="false" customHeight="true" outlineLevel="0" collapsed="false">
      <c r="A35" s="11" t="s">
        <v>1066</v>
      </c>
      <c r="B35" s="13" t="s">
        <v>1067</v>
      </c>
      <c r="C35" s="91" t="n">
        <v>4.23</v>
      </c>
      <c r="D35" s="91" t="n">
        <v>4.73</v>
      </c>
      <c r="E35" s="91" t="n">
        <v>5.34</v>
      </c>
      <c r="F35" s="26" t="n">
        <v>32</v>
      </c>
      <c r="G35" s="26" t="n">
        <v>26</v>
      </c>
      <c r="H35" s="26" t="n">
        <v>25</v>
      </c>
      <c r="I35" s="26" t="s">
        <v>1393</v>
      </c>
      <c r="J35" s="26" t="s">
        <v>1394</v>
      </c>
      <c r="K35" s="26" t="s">
        <v>1395</v>
      </c>
    </row>
    <row r="36" customFormat="false" ht="15" hidden="false" customHeight="true" outlineLevel="0" collapsed="false">
      <c r="A36" s="60" t="s">
        <v>670</v>
      </c>
      <c r="B36" s="67" t="s">
        <v>1047</v>
      </c>
      <c r="C36" s="92" t="n">
        <v>2.87</v>
      </c>
      <c r="D36" s="92" t="n">
        <v>2.91</v>
      </c>
      <c r="E36" s="62"/>
      <c r="F36" s="62" t="n">
        <v>59</v>
      </c>
      <c r="G36" s="62" t="n">
        <v>53</v>
      </c>
      <c r="H36" s="62"/>
      <c r="I36" s="62" t="s">
        <v>685</v>
      </c>
      <c r="J36" s="62" t="s">
        <v>685</v>
      </c>
      <c r="K36" s="62" t="s">
        <v>685</v>
      </c>
    </row>
    <row r="37" customFormat="false" ht="15" hidden="false" customHeight="true" outlineLevel="0" collapsed="false">
      <c r="A37" s="11" t="s">
        <v>1050</v>
      </c>
      <c r="B37" s="13" t="s">
        <v>1047</v>
      </c>
      <c r="C37" s="91" t="n">
        <v>5.63</v>
      </c>
      <c r="D37" s="91" t="n">
        <v>4.04</v>
      </c>
      <c r="E37" s="26"/>
      <c r="F37" s="26" t="n">
        <v>48</v>
      </c>
      <c r="G37" s="26" t="n">
        <v>63</v>
      </c>
      <c r="H37" s="26"/>
      <c r="I37" s="26" t="s">
        <v>685</v>
      </c>
      <c r="J37" s="26" t="s">
        <v>685</v>
      </c>
      <c r="K37" s="26" t="s">
        <v>685</v>
      </c>
    </row>
    <row r="38" customFormat="false" ht="15" hidden="false" customHeight="true" outlineLevel="0" collapsed="false">
      <c r="A38" s="60" t="s">
        <v>1069</v>
      </c>
      <c r="B38" s="67" t="s">
        <v>1067</v>
      </c>
      <c r="C38" s="92" t="n">
        <v>2.44</v>
      </c>
      <c r="D38" s="92" t="n">
        <v>2.36</v>
      </c>
      <c r="E38" s="62"/>
      <c r="F38" s="62" t="n">
        <v>32</v>
      </c>
      <c r="G38" s="62" t="n">
        <v>20</v>
      </c>
      <c r="H38" s="62"/>
      <c r="I38" s="62" t="s">
        <v>685</v>
      </c>
      <c r="J38" s="62" t="s">
        <v>685</v>
      </c>
      <c r="K38" s="62" t="s">
        <v>685</v>
      </c>
    </row>
    <row r="39" customFormat="false" ht="15" hidden="false" customHeight="true" outlineLevel="0" collapsed="false">
      <c r="A39" s="11" t="s">
        <v>1071</v>
      </c>
      <c r="B39" s="13" t="s">
        <v>1067</v>
      </c>
      <c r="C39" s="91" t="n">
        <v>1.86</v>
      </c>
      <c r="D39" s="91" t="n">
        <v>1.6</v>
      </c>
      <c r="E39" s="91" t="n">
        <v>1.46</v>
      </c>
      <c r="F39" s="26" t="n">
        <v>-27</v>
      </c>
      <c r="G39" s="26" t="n">
        <v>-17</v>
      </c>
      <c r="H39" s="26" t="n">
        <v>-13</v>
      </c>
      <c r="I39" s="26" t="s">
        <v>1396</v>
      </c>
      <c r="J39" s="26" t="s">
        <v>1397</v>
      </c>
      <c r="K39" s="26" t="s">
        <v>1398</v>
      </c>
    </row>
    <row r="40" customFormat="false" ht="15" hidden="false" customHeight="true" outlineLevel="0" collapsed="false">
      <c r="A40" s="60" t="s">
        <v>1051</v>
      </c>
      <c r="B40" s="67" t="s">
        <v>1047</v>
      </c>
      <c r="C40" s="92" t="n">
        <v>1.41</v>
      </c>
      <c r="D40" s="92" t="n">
        <v>1.15</v>
      </c>
      <c r="E40" s="92" t="n">
        <v>1.13</v>
      </c>
      <c r="F40" s="62" t="n">
        <v>125</v>
      </c>
      <c r="G40" s="62" t="n">
        <v>177</v>
      </c>
      <c r="H40" s="62" t="n">
        <v>188</v>
      </c>
      <c r="I40" s="62" t="s">
        <v>685</v>
      </c>
      <c r="J40" s="62" t="s">
        <v>685</v>
      </c>
      <c r="K40" s="62" t="s">
        <v>685</v>
      </c>
    </row>
    <row r="41" customFormat="false" ht="15" hidden="false" customHeight="true" outlineLevel="0" collapsed="false">
      <c r="A41" s="11" t="s">
        <v>1075</v>
      </c>
      <c r="B41" s="13" t="s">
        <v>1067</v>
      </c>
      <c r="C41" s="91" t="n">
        <v>1.68</v>
      </c>
      <c r="D41" s="91" t="n">
        <v>0.71</v>
      </c>
      <c r="E41" s="91" t="n">
        <v>0.91</v>
      </c>
      <c r="F41" s="26" t="n">
        <v>37</v>
      </c>
      <c r="G41" s="26" t="n">
        <v>94</v>
      </c>
      <c r="H41" s="26" t="n">
        <v>29</v>
      </c>
      <c r="I41" s="26" t="s">
        <v>1399</v>
      </c>
      <c r="J41" s="26" t="s">
        <v>685</v>
      </c>
      <c r="K41" s="26" t="s">
        <v>685</v>
      </c>
    </row>
    <row r="43" customFormat="false" ht="12.75" hidden="false" customHeight="true" outlineLevel="0" collapsed="false">
      <c r="A43" s="27" t="s">
        <v>1400</v>
      </c>
    </row>
    <row r="44" customFormat="false" ht="30" hidden="false" customHeight="true" outlineLevel="0" collapsed="false">
      <c r="A44" s="85" t="s">
        <v>1401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</row>
  </sheetData>
  <mergeCells count="4">
    <mergeCell ref="A1:K1"/>
    <mergeCell ref="A3:K3"/>
    <mergeCell ref="A24:K24"/>
    <mergeCell ref="A44:K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J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6"/>
  </cols>
  <sheetData>
    <row r="1" customFormat="false" ht="21.75" hidden="false" customHeight="true" outlineLevel="0" collapsed="false">
      <c r="A1" s="58" t="s">
        <v>1402</v>
      </c>
      <c r="B1" s="58"/>
      <c r="C1" s="58"/>
      <c r="D1" s="58"/>
      <c r="E1" s="58"/>
      <c r="F1" s="58"/>
      <c r="G1" s="58"/>
      <c r="H1" s="58"/>
      <c r="I1" s="58"/>
    </row>
    <row r="2" customFormat="false" ht="6" hidden="false" customHeight="true" outlineLevel="0" collapsed="false"/>
    <row r="3" customFormat="false" ht="21.75" hidden="false" customHeight="true" outlineLevel="0" collapsed="false">
      <c r="A3" s="58" t="s">
        <v>1403</v>
      </c>
      <c r="B3" s="58"/>
      <c r="C3" s="58"/>
      <c r="D3" s="58"/>
      <c r="E3" s="58"/>
      <c r="F3" s="58"/>
      <c r="G3" s="58"/>
      <c r="H3" s="58"/>
      <c r="I3" s="58"/>
    </row>
    <row r="4" customFormat="false" ht="15.75" hidden="false" customHeight="true" outlineLevel="0" collapsed="false">
      <c r="A4" s="59" t="s">
        <v>656</v>
      </c>
      <c r="B4" s="59" t="s">
        <v>1404</v>
      </c>
      <c r="C4" s="59" t="s">
        <v>1405</v>
      </c>
      <c r="D4" s="59" t="s">
        <v>1406</v>
      </c>
      <c r="E4" s="59" t="s">
        <v>1407</v>
      </c>
      <c r="F4" s="59" t="s">
        <v>1408</v>
      </c>
      <c r="G4" s="59" t="s">
        <v>1409</v>
      </c>
      <c r="H4" s="59" t="s">
        <v>1410</v>
      </c>
      <c r="I4" s="59" t="s">
        <v>664</v>
      </c>
    </row>
    <row r="5" customFormat="false" ht="18" hidden="false" customHeight="true" outlineLevel="0" collapsed="false">
      <c r="A5" s="32" t="s">
        <v>665</v>
      </c>
      <c r="B5" s="32" t="s">
        <v>1411</v>
      </c>
      <c r="C5" s="87" t="s">
        <v>1412</v>
      </c>
      <c r="D5" s="87" t="s">
        <v>1413</v>
      </c>
      <c r="E5" s="87" t="s">
        <v>1414</v>
      </c>
      <c r="F5" s="87" t="s">
        <v>1415</v>
      </c>
      <c r="G5" s="33" t="n">
        <v>4</v>
      </c>
      <c r="H5" s="33" t="s">
        <v>1416</v>
      </c>
      <c r="I5" s="32" t="s">
        <v>669</v>
      </c>
    </row>
    <row r="6" customFormat="false" ht="18" hidden="false" customHeight="true" outlineLevel="0" collapsed="false">
      <c r="A6" s="11" t="s">
        <v>670</v>
      </c>
      <c r="B6" s="13" t="s">
        <v>1411</v>
      </c>
      <c r="C6" s="93" t="s">
        <v>239</v>
      </c>
      <c r="D6" s="52" t="s">
        <v>1417</v>
      </c>
      <c r="E6" s="52" t="s">
        <v>1417</v>
      </c>
      <c r="F6" s="93" t="s">
        <v>239</v>
      </c>
      <c r="G6" s="26" t="n">
        <v>2</v>
      </c>
      <c r="H6" s="26" t="s">
        <v>157</v>
      </c>
      <c r="I6" s="13" t="s">
        <v>1418</v>
      </c>
    </row>
    <row r="7" customFormat="false" ht="18" hidden="false" customHeight="true" outlineLevel="0" collapsed="false">
      <c r="A7" s="60" t="s">
        <v>676</v>
      </c>
      <c r="B7" s="67" t="s">
        <v>1411</v>
      </c>
      <c r="C7" s="52" t="s">
        <v>1417</v>
      </c>
      <c r="D7" s="52" t="s">
        <v>1417</v>
      </c>
      <c r="E7" s="94" t="s">
        <v>239</v>
      </c>
      <c r="F7" s="94" t="s">
        <v>239</v>
      </c>
      <c r="G7" s="62" t="n">
        <v>2</v>
      </c>
      <c r="H7" s="62" t="s">
        <v>1419</v>
      </c>
      <c r="I7" s="67" t="s">
        <v>681</v>
      </c>
    </row>
    <row r="8" customFormat="false" ht="18" hidden="false" customHeight="true" outlineLevel="0" collapsed="false">
      <c r="A8" s="11" t="s">
        <v>682</v>
      </c>
      <c r="B8" s="13" t="s">
        <v>1411</v>
      </c>
      <c r="C8" s="93" t="s">
        <v>239</v>
      </c>
      <c r="D8" s="52" t="s">
        <v>1417</v>
      </c>
      <c r="E8" s="93" t="s">
        <v>239</v>
      </c>
      <c r="F8" s="93" t="s">
        <v>239</v>
      </c>
      <c r="G8" s="26" t="n">
        <v>1</v>
      </c>
      <c r="H8" s="26" t="s">
        <v>157</v>
      </c>
      <c r="I8" s="13" t="s">
        <v>1420</v>
      </c>
    </row>
    <row r="9" customFormat="false" ht="18" hidden="false" customHeight="true" outlineLevel="0" collapsed="false">
      <c r="A9" s="60" t="s">
        <v>688</v>
      </c>
      <c r="B9" s="67" t="s">
        <v>1411</v>
      </c>
      <c r="C9" s="52" t="s">
        <v>1417</v>
      </c>
      <c r="D9" s="52" t="s">
        <v>1417</v>
      </c>
      <c r="E9" s="52" t="s">
        <v>1417</v>
      </c>
      <c r="F9" s="94" t="s">
        <v>239</v>
      </c>
      <c r="G9" s="62" t="n">
        <v>3</v>
      </c>
      <c r="H9" s="62" t="s">
        <v>1421</v>
      </c>
      <c r="I9" s="67" t="s">
        <v>1422</v>
      </c>
    </row>
    <row r="10" customFormat="false" ht="18" hidden="false" customHeight="true" outlineLevel="0" collapsed="false">
      <c r="A10" s="11" t="s">
        <v>1423</v>
      </c>
      <c r="B10" s="13" t="s">
        <v>1424</v>
      </c>
      <c r="C10" s="93" t="s">
        <v>239</v>
      </c>
      <c r="D10" s="52" t="s">
        <v>1417</v>
      </c>
      <c r="E10" s="93" t="s">
        <v>239</v>
      </c>
      <c r="F10" s="93" t="s">
        <v>239</v>
      </c>
      <c r="G10" s="26" t="n">
        <v>1</v>
      </c>
      <c r="H10" s="26" t="s">
        <v>1425</v>
      </c>
      <c r="I10" s="13" t="s">
        <v>1426</v>
      </c>
    </row>
    <row r="11" customFormat="false" ht="18" hidden="false" customHeight="true" outlineLevel="0" collapsed="false">
      <c r="A11" s="60" t="s">
        <v>708</v>
      </c>
      <c r="B11" s="67" t="s">
        <v>1424</v>
      </c>
      <c r="C11" s="94" t="s">
        <v>239</v>
      </c>
      <c r="D11" s="52" t="s">
        <v>1417</v>
      </c>
      <c r="E11" s="94" t="s">
        <v>239</v>
      </c>
      <c r="F11" s="94" t="s">
        <v>239</v>
      </c>
      <c r="G11" s="62" t="n">
        <v>1</v>
      </c>
      <c r="H11" s="62" t="s">
        <v>1425</v>
      </c>
      <c r="I11" s="67" t="s">
        <v>1427</v>
      </c>
    </row>
    <row r="12" customFormat="false" ht="18" hidden="false" customHeight="true" outlineLevel="0" collapsed="false">
      <c r="A12" s="11" t="s">
        <v>713</v>
      </c>
      <c r="B12" s="13" t="s">
        <v>1424</v>
      </c>
      <c r="C12" s="93" t="s">
        <v>239</v>
      </c>
      <c r="D12" s="52" t="s">
        <v>1417</v>
      </c>
      <c r="E12" s="93" t="s">
        <v>239</v>
      </c>
      <c r="F12" s="93" t="s">
        <v>239</v>
      </c>
      <c r="G12" s="26" t="n">
        <v>1</v>
      </c>
      <c r="H12" s="26" t="s">
        <v>1425</v>
      </c>
      <c r="I12" s="13" t="s">
        <v>1426</v>
      </c>
    </row>
    <row r="13" customFormat="false" ht="18" hidden="false" customHeight="true" outlineLevel="0" collapsed="false">
      <c r="A13" s="60" t="s">
        <v>717</v>
      </c>
      <c r="B13" s="67" t="s">
        <v>1424</v>
      </c>
      <c r="C13" s="94" t="s">
        <v>239</v>
      </c>
      <c r="D13" s="52" t="s">
        <v>1417</v>
      </c>
      <c r="E13" s="94" t="s">
        <v>239</v>
      </c>
      <c r="F13" s="94" t="s">
        <v>239</v>
      </c>
      <c r="G13" s="62" t="n">
        <v>1</v>
      </c>
      <c r="H13" s="62" t="s">
        <v>1425</v>
      </c>
      <c r="I13" s="67" t="s">
        <v>1428</v>
      </c>
    </row>
    <row r="15" customFormat="false" ht="12.75" hidden="false" customHeight="true" outlineLevel="0" collapsed="false">
      <c r="A15" s="27" t="s">
        <v>1429</v>
      </c>
    </row>
    <row r="16" customFormat="false" ht="6" hidden="false" customHeight="true" outlineLevel="0" collapsed="false"/>
    <row r="17" customFormat="false" ht="21.75" hidden="false" customHeight="true" outlineLevel="0" collapsed="false">
      <c r="A17" s="58" t="s">
        <v>1430</v>
      </c>
      <c r="B17" s="58"/>
      <c r="C17" s="58"/>
      <c r="D17" s="58"/>
      <c r="E17" s="58"/>
      <c r="F17" s="58"/>
      <c r="G17" s="58"/>
      <c r="H17" s="58"/>
      <c r="I17" s="58"/>
    </row>
    <row r="18" customFormat="false" ht="15.75" hidden="false" customHeight="true" outlineLevel="0" collapsed="false">
      <c r="A18" s="59" t="s">
        <v>1043</v>
      </c>
      <c r="B18" s="59" t="s">
        <v>391</v>
      </c>
      <c r="C18" s="59" t="s">
        <v>658</v>
      </c>
      <c r="D18" s="59" t="s">
        <v>661</v>
      </c>
      <c r="E18" s="59" t="s">
        <v>1431</v>
      </c>
      <c r="F18" s="59" t="s">
        <v>1432</v>
      </c>
      <c r="G18" s="59" t="s">
        <v>1433</v>
      </c>
      <c r="H18" s="59" t="s">
        <v>1434</v>
      </c>
      <c r="I18" s="59" t="s">
        <v>1380</v>
      </c>
    </row>
    <row r="19" customFormat="false" ht="15" hidden="false" customHeight="true" outlineLevel="0" collapsed="false">
      <c r="A19" s="32" t="s">
        <v>1046</v>
      </c>
      <c r="B19" s="32" t="s">
        <v>1047</v>
      </c>
      <c r="C19" s="33" t="n">
        <v>73</v>
      </c>
      <c r="D19" s="48" t="n">
        <v>25409</v>
      </c>
      <c r="E19" s="95" t="n">
        <v>369.03</v>
      </c>
      <c r="F19" s="95" t="n">
        <v>14524</v>
      </c>
      <c r="G19" s="95" t="n">
        <v>2551</v>
      </c>
      <c r="H19" s="95" t="n">
        <v>723</v>
      </c>
      <c r="I19" s="33" t="s">
        <v>42</v>
      </c>
    </row>
    <row r="20" customFormat="false" ht="15" hidden="false" customHeight="true" outlineLevel="0" collapsed="false">
      <c r="A20" s="11" t="s">
        <v>670</v>
      </c>
      <c r="B20" s="13" t="s">
        <v>1047</v>
      </c>
      <c r="C20" s="26" t="n">
        <v>17</v>
      </c>
      <c r="D20" s="31" t="n">
        <v>129000</v>
      </c>
      <c r="E20" s="26"/>
      <c r="F20" s="26"/>
      <c r="G20" s="26"/>
      <c r="H20" s="26"/>
      <c r="I20" s="26" t="s">
        <v>685</v>
      </c>
    </row>
    <row r="21" customFormat="false" ht="15" hidden="false" customHeight="true" outlineLevel="0" collapsed="false">
      <c r="A21" s="60" t="s">
        <v>1051</v>
      </c>
      <c r="B21" s="67" t="s">
        <v>1047</v>
      </c>
      <c r="C21" s="62" t="n">
        <v>11</v>
      </c>
      <c r="D21" s="61" t="n">
        <v>10531</v>
      </c>
      <c r="E21" s="96" t="n">
        <v>215</v>
      </c>
      <c r="F21" s="96" t="n">
        <v>20417</v>
      </c>
      <c r="G21" s="96" t="n">
        <v>4664</v>
      </c>
      <c r="H21" s="62"/>
      <c r="I21" s="62" t="s">
        <v>685</v>
      </c>
    </row>
    <row r="22" customFormat="false" ht="15" hidden="false" customHeight="true" outlineLevel="0" collapsed="false">
      <c r="A22" s="11" t="s">
        <v>1053</v>
      </c>
      <c r="B22" s="13" t="s">
        <v>750</v>
      </c>
      <c r="C22" s="26" t="n">
        <v>222</v>
      </c>
      <c r="D22" s="31" t="n">
        <v>8976</v>
      </c>
      <c r="E22" s="97" t="n">
        <v>60.53</v>
      </c>
      <c r="F22" s="97" t="n">
        <v>8652</v>
      </c>
      <c r="G22" s="97" t="n">
        <v>997</v>
      </c>
      <c r="H22" s="26"/>
      <c r="I22" s="26" t="s">
        <v>1383</v>
      </c>
    </row>
    <row r="23" customFormat="false" ht="15" hidden="false" customHeight="true" outlineLevel="0" collapsed="false">
      <c r="A23" s="60" t="s">
        <v>1059</v>
      </c>
      <c r="B23" s="67" t="s">
        <v>765</v>
      </c>
      <c r="C23" s="62" t="n">
        <v>497</v>
      </c>
      <c r="D23" s="61" t="n">
        <v>8652</v>
      </c>
      <c r="E23" s="96" t="n">
        <v>65.5</v>
      </c>
      <c r="F23" s="96" t="n">
        <v>710</v>
      </c>
      <c r="G23" s="96" t="n">
        <v>1045</v>
      </c>
      <c r="H23" s="96" t="n">
        <v>228</v>
      </c>
      <c r="I23" s="62" t="s">
        <v>1385</v>
      </c>
    </row>
    <row r="24" customFormat="false" ht="15" hidden="false" customHeight="true" outlineLevel="0" collapsed="false">
      <c r="A24" s="11" t="s">
        <v>1060</v>
      </c>
      <c r="B24" s="13" t="s">
        <v>765</v>
      </c>
      <c r="C24" s="26" t="n">
        <v>189</v>
      </c>
      <c r="D24" s="31" t="n">
        <v>10700</v>
      </c>
      <c r="E24" s="26"/>
      <c r="F24" s="97" t="n">
        <v>1017</v>
      </c>
      <c r="G24" s="97" t="n">
        <v>877</v>
      </c>
      <c r="H24" s="97" t="n">
        <v>308</v>
      </c>
      <c r="I24" s="26" t="s">
        <v>1386</v>
      </c>
    </row>
    <row r="25" customFormat="false" ht="15" hidden="false" customHeight="true" outlineLevel="0" collapsed="false">
      <c r="A25" s="60" t="s">
        <v>1062</v>
      </c>
      <c r="B25" s="67" t="s">
        <v>765</v>
      </c>
      <c r="C25" s="62" t="n">
        <v>696</v>
      </c>
      <c r="D25" s="61" t="n">
        <v>17474</v>
      </c>
      <c r="E25" s="96" t="n">
        <v>153.97</v>
      </c>
      <c r="F25" s="62"/>
      <c r="G25" s="62"/>
      <c r="H25" s="62"/>
      <c r="I25" s="62" t="s">
        <v>1389</v>
      </c>
    </row>
    <row r="26" customFormat="false" ht="15" hidden="false" customHeight="true" outlineLevel="0" collapsed="false">
      <c r="A26" s="11" t="s">
        <v>1131</v>
      </c>
      <c r="B26" s="13" t="s">
        <v>1309</v>
      </c>
      <c r="C26" s="26" t="n">
        <v>415</v>
      </c>
      <c r="D26" s="31" t="n">
        <v>41446</v>
      </c>
      <c r="E26" s="97" t="n">
        <v>1393</v>
      </c>
      <c r="F26" s="97" t="n">
        <v>33896</v>
      </c>
      <c r="G26" s="97" t="n">
        <v>1638</v>
      </c>
      <c r="H26" s="26"/>
      <c r="I26" s="26" t="s">
        <v>1392</v>
      </c>
    </row>
    <row r="27" customFormat="false" ht="15" hidden="false" customHeight="true" outlineLevel="0" collapsed="false">
      <c r="A27" s="60" t="s">
        <v>1435</v>
      </c>
      <c r="B27" s="67" t="s">
        <v>1067</v>
      </c>
      <c r="C27" s="62" t="n">
        <v>1043</v>
      </c>
      <c r="D27" s="61" t="n">
        <v>12469</v>
      </c>
      <c r="E27" s="96" t="n">
        <v>147.85</v>
      </c>
      <c r="F27" s="96" t="n">
        <v>16000</v>
      </c>
      <c r="G27" s="62"/>
      <c r="H27" s="62"/>
      <c r="I27" s="62" t="s">
        <v>1395</v>
      </c>
    </row>
    <row r="28" customFormat="false" ht="15" hidden="false" customHeight="true" outlineLevel="0" collapsed="false">
      <c r="A28" s="11" t="s">
        <v>1071</v>
      </c>
      <c r="B28" s="13" t="s">
        <v>1067</v>
      </c>
      <c r="C28" s="26" t="n">
        <v>299</v>
      </c>
      <c r="D28" s="31" t="n">
        <v>15050</v>
      </c>
      <c r="E28" s="97" t="n">
        <v>181.5</v>
      </c>
      <c r="F28" s="97" t="n">
        <v>12060</v>
      </c>
      <c r="G28" s="97" t="n">
        <v>4942</v>
      </c>
      <c r="H28" s="97" t="n">
        <v>1743</v>
      </c>
      <c r="I28" s="26" t="s">
        <v>1398</v>
      </c>
    </row>
    <row r="29" customFormat="false" ht="15" hidden="false" customHeight="true" outlineLevel="0" collapsed="false">
      <c r="A29" s="60" t="s">
        <v>1050</v>
      </c>
      <c r="B29" s="67" t="s">
        <v>1047</v>
      </c>
      <c r="C29" s="62" t="n">
        <v>27</v>
      </c>
      <c r="D29" s="62"/>
      <c r="E29" s="62"/>
      <c r="F29" s="62"/>
      <c r="G29" s="62"/>
      <c r="H29" s="62"/>
      <c r="I29" s="62" t="s">
        <v>685</v>
      </c>
    </row>
    <row r="30" customFormat="false" ht="15" hidden="false" customHeight="true" outlineLevel="0" collapsed="false">
      <c r="A30" s="11" t="s">
        <v>1069</v>
      </c>
      <c r="B30" s="13" t="s">
        <v>1067</v>
      </c>
      <c r="C30" s="26" t="n">
        <v>131</v>
      </c>
      <c r="D30" s="31" t="n">
        <v>45000</v>
      </c>
      <c r="E30" s="26"/>
      <c r="F30" s="26"/>
      <c r="G30" s="26"/>
      <c r="H30" s="26"/>
      <c r="I30" s="26" t="s">
        <v>685</v>
      </c>
    </row>
    <row r="32" customFormat="false" ht="12.75" hidden="false" customHeight="true" outlineLevel="0" collapsed="false">
      <c r="A32" s="27" t="s">
        <v>1436</v>
      </c>
    </row>
    <row r="33" customFormat="false" ht="6" hidden="false" customHeight="true" outlineLevel="0" collapsed="false"/>
    <row r="34" customFormat="false" ht="21.75" hidden="false" customHeight="true" outlineLevel="0" collapsed="false">
      <c r="A34" s="58" t="s">
        <v>1437</v>
      </c>
      <c r="B34" s="58"/>
      <c r="C34" s="58"/>
      <c r="D34" s="58"/>
      <c r="E34" s="58"/>
      <c r="F34" s="58"/>
      <c r="G34" s="58"/>
      <c r="H34" s="58"/>
      <c r="I34" s="58"/>
    </row>
    <row r="35" customFormat="false" ht="15.75" hidden="false" customHeight="true" outlineLevel="0" collapsed="false">
      <c r="A35" s="59" t="s">
        <v>656</v>
      </c>
      <c r="B35" s="59" t="s">
        <v>391</v>
      </c>
      <c r="C35" s="59" t="s">
        <v>130</v>
      </c>
      <c r="D35" s="59" t="s">
        <v>131</v>
      </c>
      <c r="E35" s="59" t="s">
        <v>132</v>
      </c>
      <c r="F35" s="59" t="s">
        <v>96</v>
      </c>
      <c r="G35" s="59" t="s">
        <v>97</v>
      </c>
      <c r="H35" s="59" t="s">
        <v>98</v>
      </c>
      <c r="I35" s="59" t="s">
        <v>99</v>
      </c>
      <c r="J35" s="59" t="s">
        <v>695</v>
      </c>
    </row>
    <row r="36" customFormat="false" ht="15" hidden="false" customHeight="true" outlineLevel="0" collapsed="false">
      <c r="A36" s="32" t="s">
        <v>665</v>
      </c>
      <c r="B36" s="32" t="s">
        <v>1047</v>
      </c>
      <c r="C36" s="33" t="n">
        <v>18</v>
      </c>
      <c r="D36" s="33" t="n">
        <v>20</v>
      </c>
      <c r="E36" s="33" t="n">
        <v>28</v>
      </c>
      <c r="F36" s="33" t="n">
        <v>25</v>
      </c>
      <c r="G36" s="33" t="n">
        <v>32</v>
      </c>
      <c r="H36" s="33" t="n">
        <v>32</v>
      </c>
      <c r="I36" s="33" t="n">
        <v>37</v>
      </c>
      <c r="J36" s="33" t="n">
        <v>73</v>
      </c>
    </row>
    <row r="37" customFormat="false" ht="15" hidden="false" customHeight="true" outlineLevel="0" collapsed="false">
      <c r="A37" s="11" t="s">
        <v>670</v>
      </c>
      <c r="B37" s="13" t="s">
        <v>1047</v>
      </c>
      <c r="C37" s="26" t="s">
        <v>685</v>
      </c>
      <c r="D37" s="26" t="s">
        <v>685</v>
      </c>
      <c r="E37" s="26" t="s">
        <v>685</v>
      </c>
      <c r="F37" s="26" t="s">
        <v>685</v>
      </c>
      <c r="G37" s="26" t="n">
        <v>18</v>
      </c>
      <c r="H37" s="26" t="n">
        <v>18</v>
      </c>
      <c r="I37" s="26" t="s">
        <v>685</v>
      </c>
      <c r="J37" s="26" t="n">
        <v>17</v>
      </c>
    </row>
    <row r="38" customFormat="false" ht="15" hidden="false" customHeight="true" outlineLevel="0" collapsed="false">
      <c r="A38" s="60" t="s">
        <v>696</v>
      </c>
      <c r="B38" s="67" t="s">
        <v>1047</v>
      </c>
      <c r="C38" s="62" t="n">
        <v>17</v>
      </c>
      <c r="D38" s="62" t="s">
        <v>685</v>
      </c>
      <c r="E38" s="62" t="n">
        <v>19</v>
      </c>
      <c r="F38" s="62" t="s">
        <v>685</v>
      </c>
      <c r="G38" s="62" t="s">
        <v>685</v>
      </c>
      <c r="H38" s="62" t="s">
        <v>685</v>
      </c>
      <c r="I38" s="62" t="s">
        <v>685</v>
      </c>
      <c r="J38" s="62" t="n">
        <v>14</v>
      </c>
    </row>
    <row r="39" customFormat="false" ht="15" hidden="false" customHeight="true" outlineLevel="0" collapsed="false">
      <c r="A39" s="11" t="s">
        <v>682</v>
      </c>
      <c r="B39" s="13" t="s">
        <v>1047</v>
      </c>
      <c r="C39" s="26" t="n">
        <v>4</v>
      </c>
      <c r="D39" s="26" t="n">
        <v>4</v>
      </c>
      <c r="E39" s="26" t="n">
        <v>4</v>
      </c>
      <c r="F39" s="26" t="n">
        <v>4</v>
      </c>
      <c r="G39" s="26" t="n">
        <v>4</v>
      </c>
      <c r="H39" s="26" t="n">
        <v>5</v>
      </c>
      <c r="I39" s="26" t="s">
        <v>685</v>
      </c>
      <c r="J39" s="26" t="n">
        <v>6</v>
      </c>
    </row>
    <row r="40" customFormat="false" ht="15" hidden="false" customHeight="true" outlineLevel="0" collapsed="false">
      <c r="A40" s="60" t="s">
        <v>688</v>
      </c>
      <c r="B40" s="67" t="s">
        <v>1047</v>
      </c>
      <c r="C40" s="62" t="s">
        <v>685</v>
      </c>
      <c r="D40" s="62" t="n">
        <v>10</v>
      </c>
      <c r="E40" s="62" t="n">
        <v>10</v>
      </c>
      <c r="F40" s="62" t="n">
        <v>7</v>
      </c>
      <c r="G40" s="62" t="n">
        <v>8</v>
      </c>
      <c r="H40" s="62" t="n">
        <v>12</v>
      </c>
      <c r="I40" s="62" t="n">
        <v>11</v>
      </c>
      <c r="J40" s="62" t="n">
        <v>11</v>
      </c>
    </row>
    <row r="41" customFormat="false" ht="15" hidden="false" customHeight="true" outlineLevel="0" collapsed="false">
      <c r="A41" s="11" t="s">
        <v>1438</v>
      </c>
      <c r="B41" s="13" t="s">
        <v>750</v>
      </c>
      <c r="C41" s="26" t="n">
        <v>38</v>
      </c>
      <c r="D41" s="26" t="n">
        <v>72</v>
      </c>
      <c r="E41" s="26" t="n">
        <v>84</v>
      </c>
      <c r="F41" s="26" t="n">
        <v>91</v>
      </c>
      <c r="G41" s="26" t="n">
        <v>106</v>
      </c>
      <c r="H41" s="26" t="n">
        <v>135</v>
      </c>
      <c r="I41" s="26" t="n">
        <v>162</v>
      </c>
      <c r="J41" s="26" t="n">
        <v>222</v>
      </c>
    </row>
    <row r="42" customFormat="false" ht="15" hidden="false" customHeight="true" outlineLevel="0" collapsed="false">
      <c r="A42" s="60" t="s">
        <v>755</v>
      </c>
      <c r="B42" s="67" t="s">
        <v>750</v>
      </c>
      <c r="C42" s="62" t="s">
        <v>685</v>
      </c>
      <c r="D42" s="62" t="s">
        <v>685</v>
      </c>
      <c r="E42" s="62" t="n">
        <v>106</v>
      </c>
      <c r="F42" s="62" t="n">
        <v>116</v>
      </c>
      <c r="G42" s="62" t="n">
        <v>115</v>
      </c>
      <c r="H42" s="62" t="n">
        <v>155</v>
      </c>
      <c r="I42" s="62" t="s">
        <v>685</v>
      </c>
      <c r="J42" s="62" t="n">
        <v>172</v>
      </c>
    </row>
    <row r="43" customFormat="false" ht="15" hidden="false" customHeight="true" outlineLevel="0" collapsed="false">
      <c r="A43" s="11" t="s">
        <v>1439</v>
      </c>
      <c r="B43" s="13" t="s">
        <v>750</v>
      </c>
      <c r="C43" s="26" t="n">
        <v>52</v>
      </c>
      <c r="D43" s="26" t="n">
        <v>73</v>
      </c>
      <c r="E43" s="26" t="s">
        <v>685</v>
      </c>
      <c r="F43" s="26" t="n">
        <v>118</v>
      </c>
      <c r="G43" s="26" t="n">
        <v>118</v>
      </c>
      <c r="H43" s="26" t="n">
        <v>148</v>
      </c>
      <c r="I43" s="26" t="s">
        <v>685</v>
      </c>
      <c r="J43" s="26" t="n">
        <v>180</v>
      </c>
    </row>
    <row r="44" customFormat="false" ht="15" hidden="false" customHeight="true" outlineLevel="0" collapsed="false">
      <c r="A44" s="60" t="s">
        <v>1440</v>
      </c>
      <c r="B44" s="67" t="s">
        <v>750</v>
      </c>
      <c r="C44" s="62" t="n">
        <v>29</v>
      </c>
      <c r="D44" s="62" t="n">
        <v>48</v>
      </c>
      <c r="E44" s="62" t="n">
        <v>63</v>
      </c>
      <c r="F44" s="62" t="n">
        <v>79</v>
      </c>
      <c r="G44" s="62" t="n">
        <v>69</v>
      </c>
      <c r="H44" s="62" t="n">
        <v>103</v>
      </c>
      <c r="I44" s="62" t="s">
        <v>685</v>
      </c>
      <c r="J44" s="62" t="n">
        <v>128</v>
      </c>
    </row>
    <row r="45" customFormat="false" ht="15" hidden="false" customHeight="true" outlineLevel="0" collapsed="false">
      <c r="A45" s="11" t="s">
        <v>1441</v>
      </c>
      <c r="B45" s="13" t="s">
        <v>765</v>
      </c>
      <c r="C45" s="26" t="s">
        <v>685</v>
      </c>
      <c r="D45" s="26" t="n">
        <v>180</v>
      </c>
      <c r="E45" s="26" t="s">
        <v>685</v>
      </c>
      <c r="F45" s="26" t="s">
        <v>685</v>
      </c>
      <c r="G45" s="26" t="n">
        <v>400</v>
      </c>
      <c r="H45" s="26" t="n">
        <v>480</v>
      </c>
      <c r="I45" s="26" t="s">
        <v>685</v>
      </c>
      <c r="J45" s="26" t="n">
        <v>543</v>
      </c>
    </row>
    <row r="46" customFormat="false" ht="15" hidden="false" customHeight="true" outlineLevel="0" collapsed="false">
      <c r="A46" s="56" t="s">
        <v>1442</v>
      </c>
      <c r="B46" s="98" t="s">
        <v>765</v>
      </c>
      <c r="C46" s="55" t="n">
        <v>22</v>
      </c>
      <c r="D46" s="52" t="n">
        <v>40</v>
      </c>
      <c r="E46" s="52" t="n">
        <v>80</v>
      </c>
      <c r="F46" s="52" t="n">
        <v>133</v>
      </c>
      <c r="G46" s="52" t="n">
        <v>233</v>
      </c>
      <c r="H46" s="52" t="n">
        <v>352</v>
      </c>
      <c r="I46" s="52" t="n">
        <v>545</v>
      </c>
      <c r="J46" s="52" t="n">
        <v>765</v>
      </c>
    </row>
    <row r="47" customFormat="false" ht="15" hidden="false" customHeight="true" outlineLevel="0" collapsed="false">
      <c r="A47" s="11" t="s">
        <v>769</v>
      </c>
      <c r="B47" s="13" t="s">
        <v>765</v>
      </c>
      <c r="C47" s="26" t="n">
        <v>171</v>
      </c>
      <c r="D47" s="26" t="n">
        <v>214</v>
      </c>
      <c r="E47" s="26" t="n">
        <v>266</v>
      </c>
      <c r="F47" s="26" t="n">
        <v>279</v>
      </c>
      <c r="G47" s="26" t="n">
        <v>306</v>
      </c>
      <c r="H47" s="26" t="n">
        <v>423</v>
      </c>
      <c r="I47" s="26" t="n">
        <v>444</v>
      </c>
      <c r="J47" s="26" t="n">
        <v>497</v>
      </c>
    </row>
    <row r="48" customFormat="false" ht="15" hidden="false" customHeight="true" outlineLevel="0" collapsed="false">
      <c r="A48" s="60" t="s">
        <v>771</v>
      </c>
      <c r="B48" s="67" t="s">
        <v>765</v>
      </c>
      <c r="C48" s="62" t="n">
        <v>49</v>
      </c>
      <c r="D48" s="62" t="n">
        <v>77</v>
      </c>
      <c r="E48" s="62" t="n">
        <v>76</v>
      </c>
      <c r="F48" s="62" t="n">
        <v>95</v>
      </c>
      <c r="G48" s="62" t="n">
        <v>83</v>
      </c>
      <c r="H48" s="62" t="n">
        <v>107</v>
      </c>
      <c r="I48" s="62" t="n">
        <v>117</v>
      </c>
      <c r="J48" s="62" t="n">
        <v>189</v>
      </c>
    </row>
    <row r="49" customFormat="false" ht="15" hidden="false" customHeight="true" outlineLevel="0" collapsed="false">
      <c r="A49" s="11" t="s">
        <v>772</v>
      </c>
      <c r="B49" s="13" t="s">
        <v>765</v>
      </c>
      <c r="C49" s="26" t="s">
        <v>685</v>
      </c>
      <c r="D49" s="26" t="n">
        <v>200</v>
      </c>
      <c r="E49" s="26" t="s">
        <v>685</v>
      </c>
      <c r="F49" s="26" t="n">
        <v>310</v>
      </c>
      <c r="G49" s="26" t="n">
        <v>501</v>
      </c>
      <c r="H49" s="26" t="n">
        <v>557</v>
      </c>
      <c r="I49" s="26" t="n">
        <v>611</v>
      </c>
      <c r="J49" s="26" t="n">
        <v>696</v>
      </c>
    </row>
    <row r="50" customFormat="false" ht="15" hidden="false" customHeight="true" outlineLevel="0" collapsed="false">
      <c r="A50" s="60" t="s">
        <v>1443</v>
      </c>
      <c r="B50" s="67" t="s">
        <v>1444</v>
      </c>
      <c r="C50" s="62" t="n">
        <v>155</v>
      </c>
      <c r="D50" s="62" t="n">
        <v>176</v>
      </c>
      <c r="E50" s="62" t="n">
        <v>214</v>
      </c>
      <c r="F50" s="62" t="n">
        <v>234</v>
      </c>
      <c r="G50" s="62" t="n">
        <v>284</v>
      </c>
      <c r="H50" s="62" t="n">
        <v>324</v>
      </c>
      <c r="I50" s="62" t="n">
        <v>365</v>
      </c>
      <c r="J50" s="62" t="n">
        <v>415</v>
      </c>
    </row>
    <row r="51" customFormat="false" ht="15" hidden="false" customHeight="true" outlineLevel="0" collapsed="false">
      <c r="A51" s="11" t="s">
        <v>1445</v>
      </c>
      <c r="B51" s="13" t="s">
        <v>1067</v>
      </c>
      <c r="C51" s="26" t="n">
        <v>240</v>
      </c>
      <c r="D51" s="26" t="n">
        <v>293</v>
      </c>
      <c r="E51" s="26" t="n">
        <v>293</v>
      </c>
      <c r="F51" s="26" t="n">
        <v>254</v>
      </c>
      <c r="G51" s="26" t="n">
        <v>259</v>
      </c>
      <c r="H51" s="26" t="n">
        <v>270</v>
      </c>
      <c r="I51" s="26" t="n">
        <v>249</v>
      </c>
      <c r="J51" s="26" t="n">
        <v>299</v>
      </c>
    </row>
    <row r="52" customFormat="false" ht="15" hidden="false" customHeight="true" outlineLevel="0" collapsed="false">
      <c r="A52" s="60" t="s">
        <v>1446</v>
      </c>
      <c r="B52" s="67" t="s">
        <v>1067</v>
      </c>
      <c r="C52" s="62" t="n">
        <v>125</v>
      </c>
      <c r="D52" s="62" t="n">
        <v>150</v>
      </c>
      <c r="E52" s="62" t="n">
        <v>165</v>
      </c>
      <c r="F52" s="62" t="n">
        <v>174</v>
      </c>
      <c r="G52" s="62" t="n">
        <v>200</v>
      </c>
      <c r="H52" s="62" t="n">
        <v>214</v>
      </c>
      <c r="I52" s="62" t="n">
        <v>232</v>
      </c>
      <c r="J52" s="62" t="n">
        <v>248</v>
      </c>
    </row>
    <row r="53" customFormat="false" ht="15" hidden="false" customHeight="true" outlineLevel="0" collapsed="false">
      <c r="A53" s="11" t="s">
        <v>708</v>
      </c>
      <c r="B53" s="13" t="s">
        <v>1067</v>
      </c>
      <c r="C53" s="26" t="n">
        <v>275</v>
      </c>
      <c r="D53" s="26" t="n">
        <v>308</v>
      </c>
      <c r="E53" s="26" t="n">
        <v>342</v>
      </c>
      <c r="F53" s="26" t="n">
        <v>346</v>
      </c>
      <c r="G53" s="26" t="n">
        <v>377</v>
      </c>
      <c r="H53" s="26" t="n">
        <v>431</v>
      </c>
      <c r="I53" s="26" t="n">
        <v>417</v>
      </c>
      <c r="J53" s="26" t="n">
        <v>405</v>
      </c>
    </row>
    <row r="55" customFormat="false" ht="12.75" hidden="false" customHeight="true" outlineLevel="0" collapsed="false">
      <c r="A55" s="27" t="s">
        <v>1447</v>
      </c>
    </row>
    <row r="56" customFormat="false" ht="6" hidden="false" customHeight="true" outlineLevel="0" collapsed="false"/>
    <row r="57" customFormat="false" ht="21.75" hidden="false" customHeight="true" outlineLevel="0" collapsed="false">
      <c r="A57" s="58" t="s">
        <v>1448</v>
      </c>
      <c r="B57" s="58"/>
      <c r="C57" s="58"/>
      <c r="D57" s="58"/>
      <c r="E57" s="58"/>
      <c r="F57" s="58"/>
      <c r="G57" s="58"/>
      <c r="H57" s="58"/>
      <c r="I57" s="58"/>
    </row>
    <row r="58" customFormat="false" ht="15.75" hidden="false" customHeight="true" outlineLevel="0" collapsed="false">
      <c r="A58" s="59" t="s">
        <v>1449</v>
      </c>
      <c r="B58" s="59" t="s">
        <v>1450</v>
      </c>
      <c r="C58" s="59" t="s">
        <v>1451</v>
      </c>
      <c r="D58" s="59" t="s">
        <v>1452</v>
      </c>
      <c r="E58" s="59" t="s">
        <v>1453</v>
      </c>
    </row>
    <row r="59" customFormat="false" ht="34.5" hidden="false" customHeight="true" outlineLevel="0" collapsed="false">
      <c r="A59" s="99" t="s">
        <v>1454</v>
      </c>
      <c r="B59" s="100" t="s">
        <v>1455</v>
      </c>
      <c r="C59" s="100" t="s">
        <v>1456</v>
      </c>
      <c r="D59" s="100" t="s">
        <v>1457</v>
      </c>
      <c r="E59" s="100" t="s">
        <v>1458</v>
      </c>
    </row>
    <row r="60" customFormat="false" ht="34.5" hidden="false" customHeight="true" outlineLevel="0" collapsed="false">
      <c r="A60" s="38" t="s">
        <v>1459</v>
      </c>
      <c r="B60" s="39" t="s">
        <v>1460</v>
      </c>
      <c r="C60" s="39" t="s">
        <v>1461</v>
      </c>
      <c r="D60" s="39" t="s">
        <v>1462</v>
      </c>
      <c r="E60" s="39" t="s">
        <v>1463</v>
      </c>
    </row>
    <row r="61" customFormat="false" ht="34.5" hidden="false" customHeight="true" outlineLevel="0" collapsed="false">
      <c r="A61" s="99" t="s">
        <v>1464</v>
      </c>
      <c r="B61" s="100" t="s">
        <v>1465</v>
      </c>
      <c r="C61" s="100" t="s">
        <v>1466</v>
      </c>
      <c r="D61" s="100" t="s">
        <v>1467</v>
      </c>
      <c r="E61" s="100" t="s">
        <v>1468</v>
      </c>
    </row>
    <row r="62" customFormat="false" ht="34.5" hidden="false" customHeight="true" outlineLevel="0" collapsed="false">
      <c r="A62" s="38" t="s">
        <v>1469</v>
      </c>
      <c r="B62" s="39" t="s">
        <v>1470</v>
      </c>
      <c r="C62" s="39" t="s">
        <v>1471</v>
      </c>
      <c r="D62" s="39" t="s">
        <v>1472</v>
      </c>
      <c r="E62" s="39" t="s">
        <v>1473</v>
      </c>
    </row>
    <row r="63" customFormat="false" ht="34.5" hidden="false" customHeight="true" outlineLevel="0" collapsed="false">
      <c r="A63" s="99" t="s">
        <v>1474</v>
      </c>
      <c r="B63" s="100" t="s">
        <v>1475</v>
      </c>
      <c r="C63" s="100" t="s">
        <v>1476</v>
      </c>
      <c r="D63" s="100" t="s">
        <v>1477</v>
      </c>
      <c r="E63" s="100" t="s">
        <v>1478</v>
      </c>
    </row>
    <row r="64" customFormat="false" ht="34.5" hidden="false" customHeight="true" outlineLevel="0" collapsed="false">
      <c r="A64" s="38" t="s">
        <v>1479</v>
      </c>
      <c r="B64" s="39" t="s">
        <v>1480</v>
      </c>
      <c r="C64" s="39" t="s">
        <v>1481</v>
      </c>
      <c r="D64" s="39" t="s">
        <v>1482</v>
      </c>
      <c r="E64" s="39" t="s">
        <v>1483</v>
      </c>
    </row>
    <row r="66" customFormat="false" ht="12.75" hidden="false" customHeight="true" outlineLevel="0" collapsed="false">
      <c r="A66" s="27" t="s">
        <v>1484</v>
      </c>
    </row>
  </sheetData>
  <mergeCells count="5">
    <mergeCell ref="A1:I1"/>
    <mergeCell ref="A3:I3"/>
    <mergeCell ref="A17:I17"/>
    <mergeCell ref="A34:I34"/>
    <mergeCell ref="A57:I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2026-06-17T02:56:06Z</dcterms:created>
  <dc:creator>openpyxl</dc:creator>
  <dc:description/>
  <dc:language>en-US</dc:language>
  <cp:lastModifiedBy/>
  <dcterms:modified xsi:type="dcterms:W3CDTF">2026-06-17T02:56:44Z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